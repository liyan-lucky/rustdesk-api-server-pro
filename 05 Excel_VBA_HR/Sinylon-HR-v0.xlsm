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Visual_Studio_Code\Excel_VBA_HR\"/>
    </mc:Choice>
  </mc:AlternateContent>
  <xr:revisionPtr revIDLastSave="0" documentId="13_ncr:1_{B119310E-FA66-45C0-862E-95F52E13CC8B}" xr6:coauthVersionLast="47" xr6:coauthVersionMax="47" xr10:uidLastSave="{00000000-0000-0000-0000-000000000000}"/>
  <bookViews>
    <workbookView xWindow="11205" yWindow="1995" windowWidth="18660" windowHeight="16125" tabRatio="825" firstSheet="1" activeTab="1" xr2:uid="{00000000-000D-0000-FFFF-FFFF00000000}"/>
  </bookViews>
  <sheets>
    <sheet name="考勤卡" sheetId="17" r:id="rId1"/>
    <sheet name="程序" sheetId="10" r:id="rId2"/>
    <sheet name="考勤清单" sheetId="3" r:id="rId3"/>
    <sheet name="考勤汇总" sheetId="7" r:id="rId4"/>
    <sheet name="人员汇总" sheetId="9" r:id="rId5"/>
    <sheet name="人员汇总_正班" sheetId="6" r:id="rId6"/>
    <sheet name="人员汇总_加班" sheetId="8" r:id="rId7"/>
    <sheet name="职员" sheetId="4" r:id="rId8"/>
    <sheet name="员工卡登记" sheetId="16" r:id="rId9"/>
    <sheet name="项目" sheetId="5" r:id="rId10"/>
    <sheet name="临港模式" sheetId="11" r:id="rId11"/>
    <sheet name="公司模式" sheetId="12" r:id="rId12"/>
    <sheet name="现场考勤卡模式" sheetId="13" r:id="rId13"/>
    <sheet name="现场考勤卡模式2" sheetId="15" r:id="rId14"/>
    <sheet name="夜班基准时间" sheetId="14" r:id="rId15"/>
  </sheets>
  <externalReferences>
    <externalReference r:id="rId16"/>
    <externalReference r:id="rId17"/>
  </externalReferences>
  <definedNames>
    <definedName name="_xlnm._FilterDatabase" localSheetId="11" hidden="1">公司模式!$A$1:$AM$370</definedName>
    <definedName name="_xlnm._FilterDatabase" localSheetId="0" hidden="1">考勤卡!#REF!</definedName>
    <definedName name="_xlnm._FilterDatabase" localSheetId="2" hidden="1">考勤清单!$A$1:$Z$21</definedName>
    <definedName name="_xlnm._FilterDatabase" localSheetId="10" hidden="1">临港模式!$A$1:$AM$370</definedName>
    <definedName name="_xlnm._FilterDatabase" localSheetId="13" hidden="1">现场考勤卡模式2!$A$1:$W$370</definedName>
    <definedName name="_xlnm._FilterDatabase" localSheetId="8" hidden="1">员工卡登记!$A$1:$W$892</definedName>
    <definedName name="ERP_人员HR_hi_person2015_1" localSheetId="7" hidden="1">职员!$A$1:$C$2127</definedName>
    <definedName name="ERP_项目2015" localSheetId="9" hidden="1">项目!$A$1:$H$77</definedName>
    <definedName name="表期">IF(考勤卡!$M$4&gt;0,考勤卡!$M$4,"")</definedName>
    <definedName name="二判">IF(DATE(年,月+1,0)&gt;考勤卡!A1048576,考勤卡!A1048576+1,"")</definedName>
    <definedName name="后半">考勤卡!XEW16+1</definedName>
    <definedName name="年">YEAR(考勤卡!$A$9)</definedName>
    <definedName name="取日">DATE(YEAR(程序!B1048570),MONTH(程序!B1048570),1)</definedName>
    <definedName name="取星">IF(考勤卡!XFD1&lt;&gt;"",WEEKDAY(考勤卡!XFD1),"")</definedName>
    <definedName name="日期">IF(考勤卡!A1048552&gt;0,考勤卡!A1048552,"")</definedName>
    <definedName name="星期">IF(考勤卡!A1048552&gt;0,考勤卡!A1048552,"")</definedName>
    <definedName name="序列">考勤卡!A1048576+1</definedName>
    <definedName name="月">MONTH(考勤卡!$A$9)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3" l="1"/>
  <c r="Q2" i="3" s="1"/>
  <c r="P2" i="3"/>
  <c r="R2" i="3"/>
  <c r="S2" i="3"/>
  <c r="O3" i="3"/>
  <c r="P3" i="3"/>
  <c r="R3" i="3" s="1"/>
  <c r="Q3" i="3"/>
  <c r="S3" i="3"/>
  <c r="O4" i="3"/>
  <c r="Q4" i="3" s="1"/>
  <c r="P4" i="3"/>
  <c r="R4" i="3" s="1"/>
  <c r="S4" i="3"/>
  <c r="O5" i="3"/>
  <c r="Q5" i="3" s="1"/>
  <c r="P5" i="3"/>
  <c r="R5" i="3" s="1"/>
  <c r="S5" i="3"/>
  <c r="O6" i="3"/>
  <c r="Q6" i="3" s="1"/>
  <c r="P6" i="3"/>
  <c r="R6" i="3" s="1"/>
  <c r="S6" i="3"/>
  <c r="O7" i="3"/>
  <c r="Q7" i="3" s="1"/>
  <c r="P7" i="3"/>
  <c r="R7" i="3" s="1"/>
  <c r="S7" i="3"/>
  <c r="O8" i="3"/>
  <c r="P8" i="3"/>
  <c r="Q8" i="3"/>
  <c r="R8" i="3"/>
  <c r="S8" i="3"/>
  <c r="O9" i="3"/>
  <c r="Q9" i="3" s="1"/>
  <c r="P9" i="3"/>
  <c r="R9" i="3"/>
  <c r="S9" i="3"/>
  <c r="O10" i="3"/>
  <c r="Q10" i="3" s="1"/>
  <c r="P10" i="3"/>
  <c r="R10" i="3"/>
  <c r="S10" i="3"/>
  <c r="O11" i="3"/>
  <c r="Q11" i="3" s="1"/>
  <c r="P11" i="3"/>
  <c r="R11" i="3"/>
  <c r="S11" i="3"/>
  <c r="O12" i="3"/>
  <c r="Q12" i="3" s="1"/>
  <c r="P12" i="3"/>
  <c r="R12" i="3" s="1"/>
  <c r="S12" i="3"/>
  <c r="O13" i="3"/>
  <c r="P13" i="3"/>
  <c r="R13" i="3" s="1"/>
  <c r="Q13" i="3"/>
  <c r="S13" i="3"/>
  <c r="O14" i="3"/>
  <c r="P14" i="3"/>
  <c r="R14" i="3" s="1"/>
  <c r="Q14" i="3"/>
  <c r="S14" i="3"/>
  <c r="O15" i="3"/>
  <c r="P15" i="3"/>
  <c r="R15" i="3" s="1"/>
  <c r="Q15" i="3"/>
  <c r="S15" i="3"/>
  <c r="O16" i="3"/>
  <c r="P16" i="3"/>
  <c r="Q16" i="3"/>
  <c r="R16" i="3"/>
  <c r="S16" i="3"/>
  <c r="O17" i="3"/>
  <c r="Q17" i="3" s="1"/>
  <c r="P17" i="3"/>
  <c r="R17" i="3"/>
  <c r="S17" i="3"/>
  <c r="O18" i="3"/>
  <c r="Q18" i="3" s="1"/>
  <c r="P18" i="3"/>
  <c r="R18" i="3"/>
  <c r="S18" i="3"/>
  <c r="O19" i="3"/>
  <c r="Q19" i="3" s="1"/>
  <c r="P19" i="3"/>
  <c r="R19" i="3"/>
  <c r="S19" i="3"/>
  <c r="O20" i="3"/>
  <c r="Q20" i="3" s="1"/>
  <c r="P20" i="3"/>
  <c r="R20" i="3" s="1"/>
  <c r="S20" i="3"/>
  <c r="O21" i="3"/>
  <c r="P21" i="3"/>
  <c r="R21" i="3" s="1"/>
  <c r="Q21" i="3"/>
  <c r="S21" i="3"/>
  <c r="M29" i="17" l="1"/>
  <c r="A9" i="17"/>
  <c r="B9" i="17" l="1"/>
  <c r="B34" i="17" s="1"/>
  <c r="A34" i="17"/>
  <c r="A10" i="17"/>
  <c r="AI9" i="8"/>
  <c r="AH9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AI8" i="8"/>
  <c r="AH8" i="8"/>
  <c r="AG8" i="8"/>
  <c r="AF8" i="8"/>
  <c r="AE8" i="8"/>
  <c r="AD8" i="8"/>
  <c r="AC8" i="8"/>
  <c r="AB8" i="8"/>
  <c r="AA8" i="8"/>
  <c r="Z8" i="8"/>
  <c r="Y8" i="8"/>
  <c r="X8" i="8"/>
  <c r="W8" i="8"/>
  <c r="V8" i="8"/>
  <c r="U8" i="8"/>
  <c r="T8" i="8"/>
  <c r="S8" i="8"/>
  <c r="R8" i="8"/>
  <c r="Q8" i="8"/>
  <c r="P8" i="8"/>
  <c r="O8" i="8"/>
  <c r="N8" i="8"/>
  <c r="M8" i="8"/>
  <c r="L8" i="8"/>
  <c r="K8" i="8"/>
  <c r="J8" i="8"/>
  <c r="I8" i="8"/>
  <c r="H8" i="8"/>
  <c r="G8" i="8"/>
  <c r="F8" i="8"/>
  <c r="AI7" i="8"/>
  <c r="AH7" i="8"/>
  <c r="AG7" i="8"/>
  <c r="AF7" i="8"/>
  <c r="AE7" i="8"/>
  <c r="AD7" i="8"/>
  <c r="AC7" i="8"/>
  <c r="AB7" i="8"/>
  <c r="AA7" i="8"/>
  <c r="Z7" i="8"/>
  <c r="Y7" i="8"/>
  <c r="X7" i="8"/>
  <c r="W7" i="8"/>
  <c r="V7" i="8"/>
  <c r="U7" i="8"/>
  <c r="T7" i="8"/>
  <c r="S7" i="8"/>
  <c r="R7" i="8"/>
  <c r="Q7" i="8"/>
  <c r="P7" i="8"/>
  <c r="O7" i="8"/>
  <c r="N7" i="8"/>
  <c r="M7" i="8"/>
  <c r="L7" i="8"/>
  <c r="K7" i="8"/>
  <c r="J7" i="8"/>
  <c r="I7" i="8"/>
  <c r="H7" i="8"/>
  <c r="G7" i="8"/>
  <c r="F7" i="8"/>
  <c r="AI6" i="8"/>
  <c r="AH6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AI5" i="8"/>
  <c r="AH5" i="8"/>
  <c r="AG5" i="8"/>
  <c r="AF5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5" i="8"/>
  <c r="F5" i="8"/>
  <c r="AI4" i="8"/>
  <c r="AH4" i="8"/>
  <c r="AG4" i="8"/>
  <c r="AF4" i="8"/>
  <c r="AE4" i="8"/>
  <c r="AD4" i="8"/>
  <c r="AC4" i="8"/>
  <c r="AB4" i="8"/>
  <c r="AA4" i="8"/>
  <c r="Z4" i="8"/>
  <c r="Y4" i="8"/>
  <c r="X4" i="8"/>
  <c r="W4" i="8"/>
  <c r="V4" i="8"/>
  <c r="U4" i="8"/>
  <c r="T4" i="8"/>
  <c r="S4" i="8"/>
  <c r="R4" i="8"/>
  <c r="Q4" i="8"/>
  <c r="P4" i="8"/>
  <c r="O4" i="8"/>
  <c r="N4" i="8"/>
  <c r="M4" i="8"/>
  <c r="L4" i="8"/>
  <c r="K4" i="8"/>
  <c r="J4" i="8"/>
  <c r="I4" i="8"/>
  <c r="H4" i="8"/>
  <c r="G4" i="8"/>
  <c r="F4" i="8"/>
  <c r="AI3" i="8"/>
  <c r="AH3" i="8"/>
  <c r="AG3" i="8"/>
  <c r="AF3" i="8"/>
  <c r="AE3" i="8"/>
  <c r="AD3" i="8"/>
  <c r="AC3" i="8"/>
  <c r="AB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AI2" i="8"/>
  <c r="AH2" i="8"/>
  <c r="AG2" i="8"/>
  <c r="AF2" i="8"/>
  <c r="AE2" i="8"/>
  <c r="AD2" i="8"/>
  <c r="AC2" i="8"/>
  <c r="AB2" i="8"/>
  <c r="AA2" i="8"/>
  <c r="Z2" i="8"/>
  <c r="Y2" i="8"/>
  <c r="X2" i="8"/>
  <c r="W2" i="8"/>
  <c r="V2" i="8"/>
  <c r="U2" i="8"/>
  <c r="T2" i="8"/>
  <c r="S2" i="8"/>
  <c r="R2" i="8"/>
  <c r="Q2" i="8"/>
  <c r="P2" i="8"/>
  <c r="O2" i="8"/>
  <c r="N2" i="8"/>
  <c r="M2" i="8"/>
  <c r="L2" i="8"/>
  <c r="K2" i="8"/>
  <c r="J2" i="8"/>
  <c r="I2" i="8"/>
  <c r="H2" i="8"/>
  <c r="G2" i="8"/>
  <c r="F2" i="8"/>
  <c r="X10" i="7"/>
  <c r="O10" i="7"/>
  <c r="AO9" i="7"/>
  <c r="AN9" i="7"/>
  <c r="AM9" i="7"/>
  <c r="AL9" i="7"/>
  <c r="AK9" i="7"/>
  <c r="AJ9" i="7"/>
  <c r="AI9" i="7"/>
  <c r="AH9" i="7"/>
  <c r="AG9" i="7"/>
  <c r="W9" i="7"/>
  <c r="V9" i="7"/>
  <c r="U9" i="7"/>
  <c r="T9" i="7"/>
  <c r="S9" i="7"/>
  <c r="N9" i="7"/>
  <c r="M9" i="7"/>
  <c r="L9" i="7"/>
  <c r="K9" i="7"/>
  <c r="J9" i="7"/>
  <c r="AO8" i="7"/>
  <c r="AN8" i="7"/>
  <c r="AM8" i="7"/>
  <c r="AL8" i="7"/>
  <c r="AK8" i="7"/>
  <c r="AJ8" i="7"/>
  <c r="AI8" i="7"/>
  <c r="AH8" i="7"/>
  <c r="AG8" i="7"/>
  <c r="W8" i="7"/>
  <c r="V8" i="7"/>
  <c r="U8" i="7"/>
  <c r="T8" i="7"/>
  <c r="S8" i="7"/>
  <c r="N8" i="7"/>
  <c r="M8" i="7"/>
  <c r="L8" i="7"/>
  <c r="K8" i="7"/>
  <c r="J8" i="7"/>
  <c r="AO7" i="7"/>
  <c r="AN7" i="7"/>
  <c r="AM7" i="7"/>
  <c r="AL7" i="7"/>
  <c r="AK7" i="7"/>
  <c r="AJ7" i="7"/>
  <c r="AI7" i="7"/>
  <c r="AH7" i="7"/>
  <c r="AG7" i="7"/>
  <c r="W7" i="7"/>
  <c r="V7" i="7"/>
  <c r="U7" i="7"/>
  <c r="T7" i="7"/>
  <c r="S7" i="7"/>
  <c r="N7" i="7"/>
  <c r="M7" i="7"/>
  <c r="L7" i="7"/>
  <c r="K7" i="7"/>
  <c r="J7" i="7"/>
  <c r="AO6" i="7"/>
  <c r="AN6" i="7"/>
  <c r="AM6" i="7"/>
  <c r="AL6" i="7"/>
  <c r="AK6" i="7"/>
  <c r="AJ6" i="7"/>
  <c r="AI6" i="7"/>
  <c r="AH6" i="7"/>
  <c r="AG6" i="7"/>
  <c r="W6" i="7"/>
  <c r="V6" i="7"/>
  <c r="U6" i="7"/>
  <c r="T6" i="7"/>
  <c r="S6" i="7"/>
  <c r="N6" i="7"/>
  <c r="M6" i="7"/>
  <c r="L6" i="7"/>
  <c r="K6" i="7"/>
  <c r="J6" i="7"/>
  <c r="AO5" i="7"/>
  <c r="AN5" i="7"/>
  <c r="AM5" i="7"/>
  <c r="AL5" i="7"/>
  <c r="AK5" i="7"/>
  <c r="AJ5" i="7"/>
  <c r="AI5" i="7"/>
  <c r="AH5" i="7"/>
  <c r="AG5" i="7"/>
  <c r="W5" i="7"/>
  <c r="V5" i="7"/>
  <c r="U5" i="7"/>
  <c r="T5" i="7"/>
  <c r="S5" i="7"/>
  <c r="N5" i="7"/>
  <c r="M5" i="7"/>
  <c r="L5" i="7"/>
  <c r="K5" i="7"/>
  <c r="J5" i="7"/>
  <c r="AO4" i="7"/>
  <c r="AN4" i="7"/>
  <c r="AM4" i="7"/>
  <c r="AL4" i="7"/>
  <c r="AK4" i="7"/>
  <c r="AJ4" i="7"/>
  <c r="AI4" i="7"/>
  <c r="AH4" i="7"/>
  <c r="AG4" i="7"/>
  <c r="W4" i="7"/>
  <c r="V4" i="7"/>
  <c r="U4" i="7"/>
  <c r="T4" i="7"/>
  <c r="S4" i="7"/>
  <c r="N4" i="7"/>
  <c r="M4" i="7"/>
  <c r="L4" i="7"/>
  <c r="K4" i="7"/>
  <c r="J4" i="7"/>
  <c r="AO3" i="7"/>
  <c r="AN3" i="7"/>
  <c r="AM3" i="7"/>
  <c r="AL3" i="7"/>
  <c r="AK3" i="7"/>
  <c r="AJ3" i="7"/>
  <c r="AI3" i="7"/>
  <c r="AH3" i="7"/>
  <c r="AG3" i="7"/>
  <c r="W3" i="7"/>
  <c r="V3" i="7"/>
  <c r="U3" i="7"/>
  <c r="T3" i="7"/>
  <c r="S3" i="7"/>
  <c r="N3" i="7"/>
  <c r="M3" i="7"/>
  <c r="L3" i="7"/>
  <c r="K3" i="7"/>
  <c r="J3" i="7"/>
  <c r="AO2" i="7"/>
  <c r="AN2" i="7"/>
  <c r="AM2" i="7"/>
  <c r="AL2" i="7"/>
  <c r="AK2" i="7"/>
  <c r="AJ2" i="7"/>
  <c r="AI2" i="7"/>
  <c r="AH2" i="7"/>
  <c r="W2" i="7"/>
  <c r="V2" i="7"/>
  <c r="U2" i="7"/>
  <c r="T2" i="7"/>
  <c r="S2" i="7"/>
  <c r="Q2" i="7"/>
  <c r="N2" i="7"/>
  <c r="M2" i="7"/>
  <c r="L2" i="7"/>
  <c r="K2" i="7"/>
  <c r="J2" i="7"/>
  <c r="AG2" i="7"/>
  <c r="E5" i="8"/>
  <c r="E5" i="6"/>
  <c r="H2" i="7"/>
  <c r="E2" i="8"/>
  <c r="E2" i="6"/>
  <c r="E4" i="8"/>
  <c r="E4" i="6"/>
  <c r="E6" i="8"/>
  <c r="E6" i="6"/>
  <c r="E9" i="8"/>
  <c r="E9" i="6"/>
  <c r="E7" i="8"/>
  <c r="E7" i="6"/>
  <c r="E3" i="8"/>
  <c r="E3" i="6"/>
  <c r="E8" i="8"/>
  <c r="E8" i="6"/>
  <c r="AK9" i="8" l="1"/>
  <c r="AE2" i="7"/>
  <c r="AF5" i="7"/>
  <c r="AC6" i="7"/>
  <c r="AE8" i="7"/>
  <c r="AB9" i="7"/>
  <c r="J10" i="8"/>
  <c r="R10" i="8"/>
  <c r="Z10" i="8"/>
  <c r="AH10" i="8"/>
  <c r="AK6" i="8"/>
  <c r="M10" i="8"/>
  <c r="AM4" i="8"/>
  <c r="AK8" i="8"/>
  <c r="AK7" i="8"/>
  <c r="H10" i="8"/>
  <c r="P10" i="8"/>
  <c r="X10" i="8"/>
  <c r="AF10" i="8"/>
  <c r="A35" i="17"/>
  <c r="B10" i="17"/>
  <c r="B35" i="17" s="1"/>
  <c r="A11" i="17"/>
  <c r="AD3" i="7"/>
  <c r="AL3" i="8"/>
  <c r="AK5" i="8"/>
  <c r="K10" i="8"/>
  <c r="S10" i="8"/>
  <c r="AA10" i="8"/>
  <c r="AI10" i="8"/>
  <c r="N10" i="7"/>
  <c r="AI10" i="7"/>
  <c r="I10" i="8"/>
  <c r="Q10" i="8"/>
  <c r="Y10" i="8"/>
  <c r="AG10" i="8"/>
  <c r="AD6" i="7"/>
  <c r="AF8" i="7"/>
  <c r="AC9" i="7"/>
  <c r="AL7" i="8"/>
  <c r="AM8" i="8"/>
  <c r="AC3" i="7"/>
  <c r="AE5" i="7"/>
  <c r="AB6" i="7"/>
  <c r="AD8" i="7"/>
  <c r="AM6" i="8"/>
  <c r="AB2" i="7"/>
  <c r="AL10" i="7"/>
  <c r="AM5" i="8"/>
  <c r="AL8" i="8"/>
  <c r="AM9" i="8"/>
  <c r="F10" i="8"/>
  <c r="N10" i="8"/>
  <c r="V10" i="8"/>
  <c r="AD10" i="8"/>
  <c r="L10" i="8"/>
  <c r="T10" i="8"/>
  <c r="AB10" i="8"/>
  <c r="AL9" i="8"/>
  <c r="AF7" i="7"/>
  <c r="AC8" i="7"/>
  <c r="G10" i="8"/>
  <c r="O10" i="8"/>
  <c r="W10" i="8"/>
  <c r="AE10" i="8"/>
  <c r="AM3" i="8"/>
  <c r="AL6" i="8"/>
  <c r="AM7" i="8"/>
  <c r="J10" i="7"/>
  <c r="AM10" i="7"/>
  <c r="K10" i="7"/>
  <c r="AN10" i="7"/>
  <c r="S10" i="7"/>
  <c r="AB4" i="7"/>
  <c r="L10" i="7"/>
  <c r="W10" i="7"/>
  <c r="AO10" i="7"/>
  <c r="AK10" i="7"/>
  <c r="AK2" i="8"/>
  <c r="AJ2" i="8"/>
  <c r="M10" i="7"/>
  <c r="AH10" i="7"/>
  <c r="Z2" i="7"/>
  <c r="AJ10" i="7"/>
  <c r="AE3" i="7"/>
  <c r="AG10" i="7"/>
  <c r="AF3" i="7"/>
  <c r="AC4" i="7"/>
  <c r="AD2" i="7"/>
  <c r="AD4" i="7"/>
  <c r="AF6" i="7"/>
  <c r="AC7" i="7"/>
  <c r="AE9" i="7"/>
  <c r="U10" i="7"/>
  <c r="AL2" i="8"/>
  <c r="AE4" i="7"/>
  <c r="AB5" i="7"/>
  <c r="AD7" i="7"/>
  <c r="AF9" i="7"/>
  <c r="V10" i="7"/>
  <c r="AM2" i="8"/>
  <c r="AF2" i="7"/>
  <c r="AF4" i="7"/>
  <c r="AC5" i="7"/>
  <c r="AE7" i="7"/>
  <c r="AB8" i="7"/>
  <c r="AC2" i="7"/>
  <c r="AK3" i="8"/>
  <c r="AK4" i="8"/>
  <c r="AB3" i="7"/>
  <c r="AD5" i="7"/>
  <c r="AL4" i="8"/>
  <c r="AL5" i="8"/>
  <c r="AE6" i="7"/>
  <c r="AB7" i="7"/>
  <c r="AD9" i="7"/>
  <c r="T10" i="7"/>
  <c r="U10" i="8"/>
  <c r="AC10" i="8"/>
  <c r="AJ8" i="8"/>
  <c r="AJ6" i="8"/>
  <c r="AJ4" i="8"/>
  <c r="E10" i="8"/>
  <c r="AJ3" i="8"/>
  <c r="AJ5" i="8"/>
  <c r="AJ7" i="8"/>
  <c r="AJ9" i="8"/>
  <c r="E7" i="9"/>
  <c r="E3" i="9"/>
  <c r="E4" i="9"/>
  <c r="E8" i="9"/>
  <c r="E6" i="9"/>
  <c r="E9" i="9"/>
  <c r="E5" i="9"/>
  <c r="E10" i="6"/>
  <c r="E2" i="9"/>
  <c r="Q7" i="7"/>
  <c r="P7" i="7"/>
  <c r="Q5" i="7"/>
  <c r="R7" i="7"/>
  <c r="P4" i="7"/>
  <c r="R5" i="7"/>
  <c r="P3" i="7"/>
  <c r="Q3" i="7"/>
  <c r="Q4" i="7"/>
  <c r="R3" i="7"/>
  <c r="P6" i="7"/>
  <c r="R4" i="7"/>
  <c r="Q8" i="7"/>
  <c r="Q6" i="7"/>
  <c r="P8" i="7"/>
  <c r="P9" i="7"/>
  <c r="R6" i="7"/>
  <c r="R8" i="7"/>
  <c r="Q9" i="7"/>
  <c r="R9" i="7"/>
  <c r="P5" i="7"/>
  <c r="I8" i="7"/>
  <c r="H9" i="7"/>
  <c r="G3" i="7"/>
  <c r="I9" i="7"/>
  <c r="H3" i="7"/>
  <c r="G4" i="7"/>
  <c r="I3" i="7"/>
  <c r="H4" i="7"/>
  <c r="G5" i="7"/>
  <c r="G2" i="7"/>
  <c r="I4" i="7"/>
  <c r="H5" i="7"/>
  <c r="G6" i="7"/>
  <c r="I5" i="7"/>
  <c r="H6" i="7"/>
  <c r="G7" i="7"/>
  <c r="I6" i="7"/>
  <c r="H7" i="7"/>
  <c r="G8" i="7"/>
  <c r="I7" i="7"/>
  <c r="H8" i="7"/>
  <c r="G9" i="7"/>
  <c r="I2" i="7"/>
  <c r="P2" i="7"/>
  <c r="R2" i="7"/>
  <c r="Y4" i="7" l="1"/>
  <c r="Z7" i="7"/>
  <c r="A12" i="17"/>
  <c r="A36" i="17"/>
  <c r="B11" i="17"/>
  <c r="B36" i="17" s="1"/>
  <c r="AM10" i="8"/>
  <c r="AD10" i="7"/>
  <c r="AB10" i="7"/>
  <c r="AE10" i="7"/>
  <c r="AK10" i="8"/>
  <c r="AC10" i="7"/>
  <c r="AF10" i="7"/>
  <c r="AL10" i="8"/>
  <c r="AJ10" i="8"/>
  <c r="Y7" i="7"/>
  <c r="E10" i="9"/>
  <c r="AA3" i="7"/>
  <c r="Z4" i="7"/>
  <c r="Y8" i="7"/>
  <c r="Y3" i="7"/>
  <c r="Z5" i="7"/>
  <c r="AA4" i="7"/>
  <c r="R10" i="7"/>
  <c r="AA6" i="7"/>
  <c r="AA7" i="7"/>
  <c r="AA8" i="7"/>
  <c r="I10" i="7"/>
  <c r="Z6" i="7"/>
  <c r="Y9" i="7"/>
  <c r="AA5" i="7"/>
  <c r="Q10" i="7"/>
  <c r="Y2" i="7"/>
  <c r="P10" i="7"/>
  <c r="Z3" i="7"/>
  <c r="H10" i="7"/>
  <c r="Z8" i="7"/>
  <c r="Y6" i="7"/>
  <c r="AA9" i="7"/>
  <c r="G10" i="7"/>
  <c r="Z9" i="7"/>
  <c r="Y5" i="7"/>
  <c r="AA2" i="7"/>
  <c r="A37" i="17" l="1"/>
  <c r="B12" i="17"/>
  <c r="B37" i="17" s="1"/>
  <c r="A13" i="17"/>
  <c r="AA10" i="7"/>
  <c r="Z10" i="7"/>
  <c r="Y10" i="7"/>
  <c r="A14" i="17" l="1"/>
  <c r="A38" i="17"/>
  <c r="B13" i="17"/>
  <c r="B38" i="17" s="1"/>
  <c r="P21" i="14"/>
  <c r="R21" i="14" s="1"/>
  <c r="O21" i="14"/>
  <c r="Q21" i="14" s="1"/>
  <c r="E21" i="14"/>
  <c r="P19" i="14"/>
  <c r="R19" i="14" s="1"/>
  <c r="O19" i="14"/>
  <c r="Q19" i="14" s="1"/>
  <c r="E19" i="14"/>
  <c r="P16" i="14"/>
  <c r="R16" i="14" s="1"/>
  <c r="O16" i="14"/>
  <c r="Q16" i="14" s="1"/>
  <c r="E16" i="14"/>
  <c r="P13" i="14"/>
  <c r="R13" i="14" s="1"/>
  <c r="O13" i="14"/>
  <c r="Q13" i="14" s="1"/>
  <c r="E13" i="14"/>
  <c r="S11" i="14"/>
  <c r="Q11" i="14"/>
  <c r="P11" i="14"/>
  <c r="R11" i="14" s="1"/>
  <c r="E11" i="14"/>
  <c r="S10" i="14"/>
  <c r="P10" i="14"/>
  <c r="R10" i="14" s="1"/>
  <c r="O10" i="14"/>
  <c r="Q10" i="14" s="1"/>
  <c r="E10" i="14"/>
  <c r="R9" i="14"/>
  <c r="S8" i="14"/>
  <c r="P8" i="14"/>
  <c r="R8" i="14" s="1"/>
  <c r="O8" i="14"/>
  <c r="Q8" i="14" s="1"/>
  <c r="E8" i="14"/>
  <c r="S7" i="14"/>
  <c r="P7" i="14"/>
  <c r="R7" i="14" s="1"/>
  <c r="O7" i="14"/>
  <c r="Q7" i="14" s="1"/>
  <c r="E7" i="14"/>
  <c r="R6" i="14"/>
  <c r="R5" i="14"/>
  <c r="S4" i="14"/>
  <c r="P4" i="14"/>
  <c r="R4" i="14" s="1"/>
  <c r="O4" i="14"/>
  <c r="Q4" i="14" s="1"/>
  <c r="E4" i="14"/>
  <c r="R3" i="14"/>
  <c r="P2" i="14"/>
  <c r="R2" i="14" s="1"/>
  <c r="O2" i="14"/>
  <c r="Q2" i="14" s="1"/>
  <c r="I892" i="16"/>
  <c r="H892" i="16"/>
  <c r="G892" i="16"/>
  <c r="I891" i="16"/>
  <c r="H891" i="16"/>
  <c r="G891" i="16"/>
  <c r="I890" i="16"/>
  <c r="H890" i="16"/>
  <c r="G890" i="16"/>
  <c r="I889" i="16"/>
  <c r="H889" i="16"/>
  <c r="G889" i="16"/>
  <c r="I888" i="16"/>
  <c r="H888" i="16"/>
  <c r="G888" i="16"/>
  <c r="I887" i="16"/>
  <c r="H887" i="16"/>
  <c r="G887" i="16"/>
  <c r="I886" i="16"/>
  <c r="H886" i="16"/>
  <c r="G886" i="16"/>
  <c r="I885" i="16"/>
  <c r="H885" i="16"/>
  <c r="G885" i="16"/>
  <c r="I884" i="16"/>
  <c r="H884" i="16"/>
  <c r="G884" i="16"/>
  <c r="I883" i="16"/>
  <c r="H883" i="16"/>
  <c r="G883" i="16"/>
  <c r="I882" i="16"/>
  <c r="H882" i="16"/>
  <c r="G882" i="16"/>
  <c r="I881" i="16"/>
  <c r="H881" i="16"/>
  <c r="G881" i="16"/>
  <c r="I880" i="16"/>
  <c r="H880" i="16"/>
  <c r="G880" i="16"/>
  <c r="I879" i="16"/>
  <c r="H879" i="16"/>
  <c r="G879" i="16"/>
  <c r="I878" i="16"/>
  <c r="H878" i="16"/>
  <c r="G878" i="16"/>
  <c r="I877" i="16"/>
  <c r="H877" i="16"/>
  <c r="G877" i="16"/>
  <c r="I876" i="16"/>
  <c r="H876" i="16"/>
  <c r="G876" i="16"/>
  <c r="I875" i="16"/>
  <c r="H875" i="16"/>
  <c r="G875" i="16"/>
  <c r="I874" i="16"/>
  <c r="H874" i="16"/>
  <c r="G874" i="16"/>
  <c r="I873" i="16"/>
  <c r="H873" i="16"/>
  <c r="G873" i="16"/>
  <c r="I872" i="16"/>
  <c r="H872" i="16"/>
  <c r="G872" i="16"/>
  <c r="I871" i="16"/>
  <c r="H871" i="16"/>
  <c r="G871" i="16"/>
  <c r="I870" i="16"/>
  <c r="H870" i="16"/>
  <c r="G870" i="16"/>
  <c r="I869" i="16"/>
  <c r="H869" i="16"/>
  <c r="G869" i="16"/>
  <c r="I868" i="16"/>
  <c r="H868" i="16"/>
  <c r="G868" i="16"/>
  <c r="I867" i="16"/>
  <c r="H867" i="16"/>
  <c r="G867" i="16"/>
  <c r="I866" i="16"/>
  <c r="H866" i="16"/>
  <c r="G866" i="16"/>
  <c r="I865" i="16"/>
  <c r="H865" i="16"/>
  <c r="G865" i="16"/>
  <c r="I864" i="16"/>
  <c r="H864" i="16"/>
  <c r="G864" i="16"/>
  <c r="I863" i="16"/>
  <c r="H863" i="16"/>
  <c r="G863" i="16"/>
  <c r="I862" i="16"/>
  <c r="H862" i="16"/>
  <c r="G862" i="16"/>
  <c r="I861" i="16"/>
  <c r="H861" i="16"/>
  <c r="G861" i="16"/>
  <c r="I860" i="16"/>
  <c r="H860" i="16"/>
  <c r="G860" i="16"/>
  <c r="I859" i="16"/>
  <c r="H859" i="16"/>
  <c r="G859" i="16"/>
  <c r="I858" i="16"/>
  <c r="H858" i="16"/>
  <c r="G858" i="16"/>
  <c r="I857" i="16"/>
  <c r="H857" i="16"/>
  <c r="G857" i="16"/>
  <c r="I856" i="16"/>
  <c r="H856" i="16"/>
  <c r="G856" i="16"/>
  <c r="I855" i="16"/>
  <c r="H855" i="16"/>
  <c r="G855" i="16"/>
  <c r="I854" i="16"/>
  <c r="H854" i="16"/>
  <c r="G854" i="16"/>
  <c r="I853" i="16"/>
  <c r="H853" i="16"/>
  <c r="G853" i="16"/>
  <c r="I852" i="16"/>
  <c r="H852" i="16"/>
  <c r="G852" i="16"/>
  <c r="I851" i="16"/>
  <c r="H851" i="16"/>
  <c r="G851" i="16"/>
  <c r="I850" i="16"/>
  <c r="H850" i="16"/>
  <c r="G850" i="16"/>
  <c r="I849" i="16"/>
  <c r="H849" i="16"/>
  <c r="G849" i="16"/>
  <c r="I848" i="16"/>
  <c r="H848" i="16"/>
  <c r="G848" i="16"/>
  <c r="I847" i="16"/>
  <c r="H847" i="16"/>
  <c r="G847" i="16"/>
  <c r="I846" i="16"/>
  <c r="H846" i="16"/>
  <c r="G846" i="16"/>
  <c r="I845" i="16"/>
  <c r="H845" i="16"/>
  <c r="G845" i="16"/>
  <c r="I844" i="16"/>
  <c r="H844" i="16"/>
  <c r="G844" i="16"/>
  <c r="I843" i="16"/>
  <c r="H843" i="16"/>
  <c r="G843" i="16"/>
  <c r="I842" i="16"/>
  <c r="H842" i="16"/>
  <c r="G842" i="16"/>
  <c r="I841" i="16"/>
  <c r="H841" i="16"/>
  <c r="G841" i="16"/>
  <c r="I840" i="16"/>
  <c r="H840" i="16"/>
  <c r="G840" i="16"/>
  <c r="I839" i="16"/>
  <c r="H839" i="16"/>
  <c r="G839" i="16"/>
  <c r="I838" i="16"/>
  <c r="H838" i="16"/>
  <c r="G838" i="16"/>
  <c r="I837" i="16"/>
  <c r="H837" i="16"/>
  <c r="G837" i="16"/>
  <c r="I836" i="16"/>
  <c r="H836" i="16"/>
  <c r="G836" i="16"/>
  <c r="I835" i="16"/>
  <c r="H835" i="16"/>
  <c r="G835" i="16"/>
  <c r="I834" i="16"/>
  <c r="H834" i="16"/>
  <c r="G834" i="16"/>
  <c r="I833" i="16"/>
  <c r="H833" i="16"/>
  <c r="G833" i="16"/>
  <c r="I832" i="16"/>
  <c r="H832" i="16"/>
  <c r="G832" i="16"/>
  <c r="I831" i="16"/>
  <c r="H831" i="16"/>
  <c r="G831" i="16"/>
  <c r="I830" i="16"/>
  <c r="H830" i="16"/>
  <c r="G830" i="16"/>
  <c r="I829" i="16"/>
  <c r="H829" i="16"/>
  <c r="G829" i="16"/>
  <c r="I828" i="16"/>
  <c r="H828" i="16"/>
  <c r="G828" i="16"/>
  <c r="I827" i="16"/>
  <c r="H827" i="16"/>
  <c r="G827" i="16"/>
  <c r="I826" i="16"/>
  <c r="H826" i="16"/>
  <c r="G826" i="16"/>
  <c r="I825" i="16"/>
  <c r="H825" i="16"/>
  <c r="G825" i="16"/>
  <c r="I824" i="16"/>
  <c r="H824" i="16"/>
  <c r="G824" i="16"/>
  <c r="I823" i="16"/>
  <c r="H823" i="16"/>
  <c r="G823" i="16"/>
  <c r="I822" i="16"/>
  <c r="H822" i="16"/>
  <c r="G822" i="16"/>
  <c r="I821" i="16"/>
  <c r="H821" i="16"/>
  <c r="G821" i="16"/>
  <c r="I820" i="16"/>
  <c r="H820" i="16"/>
  <c r="G820" i="16"/>
  <c r="I819" i="16"/>
  <c r="H819" i="16"/>
  <c r="G819" i="16"/>
  <c r="I818" i="16"/>
  <c r="H818" i="16"/>
  <c r="G818" i="16"/>
  <c r="I817" i="16"/>
  <c r="H817" i="16"/>
  <c r="G817" i="16"/>
  <c r="I816" i="16"/>
  <c r="H816" i="16"/>
  <c r="G816" i="16"/>
  <c r="I815" i="16"/>
  <c r="H815" i="16"/>
  <c r="G815" i="16"/>
  <c r="I814" i="16"/>
  <c r="H814" i="16"/>
  <c r="G814" i="16"/>
  <c r="I813" i="16"/>
  <c r="H813" i="16"/>
  <c r="G813" i="16"/>
  <c r="I812" i="16"/>
  <c r="H812" i="16"/>
  <c r="G812" i="16"/>
  <c r="I811" i="16"/>
  <c r="H811" i="16"/>
  <c r="G811" i="16"/>
  <c r="I810" i="16"/>
  <c r="H810" i="16"/>
  <c r="G810" i="16"/>
  <c r="I809" i="16"/>
  <c r="H809" i="16"/>
  <c r="G809" i="16"/>
  <c r="I808" i="16"/>
  <c r="H808" i="16"/>
  <c r="G808" i="16"/>
  <c r="I807" i="16"/>
  <c r="H807" i="16"/>
  <c r="G807" i="16"/>
  <c r="I806" i="16"/>
  <c r="H806" i="16"/>
  <c r="G806" i="16"/>
  <c r="I805" i="16"/>
  <c r="H805" i="16"/>
  <c r="G805" i="16"/>
  <c r="I804" i="16"/>
  <c r="H804" i="16"/>
  <c r="G804" i="16"/>
  <c r="I803" i="16"/>
  <c r="H803" i="16"/>
  <c r="G803" i="16"/>
  <c r="I802" i="16"/>
  <c r="H802" i="16"/>
  <c r="G802" i="16"/>
  <c r="I801" i="16"/>
  <c r="H801" i="16"/>
  <c r="G801" i="16"/>
  <c r="I800" i="16"/>
  <c r="H800" i="16"/>
  <c r="G800" i="16"/>
  <c r="I799" i="16"/>
  <c r="H799" i="16"/>
  <c r="G799" i="16"/>
  <c r="I798" i="16"/>
  <c r="H798" i="16"/>
  <c r="G798" i="16"/>
  <c r="I797" i="16"/>
  <c r="H797" i="16"/>
  <c r="G797" i="16"/>
  <c r="I796" i="16"/>
  <c r="H796" i="16"/>
  <c r="G796" i="16"/>
  <c r="I795" i="16"/>
  <c r="H795" i="16"/>
  <c r="G795" i="16"/>
  <c r="I794" i="16"/>
  <c r="H794" i="16"/>
  <c r="G794" i="16"/>
  <c r="I793" i="16"/>
  <c r="H793" i="16"/>
  <c r="G793" i="16"/>
  <c r="I792" i="16"/>
  <c r="H792" i="16"/>
  <c r="G792" i="16"/>
  <c r="I791" i="16"/>
  <c r="H791" i="16"/>
  <c r="G791" i="16"/>
  <c r="I790" i="16"/>
  <c r="H790" i="16"/>
  <c r="G790" i="16"/>
  <c r="I789" i="16"/>
  <c r="H789" i="16"/>
  <c r="G789" i="16"/>
  <c r="I788" i="16"/>
  <c r="H788" i="16"/>
  <c r="G788" i="16"/>
  <c r="I787" i="16"/>
  <c r="H787" i="16"/>
  <c r="G787" i="16"/>
  <c r="I786" i="16"/>
  <c r="H786" i="16"/>
  <c r="G786" i="16"/>
  <c r="I785" i="16"/>
  <c r="H785" i="16"/>
  <c r="G785" i="16"/>
  <c r="I784" i="16"/>
  <c r="H784" i="16"/>
  <c r="G784" i="16"/>
  <c r="I783" i="16"/>
  <c r="H783" i="16"/>
  <c r="G783" i="16"/>
  <c r="I782" i="16"/>
  <c r="H782" i="16"/>
  <c r="G782" i="16"/>
  <c r="I781" i="16"/>
  <c r="H781" i="16"/>
  <c r="G781" i="16"/>
  <c r="I780" i="16"/>
  <c r="H780" i="16"/>
  <c r="G780" i="16"/>
  <c r="I779" i="16"/>
  <c r="H779" i="16"/>
  <c r="G779" i="16"/>
  <c r="I778" i="16"/>
  <c r="H778" i="16"/>
  <c r="G778" i="16"/>
  <c r="I777" i="16"/>
  <c r="H777" i="16"/>
  <c r="G777" i="16"/>
  <c r="I776" i="16"/>
  <c r="H776" i="16"/>
  <c r="G776" i="16"/>
  <c r="I775" i="16"/>
  <c r="H775" i="16"/>
  <c r="G775" i="16"/>
  <c r="I774" i="16"/>
  <c r="H774" i="16"/>
  <c r="G774" i="16"/>
  <c r="I773" i="16"/>
  <c r="H773" i="16"/>
  <c r="G773" i="16"/>
  <c r="I772" i="16"/>
  <c r="H772" i="16"/>
  <c r="G772" i="16"/>
  <c r="I771" i="16"/>
  <c r="H771" i="16"/>
  <c r="G771" i="16"/>
  <c r="I770" i="16"/>
  <c r="H770" i="16"/>
  <c r="G770" i="16"/>
  <c r="I769" i="16"/>
  <c r="H769" i="16"/>
  <c r="G769" i="16"/>
  <c r="I768" i="16"/>
  <c r="H768" i="16"/>
  <c r="G768" i="16"/>
  <c r="I767" i="16"/>
  <c r="H767" i="16"/>
  <c r="G767" i="16"/>
  <c r="I766" i="16"/>
  <c r="H766" i="16"/>
  <c r="G766" i="16"/>
  <c r="I765" i="16"/>
  <c r="H765" i="16"/>
  <c r="G765" i="16"/>
  <c r="I764" i="16"/>
  <c r="H764" i="16"/>
  <c r="G764" i="16"/>
  <c r="I763" i="16"/>
  <c r="H763" i="16"/>
  <c r="G763" i="16"/>
  <c r="I762" i="16"/>
  <c r="H762" i="16"/>
  <c r="G762" i="16"/>
  <c r="I761" i="16"/>
  <c r="H761" i="16"/>
  <c r="G761" i="16"/>
  <c r="I760" i="16"/>
  <c r="H760" i="16"/>
  <c r="G760" i="16"/>
  <c r="I759" i="16"/>
  <c r="H759" i="16"/>
  <c r="G759" i="16"/>
  <c r="I758" i="16"/>
  <c r="H758" i="16"/>
  <c r="G758" i="16"/>
  <c r="I757" i="16"/>
  <c r="H757" i="16"/>
  <c r="G757" i="16"/>
  <c r="I756" i="16"/>
  <c r="H756" i="16"/>
  <c r="G756" i="16"/>
  <c r="I755" i="16"/>
  <c r="H755" i="16"/>
  <c r="G755" i="16"/>
  <c r="I754" i="16"/>
  <c r="H754" i="16"/>
  <c r="G754" i="16"/>
  <c r="I753" i="16"/>
  <c r="H753" i="16"/>
  <c r="G753" i="16"/>
  <c r="I752" i="16"/>
  <c r="H752" i="16"/>
  <c r="G752" i="16"/>
  <c r="I751" i="16"/>
  <c r="H751" i="16"/>
  <c r="G751" i="16"/>
  <c r="I750" i="16"/>
  <c r="H750" i="16"/>
  <c r="G750" i="16"/>
  <c r="I749" i="16"/>
  <c r="H749" i="16"/>
  <c r="G749" i="16"/>
  <c r="I748" i="16"/>
  <c r="H748" i="16"/>
  <c r="G748" i="16"/>
  <c r="I747" i="16"/>
  <c r="H747" i="16"/>
  <c r="G747" i="16"/>
  <c r="I746" i="16"/>
  <c r="H746" i="16"/>
  <c r="G746" i="16"/>
  <c r="I745" i="16"/>
  <c r="H745" i="16"/>
  <c r="G745" i="16"/>
  <c r="I744" i="16"/>
  <c r="H744" i="16"/>
  <c r="G744" i="16"/>
  <c r="I743" i="16"/>
  <c r="H743" i="16"/>
  <c r="G743" i="16"/>
  <c r="I742" i="16"/>
  <c r="H742" i="16"/>
  <c r="G742" i="16"/>
  <c r="I741" i="16"/>
  <c r="H741" i="16"/>
  <c r="G741" i="16"/>
  <c r="I740" i="16"/>
  <c r="H740" i="16"/>
  <c r="G740" i="16"/>
  <c r="I739" i="16"/>
  <c r="H739" i="16"/>
  <c r="G739" i="16"/>
  <c r="I738" i="16"/>
  <c r="H738" i="16"/>
  <c r="G738" i="16"/>
  <c r="I737" i="16"/>
  <c r="H737" i="16"/>
  <c r="G737" i="16"/>
  <c r="I736" i="16"/>
  <c r="H736" i="16"/>
  <c r="G736" i="16"/>
  <c r="I735" i="16"/>
  <c r="H735" i="16"/>
  <c r="G735" i="16"/>
  <c r="I734" i="16"/>
  <c r="H734" i="16"/>
  <c r="G734" i="16"/>
  <c r="I733" i="16"/>
  <c r="H733" i="16"/>
  <c r="G733" i="16"/>
  <c r="I732" i="16"/>
  <c r="H732" i="16"/>
  <c r="G732" i="16"/>
  <c r="I731" i="16"/>
  <c r="H731" i="16"/>
  <c r="G731" i="16"/>
  <c r="I730" i="16"/>
  <c r="H730" i="16"/>
  <c r="G730" i="16"/>
  <c r="I729" i="16"/>
  <c r="H729" i="16"/>
  <c r="G729" i="16"/>
  <c r="I728" i="16"/>
  <c r="H728" i="16"/>
  <c r="G728" i="16"/>
  <c r="I727" i="16"/>
  <c r="H727" i="16"/>
  <c r="G727" i="16"/>
  <c r="I726" i="16"/>
  <c r="H726" i="16"/>
  <c r="G726" i="16"/>
  <c r="I725" i="16"/>
  <c r="H725" i="16"/>
  <c r="G725" i="16"/>
  <c r="I724" i="16"/>
  <c r="H724" i="16"/>
  <c r="G724" i="16"/>
  <c r="I723" i="16"/>
  <c r="H723" i="16"/>
  <c r="G723" i="16"/>
  <c r="I722" i="16"/>
  <c r="H722" i="16"/>
  <c r="G722" i="16"/>
  <c r="I721" i="16"/>
  <c r="H721" i="16"/>
  <c r="G721" i="16"/>
  <c r="I720" i="16"/>
  <c r="H720" i="16"/>
  <c r="G720" i="16"/>
  <c r="I719" i="16"/>
  <c r="H719" i="16"/>
  <c r="G719" i="16"/>
  <c r="I718" i="16"/>
  <c r="H718" i="16"/>
  <c r="G718" i="16"/>
  <c r="I717" i="16"/>
  <c r="H717" i="16"/>
  <c r="G717" i="16"/>
  <c r="I716" i="16"/>
  <c r="H716" i="16"/>
  <c r="G716" i="16"/>
  <c r="I715" i="16"/>
  <c r="H715" i="16"/>
  <c r="G715" i="16"/>
  <c r="I714" i="16"/>
  <c r="H714" i="16"/>
  <c r="G714" i="16"/>
  <c r="I713" i="16"/>
  <c r="H713" i="16"/>
  <c r="G713" i="16"/>
  <c r="I712" i="16"/>
  <c r="H712" i="16"/>
  <c r="G712" i="16"/>
  <c r="I711" i="16"/>
  <c r="H711" i="16"/>
  <c r="G711" i="16"/>
  <c r="I710" i="16"/>
  <c r="H710" i="16"/>
  <c r="G710" i="16"/>
  <c r="I709" i="16"/>
  <c r="H709" i="16"/>
  <c r="G709" i="16"/>
  <c r="I708" i="16"/>
  <c r="H708" i="16"/>
  <c r="G708" i="16"/>
  <c r="I707" i="16"/>
  <c r="H707" i="16"/>
  <c r="G707" i="16"/>
  <c r="I706" i="16"/>
  <c r="H706" i="16"/>
  <c r="G706" i="16"/>
  <c r="I705" i="16"/>
  <c r="H705" i="16"/>
  <c r="G705" i="16"/>
  <c r="I704" i="16"/>
  <c r="H704" i="16"/>
  <c r="G704" i="16"/>
  <c r="I703" i="16"/>
  <c r="H703" i="16"/>
  <c r="G703" i="16"/>
  <c r="I702" i="16"/>
  <c r="H702" i="16"/>
  <c r="G702" i="16"/>
  <c r="I701" i="16"/>
  <c r="H701" i="16"/>
  <c r="G701" i="16"/>
  <c r="I700" i="16"/>
  <c r="H700" i="16"/>
  <c r="G700" i="16"/>
  <c r="I699" i="16"/>
  <c r="H699" i="16"/>
  <c r="G699" i="16"/>
  <c r="I698" i="16"/>
  <c r="H698" i="16"/>
  <c r="G698" i="16"/>
  <c r="I697" i="16"/>
  <c r="H697" i="16"/>
  <c r="G697" i="16"/>
  <c r="I696" i="16"/>
  <c r="H696" i="16"/>
  <c r="G696" i="16"/>
  <c r="I695" i="16"/>
  <c r="H695" i="16"/>
  <c r="G695" i="16"/>
  <c r="I694" i="16"/>
  <c r="H694" i="16"/>
  <c r="G694" i="16"/>
  <c r="I693" i="16"/>
  <c r="H693" i="16"/>
  <c r="G693" i="16"/>
  <c r="I692" i="16"/>
  <c r="H692" i="16"/>
  <c r="G692" i="16"/>
  <c r="I691" i="16"/>
  <c r="H691" i="16"/>
  <c r="G691" i="16"/>
  <c r="I690" i="16"/>
  <c r="H690" i="16"/>
  <c r="G690" i="16"/>
  <c r="I689" i="16"/>
  <c r="H689" i="16"/>
  <c r="G689" i="16"/>
  <c r="I688" i="16"/>
  <c r="H688" i="16"/>
  <c r="G688" i="16"/>
  <c r="I687" i="16"/>
  <c r="H687" i="16"/>
  <c r="G687" i="16"/>
  <c r="I686" i="16"/>
  <c r="H686" i="16"/>
  <c r="G686" i="16"/>
  <c r="I685" i="16"/>
  <c r="H685" i="16"/>
  <c r="G685" i="16"/>
  <c r="I684" i="16"/>
  <c r="H684" i="16"/>
  <c r="G684" i="16"/>
  <c r="I683" i="16"/>
  <c r="H683" i="16"/>
  <c r="G683" i="16"/>
  <c r="I682" i="16"/>
  <c r="H682" i="16"/>
  <c r="G682" i="16"/>
  <c r="I681" i="16"/>
  <c r="H681" i="16"/>
  <c r="G681" i="16"/>
  <c r="I680" i="16"/>
  <c r="H680" i="16"/>
  <c r="G680" i="16"/>
  <c r="I679" i="16"/>
  <c r="H679" i="16"/>
  <c r="G679" i="16"/>
  <c r="I678" i="16"/>
  <c r="H678" i="16"/>
  <c r="G678" i="16"/>
  <c r="I677" i="16"/>
  <c r="H677" i="16"/>
  <c r="G677" i="16"/>
  <c r="I676" i="16"/>
  <c r="H676" i="16"/>
  <c r="G676" i="16"/>
  <c r="I675" i="16"/>
  <c r="H675" i="16"/>
  <c r="G675" i="16"/>
  <c r="I674" i="16"/>
  <c r="H674" i="16"/>
  <c r="G674" i="16"/>
  <c r="I673" i="16"/>
  <c r="H673" i="16"/>
  <c r="G673" i="16"/>
  <c r="I672" i="16"/>
  <c r="H672" i="16"/>
  <c r="G672" i="16"/>
  <c r="I671" i="16"/>
  <c r="H671" i="16"/>
  <c r="G671" i="16"/>
  <c r="I670" i="16"/>
  <c r="H670" i="16"/>
  <c r="G670" i="16"/>
  <c r="I669" i="16"/>
  <c r="H669" i="16"/>
  <c r="G669" i="16"/>
  <c r="I668" i="16"/>
  <c r="H668" i="16"/>
  <c r="G668" i="16"/>
  <c r="I667" i="16"/>
  <c r="H667" i="16"/>
  <c r="G667" i="16"/>
  <c r="I666" i="16"/>
  <c r="H666" i="16"/>
  <c r="G666" i="16"/>
  <c r="I665" i="16"/>
  <c r="H665" i="16"/>
  <c r="G665" i="16"/>
  <c r="I664" i="16"/>
  <c r="H664" i="16"/>
  <c r="G664" i="16"/>
  <c r="I663" i="16"/>
  <c r="H663" i="16"/>
  <c r="G663" i="16"/>
  <c r="I662" i="16"/>
  <c r="H662" i="16"/>
  <c r="G662" i="16"/>
  <c r="I661" i="16"/>
  <c r="H661" i="16"/>
  <c r="G661" i="16"/>
  <c r="I660" i="16"/>
  <c r="H660" i="16"/>
  <c r="G660" i="16"/>
  <c r="I659" i="16"/>
  <c r="H659" i="16"/>
  <c r="G659" i="16"/>
  <c r="I658" i="16"/>
  <c r="H658" i="16"/>
  <c r="G658" i="16"/>
  <c r="I657" i="16"/>
  <c r="H657" i="16"/>
  <c r="G657" i="16"/>
  <c r="I656" i="16"/>
  <c r="H656" i="16"/>
  <c r="G656" i="16"/>
  <c r="I655" i="16"/>
  <c r="H655" i="16"/>
  <c r="G655" i="16"/>
  <c r="I654" i="16"/>
  <c r="H654" i="16"/>
  <c r="G654" i="16"/>
  <c r="I653" i="16"/>
  <c r="H653" i="16"/>
  <c r="G653" i="16"/>
  <c r="I652" i="16"/>
  <c r="H652" i="16"/>
  <c r="G652" i="16"/>
  <c r="I651" i="16"/>
  <c r="H651" i="16"/>
  <c r="G651" i="16"/>
  <c r="I650" i="16"/>
  <c r="H650" i="16"/>
  <c r="G650" i="16"/>
  <c r="I649" i="16"/>
  <c r="H649" i="16"/>
  <c r="G649" i="16"/>
  <c r="I648" i="16"/>
  <c r="H648" i="16"/>
  <c r="G648" i="16"/>
  <c r="I647" i="16"/>
  <c r="H647" i="16"/>
  <c r="G647" i="16"/>
  <c r="I646" i="16"/>
  <c r="H646" i="16"/>
  <c r="G646" i="16"/>
  <c r="I645" i="16"/>
  <c r="H645" i="16"/>
  <c r="G645" i="16"/>
  <c r="I644" i="16"/>
  <c r="H644" i="16"/>
  <c r="G644" i="16"/>
  <c r="I643" i="16"/>
  <c r="H643" i="16"/>
  <c r="G643" i="16"/>
  <c r="I642" i="16"/>
  <c r="H642" i="16"/>
  <c r="G642" i="16"/>
  <c r="I641" i="16"/>
  <c r="H641" i="16"/>
  <c r="G641" i="16"/>
  <c r="I640" i="16"/>
  <c r="H640" i="16"/>
  <c r="G640" i="16"/>
  <c r="I639" i="16"/>
  <c r="H639" i="16"/>
  <c r="G639" i="16"/>
  <c r="I638" i="16"/>
  <c r="H638" i="16"/>
  <c r="G638" i="16"/>
  <c r="I637" i="16"/>
  <c r="H637" i="16"/>
  <c r="G637" i="16"/>
  <c r="I636" i="16"/>
  <c r="H636" i="16"/>
  <c r="G636" i="16"/>
  <c r="I635" i="16"/>
  <c r="H635" i="16"/>
  <c r="G635" i="16"/>
  <c r="I634" i="16"/>
  <c r="H634" i="16"/>
  <c r="G634" i="16"/>
  <c r="I633" i="16"/>
  <c r="H633" i="16"/>
  <c r="G633" i="16"/>
  <c r="I632" i="16"/>
  <c r="H632" i="16"/>
  <c r="G632" i="16"/>
  <c r="I631" i="16"/>
  <c r="H631" i="16"/>
  <c r="G631" i="16"/>
  <c r="I630" i="16"/>
  <c r="H630" i="16"/>
  <c r="G630" i="16"/>
  <c r="I629" i="16"/>
  <c r="H629" i="16"/>
  <c r="G629" i="16"/>
  <c r="I628" i="16"/>
  <c r="H628" i="16"/>
  <c r="G628" i="16"/>
  <c r="I627" i="16"/>
  <c r="H627" i="16"/>
  <c r="G627" i="16"/>
  <c r="I626" i="16"/>
  <c r="H626" i="16"/>
  <c r="G626" i="16"/>
  <c r="I625" i="16"/>
  <c r="H625" i="16"/>
  <c r="G625" i="16"/>
  <c r="I624" i="16"/>
  <c r="H624" i="16"/>
  <c r="G624" i="16"/>
  <c r="I623" i="16"/>
  <c r="H623" i="16"/>
  <c r="G623" i="16"/>
  <c r="I622" i="16"/>
  <c r="H622" i="16"/>
  <c r="G622" i="16"/>
  <c r="I621" i="16"/>
  <c r="H621" i="16"/>
  <c r="G621" i="16"/>
  <c r="I620" i="16"/>
  <c r="H620" i="16"/>
  <c r="G620" i="16"/>
  <c r="I619" i="16"/>
  <c r="H619" i="16"/>
  <c r="G619" i="16"/>
  <c r="I618" i="16"/>
  <c r="H618" i="16"/>
  <c r="G618" i="16"/>
  <c r="I617" i="16"/>
  <c r="H617" i="16"/>
  <c r="G617" i="16"/>
  <c r="I616" i="16"/>
  <c r="H616" i="16"/>
  <c r="G616" i="16"/>
  <c r="I615" i="16"/>
  <c r="H615" i="16"/>
  <c r="G615" i="16"/>
  <c r="I614" i="16"/>
  <c r="H614" i="16"/>
  <c r="G614" i="16"/>
  <c r="I613" i="16"/>
  <c r="H613" i="16"/>
  <c r="G613" i="16"/>
  <c r="I612" i="16"/>
  <c r="H612" i="16"/>
  <c r="G612" i="16"/>
  <c r="I611" i="16"/>
  <c r="H611" i="16"/>
  <c r="G611" i="16"/>
  <c r="I610" i="16"/>
  <c r="H610" i="16"/>
  <c r="G610" i="16"/>
  <c r="I609" i="16"/>
  <c r="H609" i="16"/>
  <c r="G609" i="16"/>
  <c r="I608" i="16"/>
  <c r="H608" i="16"/>
  <c r="G608" i="16"/>
  <c r="I607" i="16"/>
  <c r="H607" i="16"/>
  <c r="G607" i="16"/>
  <c r="I606" i="16"/>
  <c r="H606" i="16"/>
  <c r="G606" i="16"/>
  <c r="I605" i="16"/>
  <c r="H605" i="16"/>
  <c r="G605" i="16"/>
  <c r="I604" i="16"/>
  <c r="H604" i="16"/>
  <c r="G604" i="16"/>
  <c r="I603" i="16"/>
  <c r="H603" i="16"/>
  <c r="G603" i="16"/>
  <c r="I602" i="16"/>
  <c r="H602" i="16"/>
  <c r="G602" i="16"/>
  <c r="I601" i="16"/>
  <c r="H601" i="16"/>
  <c r="G601" i="16"/>
  <c r="I600" i="16"/>
  <c r="H600" i="16"/>
  <c r="G600" i="16"/>
  <c r="I599" i="16"/>
  <c r="H599" i="16"/>
  <c r="G599" i="16"/>
  <c r="I598" i="16"/>
  <c r="H598" i="16"/>
  <c r="G598" i="16"/>
  <c r="I597" i="16"/>
  <c r="H597" i="16"/>
  <c r="G597" i="16"/>
  <c r="I596" i="16"/>
  <c r="H596" i="16"/>
  <c r="G596" i="16"/>
  <c r="I595" i="16"/>
  <c r="H595" i="16"/>
  <c r="G595" i="16"/>
  <c r="I594" i="16"/>
  <c r="H594" i="16"/>
  <c r="G594" i="16"/>
  <c r="I593" i="16"/>
  <c r="H593" i="16"/>
  <c r="G593" i="16"/>
  <c r="I592" i="16"/>
  <c r="H592" i="16"/>
  <c r="G592" i="16"/>
  <c r="I591" i="16"/>
  <c r="H591" i="16"/>
  <c r="G591" i="16"/>
  <c r="I590" i="16"/>
  <c r="H590" i="16"/>
  <c r="G590" i="16"/>
  <c r="I589" i="16"/>
  <c r="H589" i="16"/>
  <c r="G589" i="16"/>
  <c r="I588" i="16"/>
  <c r="H588" i="16"/>
  <c r="G588" i="16"/>
  <c r="I587" i="16"/>
  <c r="H587" i="16"/>
  <c r="G587" i="16"/>
  <c r="I586" i="16"/>
  <c r="H586" i="16"/>
  <c r="G586" i="16"/>
  <c r="I585" i="16"/>
  <c r="H585" i="16"/>
  <c r="G585" i="16"/>
  <c r="I584" i="16"/>
  <c r="H584" i="16"/>
  <c r="G584" i="16"/>
  <c r="I583" i="16"/>
  <c r="H583" i="16"/>
  <c r="G583" i="16"/>
  <c r="I582" i="16"/>
  <c r="H582" i="16"/>
  <c r="G582" i="16"/>
  <c r="I581" i="16"/>
  <c r="H581" i="16"/>
  <c r="G581" i="16"/>
  <c r="I580" i="16"/>
  <c r="H580" i="16"/>
  <c r="G580" i="16"/>
  <c r="I579" i="16"/>
  <c r="H579" i="16"/>
  <c r="G579" i="16"/>
  <c r="I578" i="16"/>
  <c r="H578" i="16"/>
  <c r="G578" i="16"/>
  <c r="I577" i="16"/>
  <c r="H577" i="16"/>
  <c r="G577" i="16"/>
  <c r="I576" i="16"/>
  <c r="H576" i="16"/>
  <c r="G576" i="16"/>
  <c r="I575" i="16"/>
  <c r="H575" i="16"/>
  <c r="G575" i="16"/>
  <c r="I574" i="16"/>
  <c r="H574" i="16"/>
  <c r="G574" i="16"/>
  <c r="I573" i="16"/>
  <c r="H573" i="16"/>
  <c r="G573" i="16"/>
  <c r="I572" i="16"/>
  <c r="H572" i="16"/>
  <c r="G572" i="16"/>
  <c r="I571" i="16"/>
  <c r="H571" i="16"/>
  <c r="G571" i="16"/>
  <c r="I570" i="16"/>
  <c r="H570" i="16"/>
  <c r="G570" i="16"/>
  <c r="I569" i="16"/>
  <c r="H569" i="16"/>
  <c r="G569" i="16"/>
  <c r="I568" i="16"/>
  <c r="H568" i="16"/>
  <c r="G568" i="16"/>
  <c r="I567" i="16"/>
  <c r="H567" i="16"/>
  <c r="G567" i="16"/>
  <c r="I566" i="16"/>
  <c r="H566" i="16"/>
  <c r="G566" i="16"/>
  <c r="I565" i="16"/>
  <c r="H565" i="16"/>
  <c r="G565" i="16"/>
  <c r="I564" i="16"/>
  <c r="H564" i="16"/>
  <c r="G564" i="16"/>
  <c r="I563" i="16"/>
  <c r="H563" i="16"/>
  <c r="G563" i="16"/>
  <c r="I562" i="16"/>
  <c r="H562" i="16"/>
  <c r="G562" i="16"/>
  <c r="I561" i="16"/>
  <c r="H561" i="16"/>
  <c r="G561" i="16"/>
  <c r="I560" i="16"/>
  <c r="H560" i="16"/>
  <c r="G560" i="16"/>
  <c r="I559" i="16"/>
  <c r="H559" i="16"/>
  <c r="G559" i="16"/>
  <c r="I558" i="16"/>
  <c r="H558" i="16"/>
  <c r="G558" i="16"/>
  <c r="I557" i="16"/>
  <c r="H557" i="16"/>
  <c r="G557" i="16"/>
  <c r="I556" i="16"/>
  <c r="H556" i="16"/>
  <c r="G556" i="16"/>
  <c r="I555" i="16"/>
  <c r="H555" i="16"/>
  <c r="G555" i="16"/>
  <c r="I554" i="16"/>
  <c r="H554" i="16"/>
  <c r="G554" i="16"/>
  <c r="I553" i="16"/>
  <c r="H553" i="16"/>
  <c r="G553" i="16"/>
  <c r="I552" i="16"/>
  <c r="H552" i="16"/>
  <c r="G552" i="16"/>
  <c r="I551" i="16"/>
  <c r="H551" i="16"/>
  <c r="G551" i="16"/>
  <c r="I550" i="16"/>
  <c r="H550" i="16"/>
  <c r="G550" i="16"/>
  <c r="I549" i="16"/>
  <c r="H549" i="16"/>
  <c r="G549" i="16"/>
  <c r="I548" i="16"/>
  <c r="H548" i="16"/>
  <c r="G548" i="16"/>
  <c r="I547" i="16"/>
  <c r="H547" i="16"/>
  <c r="G547" i="16"/>
  <c r="I546" i="16"/>
  <c r="H546" i="16"/>
  <c r="G546" i="16"/>
  <c r="I545" i="16"/>
  <c r="H545" i="16"/>
  <c r="G545" i="16"/>
  <c r="I544" i="16"/>
  <c r="H544" i="16"/>
  <c r="G544" i="16"/>
  <c r="I543" i="16"/>
  <c r="H543" i="16"/>
  <c r="G543" i="16"/>
  <c r="I542" i="16"/>
  <c r="H542" i="16"/>
  <c r="G542" i="16"/>
  <c r="I541" i="16"/>
  <c r="H541" i="16"/>
  <c r="G541" i="16"/>
  <c r="I540" i="16"/>
  <c r="H540" i="16"/>
  <c r="G540" i="16"/>
  <c r="I539" i="16"/>
  <c r="H539" i="16"/>
  <c r="G539" i="16"/>
  <c r="I538" i="16"/>
  <c r="H538" i="16"/>
  <c r="G538" i="16"/>
  <c r="I537" i="16"/>
  <c r="H537" i="16"/>
  <c r="G537" i="16"/>
  <c r="I536" i="16"/>
  <c r="H536" i="16"/>
  <c r="G536" i="16"/>
  <c r="I535" i="16"/>
  <c r="H535" i="16"/>
  <c r="G535" i="16"/>
  <c r="I534" i="16"/>
  <c r="H534" i="16"/>
  <c r="G534" i="16"/>
  <c r="I533" i="16"/>
  <c r="H533" i="16"/>
  <c r="G533" i="16"/>
  <c r="I532" i="16"/>
  <c r="H532" i="16"/>
  <c r="G532" i="16"/>
  <c r="I531" i="16"/>
  <c r="H531" i="16"/>
  <c r="G531" i="16"/>
  <c r="I530" i="16"/>
  <c r="H530" i="16"/>
  <c r="G530" i="16"/>
  <c r="I529" i="16"/>
  <c r="H529" i="16"/>
  <c r="G529" i="16"/>
  <c r="I528" i="16"/>
  <c r="H528" i="16"/>
  <c r="G528" i="16"/>
  <c r="I527" i="16"/>
  <c r="H527" i="16"/>
  <c r="G527" i="16"/>
  <c r="I526" i="16"/>
  <c r="H526" i="16"/>
  <c r="G526" i="16"/>
  <c r="I525" i="16"/>
  <c r="H525" i="16"/>
  <c r="G525" i="16"/>
  <c r="I524" i="16"/>
  <c r="H524" i="16"/>
  <c r="G524" i="16"/>
  <c r="I523" i="16"/>
  <c r="H523" i="16"/>
  <c r="G523" i="16"/>
  <c r="I522" i="16"/>
  <c r="H522" i="16"/>
  <c r="G522" i="16"/>
  <c r="I521" i="16"/>
  <c r="H521" i="16"/>
  <c r="G521" i="16"/>
  <c r="I520" i="16"/>
  <c r="H520" i="16"/>
  <c r="G520" i="16"/>
  <c r="I519" i="16"/>
  <c r="H519" i="16"/>
  <c r="G519" i="16"/>
  <c r="I518" i="16"/>
  <c r="H518" i="16"/>
  <c r="G518" i="16"/>
  <c r="I517" i="16"/>
  <c r="H517" i="16"/>
  <c r="G517" i="16"/>
  <c r="I516" i="16"/>
  <c r="H516" i="16"/>
  <c r="G516" i="16"/>
  <c r="I515" i="16"/>
  <c r="H515" i="16"/>
  <c r="G515" i="16"/>
  <c r="I514" i="16"/>
  <c r="H514" i="16"/>
  <c r="G514" i="16"/>
  <c r="I513" i="16"/>
  <c r="H513" i="16"/>
  <c r="G513" i="16"/>
  <c r="I512" i="16"/>
  <c r="H512" i="16"/>
  <c r="G512" i="16"/>
  <c r="I511" i="16"/>
  <c r="H511" i="16"/>
  <c r="G511" i="16"/>
  <c r="I510" i="16"/>
  <c r="H510" i="16"/>
  <c r="G510" i="16"/>
  <c r="I509" i="16"/>
  <c r="H509" i="16"/>
  <c r="G509" i="16"/>
  <c r="I508" i="16"/>
  <c r="H508" i="16"/>
  <c r="G508" i="16"/>
  <c r="I507" i="16"/>
  <c r="H507" i="16"/>
  <c r="G507" i="16"/>
  <c r="I506" i="16"/>
  <c r="H506" i="16"/>
  <c r="G506" i="16"/>
  <c r="I505" i="16"/>
  <c r="H505" i="16"/>
  <c r="G505" i="16"/>
  <c r="I504" i="16"/>
  <c r="H504" i="16"/>
  <c r="G504" i="16"/>
  <c r="I503" i="16"/>
  <c r="H503" i="16"/>
  <c r="G503" i="16"/>
  <c r="I502" i="16"/>
  <c r="H502" i="16"/>
  <c r="G502" i="16"/>
  <c r="I501" i="16"/>
  <c r="H501" i="16"/>
  <c r="G501" i="16"/>
  <c r="I500" i="16"/>
  <c r="H500" i="16"/>
  <c r="G500" i="16"/>
  <c r="I499" i="16"/>
  <c r="H499" i="16"/>
  <c r="G499" i="16"/>
  <c r="I498" i="16"/>
  <c r="H498" i="16"/>
  <c r="G498" i="16"/>
  <c r="I497" i="16"/>
  <c r="H497" i="16"/>
  <c r="G497" i="16"/>
  <c r="I496" i="16"/>
  <c r="H496" i="16"/>
  <c r="G496" i="16"/>
  <c r="I495" i="16"/>
  <c r="H495" i="16"/>
  <c r="G495" i="16"/>
  <c r="I494" i="16"/>
  <c r="H494" i="16"/>
  <c r="G494" i="16"/>
  <c r="I493" i="16"/>
  <c r="H493" i="16"/>
  <c r="G493" i="16"/>
  <c r="I492" i="16"/>
  <c r="H492" i="16"/>
  <c r="G492" i="16"/>
  <c r="I491" i="16"/>
  <c r="H491" i="16"/>
  <c r="G491" i="16"/>
  <c r="I490" i="16"/>
  <c r="H490" i="16"/>
  <c r="G490" i="16"/>
  <c r="I489" i="16"/>
  <c r="H489" i="16"/>
  <c r="G489" i="16"/>
  <c r="I488" i="16"/>
  <c r="H488" i="16"/>
  <c r="G488" i="16"/>
  <c r="I487" i="16"/>
  <c r="H487" i="16"/>
  <c r="G487" i="16"/>
  <c r="I486" i="16"/>
  <c r="H486" i="16"/>
  <c r="G486" i="16"/>
  <c r="I485" i="16"/>
  <c r="H485" i="16"/>
  <c r="G485" i="16"/>
  <c r="I484" i="16"/>
  <c r="H484" i="16"/>
  <c r="G484" i="16"/>
  <c r="I483" i="16"/>
  <c r="H483" i="16"/>
  <c r="G483" i="16"/>
  <c r="I482" i="16"/>
  <c r="H482" i="16"/>
  <c r="G482" i="16"/>
  <c r="I481" i="16"/>
  <c r="H481" i="16"/>
  <c r="G481" i="16"/>
  <c r="I480" i="16"/>
  <c r="H480" i="16"/>
  <c r="G480" i="16"/>
  <c r="I479" i="16"/>
  <c r="H479" i="16"/>
  <c r="G479" i="16"/>
  <c r="I478" i="16"/>
  <c r="H478" i="16"/>
  <c r="G478" i="16"/>
  <c r="I477" i="16"/>
  <c r="H477" i="16"/>
  <c r="G477" i="16"/>
  <c r="I476" i="16"/>
  <c r="H476" i="16"/>
  <c r="G476" i="16"/>
  <c r="I475" i="16"/>
  <c r="H475" i="16"/>
  <c r="G475" i="16"/>
  <c r="I474" i="16"/>
  <c r="H474" i="16"/>
  <c r="G474" i="16"/>
  <c r="I473" i="16"/>
  <c r="H473" i="16"/>
  <c r="G473" i="16"/>
  <c r="I472" i="16"/>
  <c r="H472" i="16"/>
  <c r="G472" i="16"/>
  <c r="I471" i="16"/>
  <c r="H471" i="16"/>
  <c r="G471" i="16"/>
  <c r="I470" i="16"/>
  <c r="H470" i="16"/>
  <c r="G470" i="16"/>
  <c r="I469" i="16"/>
  <c r="H469" i="16"/>
  <c r="G469" i="16"/>
  <c r="I468" i="16"/>
  <c r="H468" i="16"/>
  <c r="G468" i="16"/>
  <c r="I467" i="16"/>
  <c r="H467" i="16"/>
  <c r="G467" i="16"/>
  <c r="I466" i="16"/>
  <c r="H466" i="16"/>
  <c r="G466" i="16"/>
  <c r="I465" i="16"/>
  <c r="H465" i="16"/>
  <c r="G465" i="16"/>
  <c r="I464" i="16"/>
  <c r="H464" i="16"/>
  <c r="G464" i="16"/>
  <c r="I463" i="16"/>
  <c r="H463" i="16"/>
  <c r="G463" i="16"/>
  <c r="I462" i="16"/>
  <c r="H462" i="16"/>
  <c r="G462" i="16"/>
  <c r="I461" i="16"/>
  <c r="H461" i="16"/>
  <c r="G461" i="16"/>
  <c r="I460" i="16"/>
  <c r="H460" i="16"/>
  <c r="G460" i="16"/>
  <c r="I459" i="16"/>
  <c r="H459" i="16"/>
  <c r="G459" i="16"/>
  <c r="I458" i="16"/>
  <c r="H458" i="16"/>
  <c r="G458" i="16"/>
  <c r="I457" i="16"/>
  <c r="H457" i="16"/>
  <c r="G457" i="16"/>
  <c r="I456" i="16"/>
  <c r="H456" i="16"/>
  <c r="G456" i="16"/>
  <c r="I455" i="16"/>
  <c r="H455" i="16"/>
  <c r="G455" i="16"/>
  <c r="I454" i="16"/>
  <c r="H454" i="16"/>
  <c r="G454" i="16"/>
  <c r="I453" i="16"/>
  <c r="H453" i="16"/>
  <c r="G453" i="16"/>
  <c r="I452" i="16"/>
  <c r="H452" i="16"/>
  <c r="G452" i="16"/>
  <c r="I451" i="16"/>
  <c r="H451" i="16"/>
  <c r="G451" i="16"/>
  <c r="I450" i="16"/>
  <c r="H450" i="16"/>
  <c r="G450" i="16"/>
  <c r="I449" i="16"/>
  <c r="H449" i="16"/>
  <c r="G449" i="16"/>
  <c r="I448" i="16"/>
  <c r="H448" i="16"/>
  <c r="G448" i="16"/>
  <c r="I447" i="16"/>
  <c r="H447" i="16"/>
  <c r="G447" i="16"/>
  <c r="I446" i="16"/>
  <c r="H446" i="16"/>
  <c r="G446" i="16"/>
  <c r="I445" i="16"/>
  <c r="H445" i="16"/>
  <c r="G445" i="16"/>
  <c r="I444" i="16"/>
  <c r="H444" i="16"/>
  <c r="G444" i="16"/>
  <c r="I443" i="16"/>
  <c r="H443" i="16"/>
  <c r="G443" i="16"/>
  <c r="I442" i="16"/>
  <c r="H442" i="16"/>
  <c r="G442" i="16"/>
  <c r="I441" i="16"/>
  <c r="H441" i="16"/>
  <c r="G441" i="16"/>
  <c r="I440" i="16"/>
  <c r="H440" i="16"/>
  <c r="G440" i="16"/>
  <c r="I439" i="16"/>
  <c r="H439" i="16"/>
  <c r="G439" i="16"/>
  <c r="I438" i="16"/>
  <c r="H438" i="16"/>
  <c r="G438" i="16"/>
  <c r="I437" i="16"/>
  <c r="H437" i="16"/>
  <c r="G437" i="16"/>
  <c r="I436" i="16"/>
  <c r="H436" i="16"/>
  <c r="G436" i="16"/>
  <c r="I435" i="16"/>
  <c r="H435" i="16"/>
  <c r="G435" i="16"/>
  <c r="I434" i="16"/>
  <c r="H434" i="16"/>
  <c r="G434" i="16"/>
  <c r="I433" i="16"/>
  <c r="H433" i="16"/>
  <c r="G433" i="16"/>
  <c r="I432" i="16"/>
  <c r="H432" i="16"/>
  <c r="G432" i="16"/>
  <c r="I431" i="16"/>
  <c r="H431" i="16"/>
  <c r="G431" i="16"/>
  <c r="I430" i="16"/>
  <c r="H430" i="16"/>
  <c r="G430" i="16"/>
  <c r="I429" i="16"/>
  <c r="H429" i="16"/>
  <c r="G429" i="16"/>
  <c r="I428" i="16"/>
  <c r="H428" i="16"/>
  <c r="G428" i="16"/>
  <c r="I427" i="16"/>
  <c r="H427" i="16"/>
  <c r="G427" i="16"/>
  <c r="I426" i="16"/>
  <c r="H426" i="16"/>
  <c r="G426" i="16"/>
  <c r="I425" i="16"/>
  <c r="H425" i="16"/>
  <c r="G425" i="16"/>
  <c r="I424" i="16"/>
  <c r="H424" i="16"/>
  <c r="G424" i="16"/>
  <c r="I423" i="16"/>
  <c r="H423" i="16"/>
  <c r="G423" i="16"/>
  <c r="I422" i="16"/>
  <c r="H422" i="16"/>
  <c r="G422" i="16"/>
  <c r="I421" i="16"/>
  <c r="H421" i="16"/>
  <c r="G421" i="16"/>
  <c r="I420" i="16"/>
  <c r="H420" i="16"/>
  <c r="G420" i="16"/>
  <c r="I419" i="16"/>
  <c r="H419" i="16"/>
  <c r="G419" i="16"/>
  <c r="I418" i="16"/>
  <c r="H418" i="16"/>
  <c r="G418" i="16"/>
  <c r="I417" i="16"/>
  <c r="H417" i="16"/>
  <c r="G417" i="16"/>
  <c r="I416" i="16"/>
  <c r="H416" i="16"/>
  <c r="G416" i="16"/>
  <c r="I415" i="16"/>
  <c r="H415" i="16"/>
  <c r="G415" i="16"/>
  <c r="I414" i="16"/>
  <c r="H414" i="16"/>
  <c r="G414" i="16"/>
  <c r="I413" i="16"/>
  <c r="H413" i="16"/>
  <c r="G413" i="16"/>
  <c r="I412" i="16"/>
  <c r="H412" i="16"/>
  <c r="G412" i="16"/>
  <c r="I411" i="16"/>
  <c r="H411" i="16"/>
  <c r="G411" i="16"/>
  <c r="I410" i="16"/>
  <c r="H410" i="16"/>
  <c r="G410" i="16"/>
  <c r="I409" i="16"/>
  <c r="H409" i="16"/>
  <c r="G409" i="16"/>
  <c r="I408" i="16"/>
  <c r="H408" i="16"/>
  <c r="G408" i="16"/>
  <c r="I407" i="16"/>
  <c r="H407" i="16"/>
  <c r="G407" i="16"/>
  <c r="I406" i="16"/>
  <c r="H406" i="16"/>
  <c r="G406" i="16"/>
  <c r="I405" i="16"/>
  <c r="H405" i="16"/>
  <c r="G405" i="16"/>
  <c r="I404" i="16"/>
  <c r="H404" i="16"/>
  <c r="G404" i="16"/>
  <c r="I403" i="16"/>
  <c r="H403" i="16"/>
  <c r="G403" i="16"/>
  <c r="I402" i="16"/>
  <c r="H402" i="16"/>
  <c r="G402" i="16"/>
  <c r="I401" i="16"/>
  <c r="H401" i="16"/>
  <c r="G401" i="16"/>
  <c r="I400" i="16"/>
  <c r="H400" i="16"/>
  <c r="G400" i="16"/>
  <c r="I399" i="16"/>
  <c r="H399" i="16"/>
  <c r="G399" i="16"/>
  <c r="I398" i="16"/>
  <c r="H398" i="16"/>
  <c r="G398" i="16"/>
  <c r="I397" i="16"/>
  <c r="H397" i="16"/>
  <c r="G397" i="16"/>
  <c r="I396" i="16"/>
  <c r="H396" i="16"/>
  <c r="G396" i="16"/>
  <c r="I395" i="16"/>
  <c r="H395" i="16"/>
  <c r="G395" i="16"/>
  <c r="I394" i="16"/>
  <c r="H394" i="16"/>
  <c r="G394" i="16"/>
  <c r="I393" i="16"/>
  <c r="H393" i="16"/>
  <c r="G393" i="16"/>
  <c r="I392" i="16"/>
  <c r="H392" i="16"/>
  <c r="G392" i="16"/>
  <c r="I391" i="16"/>
  <c r="H391" i="16"/>
  <c r="G391" i="16"/>
  <c r="I390" i="16"/>
  <c r="H390" i="16"/>
  <c r="G390" i="16"/>
  <c r="I389" i="16"/>
  <c r="H389" i="16"/>
  <c r="G389" i="16"/>
  <c r="I388" i="16"/>
  <c r="H388" i="16"/>
  <c r="G388" i="16"/>
  <c r="I387" i="16"/>
  <c r="H387" i="16"/>
  <c r="G387" i="16"/>
  <c r="I386" i="16"/>
  <c r="H386" i="16"/>
  <c r="G386" i="16"/>
  <c r="I385" i="16"/>
  <c r="H385" i="16"/>
  <c r="G385" i="16"/>
  <c r="I384" i="16"/>
  <c r="H384" i="16"/>
  <c r="G384" i="16"/>
  <c r="I383" i="16"/>
  <c r="H383" i="16"/>
  <c r="G383" i="16"/>
  <c r="I382" i="16"/>
  <c r="H382" i="16"/>
  <c r="G382" i="16"/>
  <c r="I381" i="16"/>
  <c r="H381" i="16"/>
  <c r="G381" i="16"/>
  <c r="I380" i="16"/>
  <c r="H380" i="16"/>
  <c r="G380" i="16"/>
  <c r="I379" i="16"/>
  <c r="H379" i="16"/>
  <c r="G379" i="16"/>
  <c r="I378" i="16"/>
  <c r="H378" i="16"/>
  <c r="G378" i="16"/>
  <c r="I377" i="16"/>
  <c r="H377" i="16"/>
  <c r="G377" i="16"/>
  <c r="I376" i="16"/>
  <c r="H376" i="16"/>
  <c r="G376" i="16"/>
  <c r="I375" i="16"/>
  <c r="H375" i="16"/>
  <c r="G375" i="16"/>
  <c r="I374" i="16"/>
  <c r="H374" i="16"/>
  <c r="G374" i="16"/>
  <c r="I373" i="16"/>
  <c r="H373" i="16"/>
  <c r="G373" i="16"/>
  <c r="I372" i="16"/>
  <c r="H372" i="16"/>
  <c r="G372" i="16"/>
  <c r="I371" i="16"/>
  <c r="H371" i="16"/>
  <c r="G371" i="16"/>
  <c r="I370" i="16"/>
  <c r="H370" i="16"/>
  <c r="G370" i="16"/>
  <c r="I369" i="16"/>
  <c r="H369" i="16"/>
  <c r="G369" i="16"/>
  <c r="I368" i="16"/>
  <c r="H368" i="16"/>
  <c r="G368" i="16"/>
  <c r="I367" i="16"/>
  <c r="H367" i="16"/>
  <c r="G367" i="16"/>
  <c r="I366" i="16"/>
  <c r="H366" i="16"/>
  <c r="G366" i="16"/>
  <c r="I365" i="16"/>
  <c r="H365" i="16"/>
  <c r="G365" i="16"/>
  <c r="I364" i="16"/>
  <c r="H364" i="16"/>
  <c r="G364" i="16"/>
  <c r="I363" i="16"/>
  <c r="H363" i="16"/>
  <c r="G363" i="16"/>
  <c r="I362" i="16"/>
  <c r="H362" i="16"/>
  <c r="G362" i="16"/>
  <c r="I361" i="16"/>
  <c r="H361" i="16"/>
  <c r="G361" i="16"/>
  <c r="I360" i="16"/>
  <c r="H360" i="16"/>
  <c r="G360" i="16"/>
  <c r="I359" i="16"/>
  <c r="H359" i="16"/>
  <c r="G359" i="16"/>
  <c r="I358" i="16"/>
  <c r="H358" i="16"/>
  <c r="G358" i="16"/>
  <c r="I357" i="16"/>
  <c r="H357" i="16"/>
  <c r="G357" i="16"/>
  <c r="I356" i="16"/>
  <c r="H356" i="16"/>
  <c r="G356" i="16"/>
  <c r="I355" i="16"/>
  <c r="H355" i="16"/>
  <c r="G355" i="16"/>
  <c r="I354" i="16"/>
  <c r="H354" i="16"/>
  <c r="G354" i="16"/>
  <c r="I353" i="16"/>
  <c r="H353" i="16"/>
  <c r="G353" i="16"/>
  <c r="I352" i="16"/>
  <c r="H352" i="16"/>
  <c r="G352" i="16"/>
  <c r="I351" i="16"/>
  <c r="H351" i="16"/>
  <c r="G351" i="16"/>
  <c r="I350" i="16"/>
  <c r="H350" i="16"/>
  <c r="G350" i="16"/>
  <c r="I349" i="16"/>
  <c r="H349" i="16"/>
  <c r="G349" i="16"/>
  <c r="I348" i="16"/>
  <c r="H348" i="16"/>
  <c r="G348" i="16"/>
  <c r="I347" i="16"/>
  <c r="H347" i="16"/>
  <c r="G347" i="16"/>
  <c r="I346" i="16"/>
  <c r="H346" i="16"/>
  <c r="G346" i="16"/>
  <c r="I345" i="16"/>
  <c r="H345" i="16"/>
  <c r="G345" i="16"/>
  <c r="I344" i="16"/>
  <c r="H344" i="16"/>
  <c r="G344" i="16"/>
  <c r="I343" i="16"/>
  <c r="H343" i="16"/>
  <c r="G343" i="16"/>
  <c r="I342" i="16"/>
  <c r="H342" i="16"/>
  <c r="G342" i="16"/>
  <c r="I341" i="16"/>
  <c r="H341" i="16"/>
  <c r="G341" i="16"/>
  <c r="I340" i="16"/>
  <c r="H340" i="16"/>
  <c r="G340" i="16"/>
  <c r="I339" i="16"/>
  <c r="H339" i="16"/>
  <c r="G339" i="16"/>
  <c r="I338" i="16"/>
  <c r="H338" i="16"/>
  <c r="G338" i="16"/>
  <c r="I337" i="16"/>
  <c r="H337" i="16"/>
  <c r="G337" i="16"/>
  <c r="I336" i="16"/>
  <c r="H336" i="16"/>
  <c r="G336" i="16"/>
  <c r="I335" i="16"/>
  <c r="H335" i="16"/>
  <c r="G335" i="16"/>
  <c r="I334" i="16"/>
  <c r="H334" i="16"/>
  <c r="G334" i="16"/>
  <c r="I333" i="16"/>
  <c r="H333" i="16"/>
  <c r="G333" i="16"/>
  <c r="I332" i="16"/>
  <c r="H332" i="16"/>
  <c r="G332" i="16"/>
  <c r="I331" i="16"/>
  <c r="H331" i="16"/>
  <c r="G331" i="16"/>
  <c r="I330" i="16"/>
  <c r="H330" i="16"/>
  <c r="G330" i="16"/>
  <c r="I329" i="16"/>
  <c r="H329" i="16"/>
  <c r="G329" i="16"/>
  <c r="I328" i="16"/>
  <c r="H328" i="16"/>
  <c r="G328" i="16"/>
  <c r="I327" i="16"/>
  <c r="H327" i="16"/>
  <c r="G327" i="16"/>
  <c r="I326" i="16"/>
  <c r="H326" i="16"/>
  <c r="G326" i="16"/>
  <c r="I325" i="16"/>
  <c r="H325" i="16"/>
  <c r="G325" i="16"/>
  <c r="I324" i="16"/>
  <c r="H324" i="16"/>
  <c r="G324" i="16"/>
  <c r="I323" i="16"/>
  <c r="H323" i="16"/>
  <c r="G323" i="16"/>
  <c r="I322" i="16"/>
  <c r="H322" i="16"/>
  <c r="G322" i="16"/>
  <c r="I321" i="16"/>
  <c r="H321" i="16"/>
  <c r="G321" i="16"/>
  <c r="I320" i="16"/>
  <c r="H320" i="16"/>
  <c r="G320" i="16"/>
  <c r="I319" i="16"/>
  <c r="H319" i="16"/>
  <c r="G319" i="16"/>
  <c r="I318" i="16"/>
  <c r="H318" i="16"/>
  <c r="G318" i="16"/>
  <c r="I317" i="16"/>
  <c r="H317" i="16"/>
  <c r="G317" i="16"/>
  <c r="I316" i="16"/>
  <c r="H316" i="16"/>
  <c r="G316" i="16"/>
  <c r="I315" i="16"/>
  <c r="H315" i="16"/>
  <c r="G315" i="16"/>
  <c r="I314" i="16"/>
  <c r="H314" i="16"/>
  <c r="G314" i="16"/>
  <c r="I313" i="16"/>
  <c r="H313" i="16"/>
  <c r="G313" i="16"/>
  <c r="I312" i="16"/>
  <c r="H312" i="16"/>
  <c r="G312" i="16"/>
  <c r="I311" i="16"/>
  <c r="H311" i="16"/>
  <c r="G311" i="16"/>
  <c r="I310" i="16"/>
  <c r="H310" i="16"/>
  <c r="G310" i="16"/>
  <c r="I309" i="16"/>
  <c r="H309" i="16"/>
  <c r="G309" i="16"/>
  <c r="I308" i="16"/>
  <c r="H308" i="16"/>
  <c r="G308" i="16"/>
  <c r="I307" i="16"/>
  <c r="H307" i="16"/>
  <c r="G307" i="16"/>
  <c r="I306" i="16"/>
  <c r="H306" i="16"/>
  <c r="G306" i="16"/>
  <c r="I305" i="16"/>
  <c r="H305" i="16"/>
  <c r="G305" i="16"/>
  <c r="I304" i="16"/>
  <c r="H304" i="16"/>
  <c r="G304" i="16"/>
  <c r="I303" i="16"/>
  <c r="H303" i="16"/>
  <c r="G303" i="16"/>
  <c r="I302" i="16"/>
  <c r="H302" i="16"/>
  <c r="G302" i="16"/>
  <c r="I301" i="16"/>
  <c r="H301" i="16"/>
  <c r="G301" i="16"/>
  <c r="I300" i="16"/>
  <c r="H300" i="16"/>
  <c r="G300" i="16"/>
  <c r="I299" i="16"/>
  <c r="H299" i="16"/>
  <c r="G299" i="16"/>
  <c r="I298" i="16"/>
  <c r="H298" i="16"/>
  <c r="G298" i="16"/>
  <c r="I297" i="16"/>
  <c r="H297" i="16"/>
  <c r="G297" i="16"/>
  <c r="I296" i="16"/>
  <c r="H296" i="16"/>
  <c r="G296" i="16"/>
  <c r="I295" i="16"/>
  <c r="H295" i="16"/>
  <c r="G295" i="16"/>
  <c r="I294" i="16"/>
  <c r="H294" i="16"/>
  <c r="G294" i="16"/>
  <c r="I293" i="16"/>
  <c r="H293" i="16"/>
  <c r="G293" i="16"/>
  <c r="I292" i="16"/>
  <c r="H292" i="16"/>
  <c r="G292" i="16"/>
  <c r="I291" i="16"/>
  <c r="H291" i="16"/>
  <c r="G291" i="16"/>
  <c r="I290" i="16"/>
  <c r="H290" i="16"/>
  <c r="G290" i="16"/>
  <c r="I289" i="16"/>
  <c r="H289" i="16"/>
  <c r="G289" i="16"/>
  <c r="I288" i="16"/>
  <c r="H288" i="16"/>
  <c r="G288" i="16"/>
  <c r="I287" i="16"/>
  <c r="H287" i="16"/>
  <c r="G287" i="16"/>
  <c r="I286" i="16"/>
  <c r="H286" i="16"/>
  <c r="G286" i="16"/>
  <c r="I285" i="16"/>
  <c r="H285" i="16"/>
  <c r="G285" i="16"/>
  <c r="I284" i="16"/>
  <c r="H284" i="16"/>
  <c r="G284" i="16"/>
  <c r="I283" i="16"/>
  <c r="H283" i="16"/>
  <c r="G283" i="16"/>
  <c r="I282" i="16"/>
  <c r="H282" i="16"/>
  <c r="G282" i="16"/>
  <c r="I281" i="16"/>
  <c r="H281" i="16"/>
  <c r="G281" i="16"/>
  <c r="I280" i="16"/>
  <c r="H280" i="16"/>
  <c r="G280" i="16"/>
  <c r="I279" i="16"/>
  <c r="H279" i="16"/>
  <c r="G279" i="16"/>
  <c r="I278" i="16"/>
  <c r="H278" i="16"/>
  <c r="G278" i="16"/>
  <c r="I277" i="16"/>
  <c r="H277" i="16"/>
  <c r="G277" i="16"/>
  <c r="I276" i="16"/>
  <c r="H276" i="16"/>
  <c r="G276" i="16"/>
  <c r="I275" i="16"/>
  <c r="H275" i="16"/>
  <c r="G275" i="16"/>
  <c r="I274" i="16"/>
  <c r="H274" i="16"/>
  <c r="G274" i="16"/>
  <c r="I273" i="16"/>
  <c r="H273" i="16"/>
  <c r="G273" i="16"/>
  <c r="I272" i="16"/>
  <c r="H272" i="16"/>
  <c r="G272" i="16"/>
  <c r="I271" i="16"/>
  <c r="H271" i="16"/>
  <c r="G271" i="16"/>
  <c r="I270" i="16"/>
  <c r="H270" i="16"/>
  <c r="G270" i="16"/>
  <c r="I269" i="16"/>
  <c r="H269" i="16"/>
  <c r="G269" i="16"/>
  <c r="I268" i="16"/>
  <c r="H268" i="16"/>
  <c r="G268" i="16"/>
  <c r="I267" i="16"/>
  <c r="H267" i="16"/>
  <c r="G267" i="16"/>
  <c r="I266" i="16"/>
  <c r="H266" i="16"/>
  <c r="G266" i="16"/>
  <c r="I265" i="16"/>
  <c r="H265" i="16"/>
  <c r="G265" i="16"/>
  <c r="I264" i="16"/>
  <c r="H264" i="16"/>
  <c r="G264" i="16"/>
  <c r="I263" i="16"/>
  <c r="H263" i="16"/>
  <c r="G263" i="16"/>
  <c r="I262" i="16"/>
  <c r="H262" i="16"/>
  <c r="G262" i="16"/>
  <c r="I261" i="16"/>
  <c r="H261" i="16"/>
  <c r="G261" i="16"/>
  <c r="I260" i="16"/>
  <c r="H260" i="16"/>
  <c r="G260" i="16"/>
  <c r="I259" i="16"/>
  <c r="H259" i="16"/>
  <c r="G259" i="16"/>
  <c r="I258" i="16"/>
  <c r="H258" i="16"/>
  <c r="G258" i="16"/>
  <c r="I257" i="16"/>
  <c r="H257" i="16"/>
  <c r="G257" i="16"/>
  <c r="I256" i="16"/>
  <c r="H256" i="16"/>
  <c r="G256" i="16"/>
  <c r="I255" i="16"/>
  <c r="H255" i="16"/>
  <c r="G255" i="16"/>
  <c r="I254" i="16"/>
  <c r="H254" i="16"/>
  <c r="G254" i="16"/>
  <c r="I253" i="16"/>
  <c r="H253" i="16"/>
  <c r="G253" i="16"/>
  <c r="I252" i="16"/>
  <c r="H252" i="16"/>
  <c r="G252" i="16"/>
  <c r="I251" i="16"/>
  <c r="H251" i="16"/>
  <c r="G251" i="16"/>
  <c r="I250" i="16"/>
  <c r="H250" i="16"/>
  <c r="G250" i="16"/>
  <c r="I249" i="16"/>
  <c r="H249" i="16"/>
  <c r="G249" i="16"/>
  <c r="I248" i="16"/>
  <c r="H248" i="16"/>
  <c r="G248" i="16"/>
  <c r="I247" i="16"/>
  <c r="H247" i="16"/>
  <c r="G247" i="16"/>
  <c r="I246" i="16"/>
  <c r="H246" i="16"/>
  <c r="G246" i="16"/>
  <c r="I245" i="16"/>
  <c r="H245" i="16"/>
  <c r="G245" i="16"/>
  <c r="I244" i="16"/>
  <c r="H244" i="16"/>
  <c r="G244" i="16"/>
  <c r="I243" i="16"/>
  <c r="H243" i="16"/>
  <c r="G243" i="16"/>
  <c r="I242" i="16"/>
  <c r="H242" i="16"/>
  <c r="G242" i="16"/>
  <c r="I241" i="16"/>
  <c r="H241" i="16"/>
  <c r="G241" i="16"/>
  <c r="I240" i="16"/>
  <c r="H240" i="16"/>
  <c r="G240" i="16"/>
  <c r="I239" i="16"/>
  <c r="H239" i="16"/>
  <c r="G239" i="16"/>
  <c r="I238" i="16"/>
  <c r="H238" i="16"/>
  <c r="G238" i="16"/>
  <c r="I237" i="16"/>
  <c r="H237" i="16"/>
  <c r="G237" i="16"/>
  <c r="I236" i="16"/>
  <c r="H236" i="16"/>
  <c r="G236" i="16"/>
  <c r="I235" i="16"/>
  <c r="H235" i="16"/>
  <c r="G235" i="16"/>
  <c r="I234" i="16"/>
  <c r="H234" i="16"/>
  <c r="G234" i="16"/>
  <c r="I233" i="16"/>
  <c r="H233" i="16"/>
  <c r="G233" i="16"/>
  <c r="I232" i="16"/>
  <c r="H232" i="16"/>
  <c r="G232" i="16"/>
  <c r="I231" i="16"/>
  <c r="H231" i="16"/>
  <c r="G231" i="16"/>
  <c r="I230" i="16"/>
  <c r="H230" i="16"/>
  <c r="G230" i="16"/>
  <c r="I229" i="16"/>
  <c r="H229" i="16"/>
  <c r="G229" i="16"/>
  <c r="I228" i="16"/>
  <c r="H228" i="16"/>
  <c r="G228" i="16"/>
  <c r="I227" i="16"/>
  <c r="H227" i="16"/>
  <c r="G227" i="16"/>
  <c r="I226" i="16"/>
  <c r="H226" i="16"/>
  <c r="G226" i="16"/>
  <c r="I225" i="16"/>
  <c r="H225" i="16"/>
  <c r="G225" i="16"/>
  <c r="I224" i="16"/>
  <c r="H224" i="16"/>
  <c r="G224" i="16"/>
  <c r="I223" i="16"/>
  <c r="H223" i="16"/>
  <c r="G223" i="16"/>
  <c r="I222" i="16"/>
  <c r="H222" i="16"/>
  <c r="G222" i="16"/>
  <c r="I221" i="16"/>
  <c r="H221" i="16"/>
  <c r="G221" i="16"/>
  <c r="I220" i="16"/>
  <c r="H220" i="16"/>
  <c r="G220" i="16"/>
  <c r="I219" i="16"/>
  <c r="H219" i="16"/>
  <c r="G219" i="16"/>
  <c r="I218" i="16"/>
  <c r="H218" i="16"/>
  <c r="G218" i="16"/>
  <c r="I217" i="16"/>
  <c r="H217" i="16"/>
  <c r="G217" i="16"/>
  <c r="I216" i="16"/>
  <c r="H216" i="16"/>
  <c r="G216" i="16"/>
  <c r="I215" i="16"/>
  <c r="H215" i="16"/>
  <c r="G215" i="16"/>
  <c r="I214" i="16"/>
  <c r="H214" i="16"/>
  <c r="G214" i="16"/>
  <c r="I213" i="16"/>
  <c r="H213" i="16"/>
  <c r="G213" i="16"/>
  <c r="I212" i="16"/>
  <c r="H212" i="16"/>
  <c r="G212" i="16"/>
  <c r="I211" i="16"/>
  <c r="H211" i="16"/>
  <c r="G211" i="16"/>
  <c r="I210" i="16"/>
  <c r="H210" i="16"/>
  <c r="G210" i="16"/>
  <c r="M209" i="16"/>
  <c r="I209" i="16"/>
  <c r="L209" i="16" s="1"/>
  <c r="H209" i="16"/>
  <c r="G209" i="16"/>
  <c r="I208" i="16"/>
  <c r="H208" i="16"/>
  <c r="G208" i="16"/>
  <c r="I207" i="16"/>
  <c r="H207" i="16"/>
  <c r="G207" i="16"/>
  <c r="I206" i="16"/>
  <c r="H206" i="16"/>
  <c r="G206" i="16"/>
  <c r="I205" i="16"/>
  <c r="H205" i="16"/>
  <c r="G205" i="16"/>
  <c r="I204" i="16"/>
  <c r="H204" i="16"/>
  <c r="G204" i="16"/>
  <c r="I203" i="16"/>
  <c r="H203" i="16"/>
  <c r="G203" i="16"/>
  <c r="I202" i="16"/>
  <c r="H202" i="16"/>
  <c r="G202" i="16"/>
  <c r="I201" i="16"/>
  <c r="H201" i="16"/>
  <c r="G201" i="16"/>
  <c r="I200" i="16"/>
  <c r="H200" i="16"/>
  <c r="G200" i="16"/>
  <c r="I199" i="16"/>
  <c r="H199" i="16"/>
  <c r="G199" i="16"/>
  <c r="I198" i="16"/>
  <c r="H198" i="16"/>
  <c r="G198" i="16"/>
  <c r="I197" i="16"/>
  <c r="H197" i="16"/>
  <c r="G197" i="16"/>
  <c r="I196" i="16"/>
  <c r="H196" i="16"/>
  <c r="G196" i="16"/>
  <c r="I195" i="16"/>
  <c r="H195" i="16"/>
  <c r="G195" i="16"/>
  <c r="I194" i="16"/>
  <c r="H194" i="16"/>
  <c r="G194" i="16"/>
  <c r="I193" i="16"/>
  <c r="H193" i="16"/>
  <c r="G193" i="16"/>
  <c r="I192" i="16"/>
  <c r="H192" i="16"/>
  <c r="G192" i="16"/>
  <c r="I191" i="16"/>
  <c r="H191" i="16"/>
  <c r="G191" i="16"/>
  <c r="I190" i="16"/>
  <c r="H190" i="16"/>
  <c r="G190" i="16"/>
  <c r="I189" i="16"/>
  <c r="H189" i="16"/>
  <c r="G189" i="16"/>
  <c r="I188" i="16"/>
  <c r="H188" i="16"/>
  <c r="G188" i="16"/>
  <c r="I187" i="16"/>
  <c r="H187" i="16"/>
  <c r="G187" i="16"/>
  <c r="I186" i="16"/>
  <c r="H186" i="16"/>
  <c r="G186" i="16"/>
  <c r="I185" i="16"/>
  <c r="H185" i="16"/>
  <c r="G185" i="16"/>
  <c r="I184" i="16"/>
  <c r="H184" i="16"/>
  <c r="G184" i="16"/>
  <c r="I183" i="16"/>
  <c r="H183" i="16"/>
  <c r="G183" i="16"/>
  <c r="I182" i="16"/>
  <c r="H182" i="16"/>
  <c r="G182" i="16"/>
  <c r="I181" i="16"/>
  <c r="H181" i="16"/>
  <c r="G181" i="16"/>
  <c r="I180" i="16"/>
  <c r="H180" i="16"/>
  <c r="G180" i="16"/>
  <c r="I179" i="16"/>
  <c r="H179" i="16"/>
  <c r="G179" i="16"/>
  <c r="I178" i="16"/>
  <c r="H178" i="16"/>
  <c r="G178" i="16"/>
  <c r="I177" i="16"/>
  <c r="H177" i="16"/>
  <c r="G177" i="16"/>
  <c r="I176" i="16"/>
  <c r="H176" i="16"/>
  <c r="G176" i="16"/>
  <c r="I175" i="16"/>
  <c r="H175" i="16"/>
  <c r="G175" i="16"/>
  <c r="I174" i="16"/>
  <c r="H174" i="16"/>
  <c r="G174" i="16"/>
  <c r="I173" i="16"/>
  <c r="H173" i="16"/>
  <c r="G173" i="16"/>
  <c r="I172" i="16"/>
  <c r="H172" i="16"/>
  <c r="G172" i="16"/>
  <c r="I171" i="16"/>
  <c r="H171" i="16"/>
  <c r="G171" i="16"/>
  <c r="I170" i="16"/>
  <c r="H170" i="16"/>
  <c r="G170" i="16"/>
  <c r="I169" i="16"/>
  <c r="H169" i="16"/>
  <c r="G169" i="16"/>
  <c r="I168" i="16"/>
  <c r="H168" i="16"/>
  <c r="G168" i="16"/>
  <c r="I167" i="16"/>
  <c r="H167" i="16"/>
  <c r="G167" i="16"/>
  <c r="I166" i="16"/>
  <c r="H166" i="16"/>
  <c r="G166" i="16"/>
  <c r="I165" i="16"/>
  <c r="H165" i="16"/>
  <c r="G165" i="16"/>
  <c r="I164" i="16"/>
  <c r="H164" i="16"/>
  <c r="G164" i="16"/>
  <c r="I163" i="16"/>
  <c r="H163" i="16"/>
  <c r="G163" i="16"/>
  <c r="I162" i="16"/>
  <c r="H162" i="16"/>
  <c r="G162" i="16"/>
  <c r="I161" i="16"/>
  <c r="H161" i="16"/>
  <c r="G161" i="16"/>
  <c r="I160" i="16"/>
  <c r="H160" i="16"/>
  <c r="G160" i="16"/>
  <c r="I159" i="16"/>
  <c r="H159" i="16"/>
  <c r="G159" i="16"/>
  <c r="I158" i="16"/>
  <c r="H158" i="16"/>
  <c r="G158" i="16"/>
  <c r="I157" i="16"/>
  <c r="H157" i="16"/>
  <c r="G157" i="16"/>
  <c r="I156" i="16"/>
  <c r="H156" i="16"/>
  <c r="G156" i="16"/>
  <c r="I155" i="16"/>
  <c r="H155" i="16"/>
  <c r="G155" i="16"/>
  <c r="I154" i="16"/>
  <c r="H154" i="16"/>
  <c r="G154" i="16"/>
  <c r="I153" i="16"/>
  <c r="H153" i="16"/>
  <c r="G153" i="16"/>
  <c r="I152" i="16"/>
  <c r="H152" i="16"/>
  <c r="G152" i="16"/>
  <c r="I151" i="16"/>
  <c r="H151" i="16"/>
  <c r="G151" i="16"/>
  <c r="I150" i="16"/>
  <c r="H150" i="16"/>
  <c r="G150" i="16"/>
  <c r="I149" i="16"/>
  <c r="H149" i="16"/>
  <c r="G149" i="16"/>
  <c r="I148" i="16"/>
  <c r="H148" i="16"/>
  <c r="G148" i="16"/>
  <c r="I147" i="16"/>
  <c r="H147" i="16"/>
  <c r="G147" i="16"/>
  <c r="I146" i="16"/>
  <c r="H146" i="16"/>
  <c r="G146" i="16"/>
  <c r="I145" i="16"/>
  <c r="H145" i="16"/>
  <c r="G145" i="16"/>
  <c r="I144" i="16"/>
  <c r="H144" i="16"/>
  <c r="G144" i="16"/>
  <c r="I143" i="16"/>
  <c r="H143" i="16"/>
  <c r="G143" i="16"/>
  <c r="I142" i="16"/>
  <c r="H142" i="16"/>
  <c r="G142" i="16"/>
  <c r="I141" i="16"/>
  <c r="H141" i="16"/>
  <c r="G141" i="16"/>
  <c r="I140" i="16"/>
  <c r="H140" i="16"/>
  <c r="G140" i="16"/>
  <c r="I139" i="16"/>
  <c r="H139" i="16"/>
  <c r="G139" i="16"/>
  <c r="I138" i="16"/>
  <c r="H138" i="16"/>
  <c r="G138" i="16"/>
  <c r="I137" i="16"/>
  <c r="H137" i="16"/>
  <c r="G137" i="16"/>
  <c r="I136" i="16"/>
  <c r="H136" i="16"/>
  <c r="G136" i="16"/>
  <c r="I135" i="16"/>
  <c r="H135" i="16"/>
  <c r="G135" i="16"/>
  <c r="I134" i="16"/>
  <c r="H134" i="16"/>
  <c r="G134" i="16"/>
  <c r="I133" i="16"/>
  <c r="H133" i="16"/>
  <c r="G133" i="16"/>
  <c r="I132" i="16"/>
  <c r="H132" i="16"/>
  <c r="G132" i="16"/>
  <c r="I131" i="16"/>
  <c r="H131" i="16"/>
  <c r="G131" i="16"/>
  <c r="I130" i="16"/>
  <c r="H130" i="16"/>
  <c r="G130" i="16"/>
  <c r="I129" i="16"/>
  <c r="H129" i="16"/>
  <c r="G129" i="16"/>
  <c r="I128" i="16"/>
  <c r="H128" i="16"/>
  <c r="G128" i="16"/>
  <c r="I127" i="16"/>
  <c r="H127" i="16"/>
  <c r="G127" i="16"/>
  <c r="I126" i="16"/>
  <c r="H126" i="16"/>
  <c r="G126" i="16"/>
  <c r="I125" i="16"/>
  <c r="H125" i="16"/>
  <c r="G125" i="16"/>
  <c r="I124" i="16"/>
  <c r="H124" i="16"/>
  <c r="G124" i="16"/>
  <c r="I123" i="16"/>
  <c r="H123" i="16"/>
  <c r="G123" i="16"/>
  <c r="I122" i="16"/>
  <c r="H122" i="16"/>
  <c r="G122" i="16"/>
  <c r="I121" i="16"/>
  <c r="H121" i="16"/>
  <c r="G121" i="16"/>
  <c r="I120" i="16"/>
  <c r="H120" i="16"/>
  <c r="G120" i="16"/>
  <c r="I119" i="16"/>
  <c r="H119" i="16"/>
  <c r="G119" i="16"/>
  <c r="I118" i="16"/>
  <c r="H118" i="16"/>
  <c r="G118" i="16"/>
  <c r="I117" i="16"/>
  <c r="H117" i="16"/>
  <c r="G117" i="16"/>
  <c r="I116" i="16"/>
  <c r="H116" i="16"/>
  <c r="G116" i="16"/>
  <c r="I115" i="16"/>
  <c r="H115" i="16"/>
  <c r="G115" i="16"/>
  <c r="I114" i="16"/>
  <c r="H114" i="16"/>
  <c r="G114" i="16"/>
  <c r="I113" i="16"/>
  <c r="H113" i="16"/>
  <c r="G113" i="16"/>
  <c r="I112" i="16"/>
  <c r="H112" i="16"/>
  <c r="G112" i="16"/>
  <c r="I111" i="16"/>
  <c r="H111" i="16"/>
  <c r="G111" i="16"/>
  <c r="I110" i="16"/>
  <c r="H110" i="16"/>
  <c r="G110" i="16"/>
  <c r="I109" i="16"/>
  <c r="H109" i="16"/>
  <c r="G109" i="16"/>
  <c r="I108" i="16"/>
  <c r="H108" i="16"/>
  <c r="G108" i="16"/>
  <c r="I107" i="16"/>
  <c r="H107" i="16"/>
  <c r="G107" i="16"/>
  <c r="I106" i="16"/>
  <c r="H106" i="16"/>
  <c r="G106" i="16"/>
  <c r="I105" i="16"/>
  <c r="H105" i="16"/>
  <c r="G105" i="16"/>
  <c r="I104" i="16"/>
  <c r="H104" i="16"/>
  <c r="G104" i="16"/>
  <c r="I103" i="16"/>
  <c r="H103" i="16"/>
  <c r="G103" i="16"/>
  <c r="I102" i="16"/>
  <c r="H102" i="16"/>
  <c r="G102" i="16"/>
  <c r="I101" i="16"/>
  <c r="H101" i="16"/>
  <c r="G101" i="16"/>
  <c r="I100" i="16"/>
  <c r="H100" i="16"/>
  <c r="G100" i="16"/>
  <c r="I99" i="16"/>
  <c r="H99" i="16"/>
  <c r="G99" i="16"/>
  <c r="I98" i="16"/>
  <c r="H98" i="16"/>
  <c r="G98" i="16"/>
  <c r="I97" i="16"/>
  <c r="H97" i="16"/>
  <c r="G97" i="16"/>
  <c r="I96" i="16"/>
  <c r="H96" i="16"/>
  <c r="G96" i="16"/>
  <c r="I95" i="16"/>
  <c r="H95" i="16"/>
  <c r="G95" i="16"/>
  <c r="I94" i="16"/>
  <c r="H94" i="16"/>
  <c r="G94" i="16"/>
  <c r="I93" i="16"/>
  <c r="H93" i="16"/>
  <c r="G93" i="16"/>
  <c r="I92" i="16"/>
  <c r="H92" i="16"/>
  <c r="G92" i="16"/>
  <c r="I91" i="16"/>
  <c r="H91" i="16"/>
  <c r="G91" i="16"/>
  <c r="I90" i="16"/>
  <c r="H90" i="16"/>
  <c r="G90" i="16"/>
  <c r="I89" i="16"/>
  <c r="H89" i="16"/>
  <c r="G89" i="16"/>
  <c r="I88" i="16"/>
  <c r="H88" i="16"/>
  <c r="G88" i="16"/>
  <c r="I87" i="16"/>
  <c r="H87" i="16"/>
  <c r="G87" i="16"/>
  <c r="I86" i="16"/>
  <c r="H86" i="16"/>
  <c r="G86" i="16"/>
  <c r="I85" i="16"/>
  <c r="H85" i="16"/>
  <c r="G85" i="16"/>
  <c r="I84" i="16"/>
  <c r="H84" i="16"/>
  <c r="G84" i="16"/>
  <c r="I83" i="16"/>
  <c r="H83" i="16"/>
  <c r="G83" i="16"/>
  <c r="I82" i="16"/>
  <c r="H82" i="16"/>
  <c r="G82" i="16"/>
  <c r="I81" i="16"/>
  <c r="H81" i="16"/>
  <c r="G81" i="16"/>
  <c r="I80" i="16"/>
  <c r="H80" i="16"/>
  <c r="G80" i="16"/>
  <c r="I79" i="16"/>
  <c r="H79" i="16"/>
  <c r="G79" i="16"/>
  <c r="I78" i="16"/>
  <c r="H78" i="16"/>
  <c r="G78" i="16"/>
  <c r="I77" i="16"/>
  <c r="H77" i="16"/>
  <c r="G77" i="16"/>
  <c r="I76" i="16"/>
  <c r="H76" i="16"/>
  <c r="G76" i="16"/>
  <c r="I75" i="16"/>
  <c r="H75" i="16"/>
  <c r="G75" i="16"/>
  <c r="I74" i="16"/>
  <c r="H74" i="16"/>
  <c r="G74" i="16"/>
  <c r="I73" i="16"/>
  <c r="H73" i="16"/>
  <c r="G73" i="16"/>
  <c r="I72" i="16"/>
  <c r="H72" i="16"/>
  <c r="G72" i="16"/>
  <c r="I71" i="16"/>
  <c r="H71" i="16"/>
  <c r="G71" i="16"/>
  <c r="I70" i="16"/>
  <c r="H70" i="16"/>
  <c r="G70" i="16"/>
  <c r="I69" i="16"/>
  <c r="H69" i="16"/>
  <c r="G69" i="16"/>
  <c r="I68" i="16"/>
  <c r="H68" i="16"/>
  <c r="G68" i="16"/>
  <c r="I67" i="16"/>
  <c r="H67" i="16"/>
  <c r="G67" i="16"/>
  <c r="I66" i="16"/>
  <c r="H66" i="16"/>
  <c r="G66" i="16"/>
  <c r="I65" i="16"/>
  <c r="H65" i="16"/>
  <c r="G65" i="16"/>
  <c r="I64" i="16"/>
  <c r="H64" i="16"/>
  <c r="G64" i="16"/>
  <c r="I63" i="16"/>
  <c r="H63" i="16"/>
  <c r="G63" i="16"/>
  <c r="I62" i="16"/>
  <c r="H62" i="16"/>
  <c r="G62" i="16"/>
  <c r="I61" i="16"/>
  <c r="H61" i="16"/>
  <c r="G61" i="16"/>
  <c r="I60" i="16"/>
  <c r="H60" i="16"/>
  <c r="G60" i="16"/>
  <c r="I59" i="16"/>
  <c r="H59" i="16"/>
  <c r="G59" i="16"/>
  <c r="I58" i="16"/>
  <c r="H58" i="16"/>
  <c r="G58" i="16"/>
  <c r="I57" i="16"/>
  <c r="H57" i="16"/>
  <c r="G57" i="16"/>
  <c r="I56" i="16"/>
  <c r="H56" i="16"/>
  <c r="G56" i="16"/>
  <c r="I55" i="16"/>
  <c r="H55" i="16"/>
  <c r="G55" i="16"/>
  <c r="I54" i="16"/>
  <c r="H54" i="16"/>
  <c r="G54" i="16"/>
  <c r="I53" i="16"/>
  <c r="H53" i="16"/>
  <c r="G53" i="16"/>
  <c r="I52" i="16"/>
  <c r="H52" i="16"/>
  <c r="G52" i="16"/>
  <c r="I51" i="16"/>
  <c r="H51" i="16"/>
  <c r="G51" i="16"/>
  <c r="I50" i="16"/>
  <c r="H50" i="16"/>
  <c r="G50" i="16"/>
  <c r="I49" i="16"/>
  <c r="H49" i="16"/>
  <c r="G49" i="16"/>
  <c r="I48" i="16"/>
  <c r="H48" i="16"/>
  <c r="G48" i="16"/>
  <c r="I47" i="16"/>
  <c r="H47" i="16"/>
  <c r="G47" i="16"/>
  <c r="I46" i="16"/>
  <c r="H46" i="16"/>
  <c r="G46" i="16"/>
  <c r="I45" i="16"/>
  <c r="H45" i="16"/>
  <c r="G45" i="16"/>
  <c r="I44" i="16"/>
  <c r="H44" i="16"/>
  <c r="G44" i="16"/>
  <c r="I43" i="16"/>
  <c r="H43" i="16"/>
  <c r="G43" i="16"/>
  <c r="I42" i="16"/>
  <c r="H42" i="16"/>
  <c r="G42" i="16"/>
  <c r="I41" i="16"/>
  <c r="H41" i="16"/>
  <c r="G41" i="16"/>
  <c r="I40" i="16"/>
  <c r="H40" i="16"/>
  <c r="G40" i="16"/>
  <c r="I39" i="16"/>
  <c r="H39" i="16"/>
  <c r="G39" i="16"/>
  <c r="I38" i="16"/>
  <c r="H38" i="16"/>
  <c r="G38" i="16"/>
  <c r="I37" i="16"/>
  <c r="H37" i="16"/>
  <c r="G37" i="16"/>
  <c r="I36" i="16"/>
  <c r="H36" i="16"/>
  <c r="G36" i="16"/>
  <c r="I35" i="16"/>
  <c r="H35" i="16"/>
  <c r="G35" i="16"/>
  <c r="I34" i="16"/>
  <c r="H34" i="16"/>
  <c r="G34" i="16"/>
  <c r="I33" i="16"/>
  <c r="H33" i="16"/>
  <c r="G33" i="16"/>
  <c r="I32" i="16"/>
  <c r="H32" i="16"/>
  <c r="G32" i="16"/>
  <c r="I31" i="16"/>
  <c r="H31" i="16"/>
  <c r="G31" i="16"/>
  <c r="I30" i="16"/>
  <c r="H30" i="16"/>
  <c r="G30" i="16"/>
  <c r="I29" i="16"/>
  <c r="H29" i="16"/>
  <c r="G29" i="16"/>
  <c r="I28" i="16"/>
  <c r="H28" i="16"/>
  <c r="G28" i="16"/>
  <c r="I27" i="16"/>
  <c r="H27" i="16"/>
  <c r="G27" i="16"/>
  <c r="I26" i="16"/>
  <c r="H26" i="16"/>
  <c r="G26" i="16"/>
  <c r="I25" i="16"/>
  <c r="H25" i="16"/>
  <c r="G25" i="16"/>
  <c r="I24" i="16"/>
  <c r="H24" i="16"/>
  <c r="G24" i="16"/>
  <c r="I23" i="16"/>
  <c r="H23" i="16"/>
  <c r="G23" i="16"/>
  <c r="I22" i="16"/>
  <c r="H22" i="16"/>
  <c r="G22" i="16"/>
  <c r="I21" i="16"/>
  <c r="H21" i="16"/>
  <c r="G21" i="16"/>
  <c r="I20" i="16"/>
  <c r="H20" i="16"/>
  <c r="G20" i="16"/>
  <c r="I19" i="16"/>
  <c r="H19" i="16"/>
  <c r="G19" i="16"/>
  <c r="I18" i="16"/>
  <c r="H18" i="16"/>
  <c r="G18" i="16"/>
  <c r="I17" i="16"/>
  <c r="H17" i="16"/>
  <c r="G17" i="16"/>
  <c r="I16" i="16"/>
  <c r="H16" i="16"/>
  <c r="G16" i="16"/>
  <c r="I15" i="16"/>
  <c r="H15" i="16"/>
  <c r="G15" i="16"/>
  <c r="I14" i="16"/>
  <c r="H14" i="16"/>
  <c r="G14" i="16"/>
  <c r="I13" i="16"/>
  <c r="H13" i="16"/>
  <c r="G13" i="16"/>
  <c r="I12" i="16"/>
  <c r="H12" i="16"/>
  <c r="G12" i="16"/>
  <c r="I11" i="16"/>
  <c r="H11" i="16"/>
  <c r="G11" i="16"/>
  <c r="I10" i="16"/>
  <c r="H10" i="16"/>
  <c r="G10" i="16"/>
  <c r="I9" i="16"/>
  <c r="H9" i="16"/>
  <c r="G9" i="16"/>
  <c r="I8" i="16"/>
  <c r="H8" i="16"/>
  <c r="G8" i="16"/>
  <c r="I7" i="16"/>
  <c r="H7" i="16"/>
  <c r="G7" i="16"/>
  <c r="I6" i="16"/>
  <c r="H6" i="16"/>
  <c r="G6" i="16"/>
  <c r="I5" i="16"/>
  <c r="H5" i="16"/>
  <c r="G5" i="16"/>
  <c r="I4" i="16"/>
  <c r="H4" i="16"/>
  <c r="G4" i="16"/>
  <c r="I3" i="16"/>
  <c r="H3" i="16"/>
  <c r="G3" i="16"/>
  <c r="I2" i="16"/>
  <c r="H2" i="16"/>
  <c r="G2" i="16"/>
  <c r="E2127" i="4"/>
  <c r="D2127" i="4"/>
  <c r="E2126" i="4"/>
  <c r="D2126" i="4"/>
  <c r="E2125" i="4"/>
  <c r="D2125" i="4"/>
  <c r="E2124" i="4"/>
  <c r="D2124" i="4"/>
  <c r="E2123" i="4"/>
  <c r="D2123" i="4"/>
  <c r="E2122" i="4"/>
  <c r="D2122" i="4"/>
  <c r="E2121" i="4"/>
  <c r="D2121" i="4"/>
  <c r="E2120" i="4"/>
  <c r="D2120" i="4"/>
  <c r="E2119" i="4"/>
  <c r="D2119" i="4"/>
  <c r="E2118" i="4"/>
  <c r="D2118" i="4"/>
  <c r="E2117" i="4"/>
  <c r="D2117" i="4"/>
  <c r="E2116" i="4"/>
  <c r="D2116" i="4"/>
  <c r="E2115" i="4"/>
  <c r="D2115" i="4"/>
  <c r="E2114" i="4"/>
  <c r="D2114" i="4"/>
  <c r="E2113" i="4"/>
  <c r="D2113" i="4"/>
  <c r="E2112" i="4"/>
  <c r="D2112" i="4"/>
  <c r="E2111" i="4"/>
  <c r="D2111" i="4"/>
  <c r="E2110" i="4"/>
  <c r="D2110" i="4"/>
  <c r="E2109" i="4"/>
  <c r="D2109" i="4"/>
  <c r="E2108" i="4"/>
  <c r="D2108" i="4"/>
  <c r="E2107" i="4"/>
  <c r="D2107" i="4"/>
  <c r="E2106" i="4"/>
  <c r="D2106" i="4"/>
  <c r="E2105" i="4"/>
  <c r="D2105" i="4"/>
  <c r="E2104" i="4"/>
  <c r="D2104" i="4"/>
  <c r="E2103" i="4"/>
  <c r="D2103" i="4"/>
  <c r="E2102" i="4"/>
  <c r="D2102" i="4"/>
  <c r="E2101" i="4"/>
  <c r="D2101" i="4"/>
  <c r="E2100" i="4"/>
  <c r="D2100" i="4"/>
  <c r="E2099" i="4"/>
  <c r="D2099" i="4"/>
  <c r="E2098" i="4"/>
  <c r="D2098" i="4"/>
  <c r="E2097" i="4"/>
  <c r="D2097" i="4"/>
  <c r="E2096" i="4"/>
  <c r="D2096" i="4"/>
  <c r="E2095" i="4"/>
  <c r="D2095" i="4"/>
  <c r="E2094" i="4"/>
  <c r="D2094" i="4"/>
  <c r="E2093" i="4"/>
  <c r="D2093" i="4"/>
  <c r="E2092" i="4"/>
  <c r="D2092" i="4"/>
  <c r="E2091" i="4"/>
  <c r="D2091" i="4"/>
  <c r="E2090" i="4"/>
  <c r="D2090" i="4"/>
  <c r="E2089" i="4"/>
  <c r="D2089" i="4"/>
  <c r="E2088" i="4"/>
  <c r="D2088" i="4"/>
  <c r="E2087" i="4"/>
  <c r="D2087" i="4"/>
  <c r="E2086" i="4"/>
  <c r="D2086" i="4"/>
  <c r="E2085" i="4"/>
  <c r="D2085" i="4"/>
  <c r="E2084" i="4"/>
  <c r="D2084" i="4"/>
  <c r="E2083" i="4"/>
  <c r="D2083" i="4"/>
  <c r="E2082" i="4"/>
  <c r="D2082" i="4"/>
  <c r="E2081" i="4"/>
  <c r="D2081" i="4"/>
  <c r="E2080" i="4"/>
  <c r="D2080" i="4"/>
  <c r="E2079" i="4"/>
  <c r="D2079" i="4"/>
  <c r="E2078" i="4"/>
  <c r="D2078" i="4"/>
  <c r="E2077" i="4"/>
  <c r="D2077" i="4"/>
  <c r="E2076" i="4"/>
  <c r="D2076" i="4"/>
  <c r="E2075" i="4"/>
  <c r="D2075" i="4"/>
  <c r="E2074" i="4"/>
  <c r="D2074" i="4"/>
  <c r="E2073" i="4"/>
  <c r="D2073" i="4"/>
  <c r="E2072" i="4"/>
  <c r="D2072" i="4"/>
  <c r="E2071" i="4"/>
  <c r="D2071" i="4"/>
  <c r="E2070" i="4"/>
  <c r="D2070" i="4"/>
  <c r="E2069" i="4"/>
  <c r="D2069" i="4"/>
  <c r="E2068" i="4"/>
  <c r="D2068" i="4"/>
  <c r="E2067" i="4"/>
  <c r="D2067" i="4"/>
  <c r="E2066" i="4"/>
  <c r="D2066" i="4"/>
  <c r="E2065" i="4"/>
  <c r="D2065" i="4"/>
  <c r="E2064" i="4"/>
  <c r="D2064" i="4"/>
  <c r="E2063" i="4"/>
  <c r="D2063" i="4"/>
  <c r="E2062" i="4"/>
  <c r="D2062" i="4"/>
  <c r="E2061" i="4"/>
  <c r="D2061" i="4"/>
  <c r="E2060" i="4"/>
  <c r="D2060" i="4"/>
  <c r="E2059" i="4"/>
  <c r="D2059" i="4"/>
  <c r="E2058" i="4"/>
  <c r="D2058" i="4"/>
  <c r="E2057" i="4"/>
  <c r="D2057" i="4"/>
  <c r="E2056" i="4"/>
  <c r="D2056" i="4"/>
  <c r="E2055" i="4"/>
  <c r="D2055" i="4"/>
  <c r="E2054" i="4"/>
  <c r="D2054" i="4"/>
  <c r="E2053" i="4"/>
  <c r="D2053" i="4"/>
  <c r="E2052" i="4"/>
  <c r="D2052" i="4"/>
  <c r="E2051" i="4"/>
  <c r="D2051" i="4"/>
  <c r="E2050" i="4"/>
  <c r="D2050" i="4"/>
  <c r="E2049" i="4"/>
  <c r="D2049" i="4"/>
  <c r="E2048" i="4"/>
  <c r="D2048" i="4"/>
  <c r="E2047" i="4"/>
  <c r="D2047" i="4"/>
  <c r="E2046" i="4"/>
  <c r="D2046" i="4"/>
  <c r="E2045" i="4"/>
  <c r="D2045" i="4"/>
  <c r="E2044" i="4"/>
  <c r="D2044" i="4"/>
  <c r="E2043" i="4"/>
  <c r="D2043" i="4"/>
  <c r="E2042" i="4"/>
  <c r="D2042" i="4"/>
  <c r="E2041" i="4"/>
  <c r="D2041" i="4"/>
  <c r="E2040" i="4"/>
  <c r="D2040" i="4"/>
  <c r="E2039" i="4"/>
  <c r="D2039" i="4"/>
  <c r="E2038" i="4"/>
  <c r="D2038" i="4"/>
  <c r="E2037" i="4"/>
  <c r="D2037" i="4"/>
  <c r="E2036" i="4"/>
  <c r="D2036" i="4"/>
  <c r="E2035" i="4"/>
  <c r="D2035" i="4"/>
  <c r="E2034" i="4"/>
  <c r="D2034" i="4"/>
  <c r="E2033" i="4"/>
  <c r="D2033" i="4"/>
  <c r="E2032" i="4"/>
  <c r="D2032" i="4"/>
  <c r="E2031" i="4"/>
  <c r="D2031" i="4"/>
  <c r="E2030" i="4"/>
  <c r="D2030" i="4"/>
  <c r="E2029" i="4"/>
  <c r="D2029" i="4"/>
  <c r="E2028" i="4"/>
  <c r="D2028" i="4"/>
  <c r="E2027" i="4"/>
  <c r="D2027" i="4"/>
  <c r="E2026" i="4"/>
  <c r="D2026" i="4"/>
  <c r="E2025" i="4"/>
  <c r="D2025" i="4"/>
  <c r="E2024" i="4"/>
  <c r="D2024" i="4"/>
  <c r="E2023" i="4"/>
  <c r="D2023" i="4"/>
  <c r="E2022" i="4"/>
  <c r="D2022" i="4"/>
  <c r="E2021" i="4"/>
  <c r="D2021" i="4"/>
  <c r="E2020" i="4"/>
  <c r="D2020" i="4"/>
  <c r="E2019" i="4"/>
  <c r="D2019" i="4"/>
  <c r="E2018" i="4"/>
  <c r="D2018" i="4"/>
  <c r="E2017" i="4"/>
  <c r="D2017" i="4"/>
  <c r="E2016" i="4"/>
  <c r="D2016" i="4"/>
  <c r="E2015" i="4"/>
  <c r="D2015" i="4"/>
  <c r="E2014" i="4"/>
  <c r="D2014" i="4"/>
  <c r="E2013" i="4"/>
  <c r="D2013" i="4"/>
  <c r="E2012" i="4"/>
  <c r="D2012" i="4"/>
  <c r="E2011" i="4"/>
  <c r="D2011" i="4"/>
  <c r="E2010" i="4"/>
  <c r="D2010" i="4"/>
  <c r="E2009" i="4"/>
  <c r="D2009" i="4"/>
  <c r="E2008" i="4"/>
  <c r="D2008" i="4"/>
  <c r="E2007" i="4"/>
  <c r="D2007" i="4"/>
  <c r="E2006" i="4"/>
  <c r="D2006" i="4"/>
  <c r="E2005" i="4"/>
  <c r="D2005" i="4"/>
  <c r="E2004" i="4"/>
  <c r="D2004" i="4"/>
  <c r="E2003" i="4"/>
  <c r="D2003" i="4"/>
  <c r="E2002" i="4"/>
  <c r="D2002" i="4"/>
  <c r="E2001" i="4"/>
  <c r="D2001" i="4"/>
  <c r="E2000" i="4"/>
  <c r="D2000" i="4"/>
  <c r="E1999" i="4"/>
  <c r="D1999" i="4"/>
  <c r="E1998" i="4"/>
  <c r="D1998" i="4"/>
  <c r="E1997" i="4"/>
  <c r="D1997" i="4"/>
  <c r="E1996" i="4"/>
  <c r="D1996" i="4"/>
  <c r="E1995" i="4"/>
  <c r="D1995" i="4"/>
  <c r="E1994" i="4"/>
  <c r="D1994" i="4"/>
  <c r="E1993" i="4"/>
  <c r="D1993" i="4"/>
  <c r="E1992" i="4"/>
  <c r="D1992" i="4"/>
  <c r="E1991" i="4"/>
  <c r="D1991" i="4"/>
  <c r="E1990" i="4"/>
  <c r="D1990" i="4"/>
  <c r="E1989" i="4"/>
  <c r="D1989" i="4"/>
  <c r="E1988" i="4"/>
  <c r="D1988" i="4"/>
  <c r="E1987" i="4"/>
  <c r="D1987" i="4"/>
  <c r="E1986" i="4"/>
  <c r="D1986" i="4"/>
  <c r="E1985" i="4"/>
  <c r="D1985" i="4"/>
  <c r="E1984" i="4"/>
  <c r="D1984" i="4"/>
  <c r="E1983" i="4"/>
  <c r="D1983" i="4"/>
  <c r="E1982" i="4"/>
  <c r="D1982" i="4"/>
  <c r="E1981" i="4"/>
  <c r="D1981" i="4"/>
  <c r="E1980" i="4"/>
  <c r="D1980" i="4"/>
  <c r="E1979" i="4"/>
  <c r="D1979" i="4"/>
  <c r="E1978" i="4"/>
  <c r="D1978" i="4"/>
  <c r="E1977" i="4"/>
  <c r="D1977" i="4"/>
  <c r="E1976" i="4"/>
  <c r="D1976" i="4"/>
  <c r="E1975" i="4"/>
  <c r="D1975" i="4"/>
  <c r="E1974" i="4"/>
  <c r="D1974" i="4"/>
  <c r="E1973" i="4"/>
  <c r="D1973" i="4"/>
  <c r="E1972" i="4"/>
  <c r="D1972" i="4"/>
  <c r="E1971" i="4"/>
  <c r="D1971" i="4"/>
  <c r="E1970" i="4"/>
  <c r="D1970" i="4"/>
  <c r="E1969" i="4"/>
  <c r="D1969" i="4"/>
  <c r="E1968" i="4"/>
  <c r="D1968" i="4"/>
  <c r="E1967" i="4"/>
  <c r="D1967" i="4"/>
  <c r="E1966" i="4"/>
  <c r="D1966" i="4"/>
  <c r="E1965" i="4"/>
  <c r="D1965" i="4"/>
  <c r="E1964" i="4"/>
  <c r="D1964" i="4"/>
  <c r="E1963" i="4"/>
  <c r="D1963" i="4"/>
  <c r="E1962" i="4"/>
  <c r="D1962" i="4"/>
  <c r="E1961" i="4"/>
  <c r="D1961" i="4"/>
  <c r="E1960" i="4"/>
  <c r="D1960" i="4"/>
  <c r="E1959" i="4"/>
  <c r="D1959" i="4"/>
  <c r="E1958" i="4"/>
  <c r="D1958" i="4"/>
  <c r="E1957" i="4"/>
  <c r="D1957" i="4"/>
  <c r="E1956" i="4"/>
  <c r="D1956" i="4"/>
  <c r="E1955" i="4"/>
  <c r="D1955" i="4"/>
  <c r="E1954" i="4"/>
  <c r="D1954" i="4"/>
  <c r="E1953" i="4"/>
  <c r="D1953" i="4"/>
  <c r="E1952" i="4"/>
  <c r="D1952" i="4"/>
  <c r="E1951" i="4"/>
  <c r="D1951" i="4"/>
  <c r="E1950" i="4"/>
  <c r="D1950" i="4"/>
  <c r="E1949" i="4"/>
  <c r="D1949" i="4"/>
  <c r="E1948" i="4"/>
  <c r="D1948" i="4"/>
  <c r="E1947" i="4"/>
  <c r="D1947" i="4"/>
  <c r="E1946" i="4"/>
  <c r="D1946" i="4"/>
  <c r="E1945" i="4"/>
  <c r="D1945" i="4"/>
  <c r="E1944" i="4"/>
  <c r="D1944" i="4"/>
  <c r="E1943" i="4"/>
  <c r="D1943" i="4"/>
  <c r="E1942" i="4"/>
  <c r="D1942" i="4"/>
  <c r="E1941" i="4"/>
  <c r="D1941" i="4"/>
  <c r="E1940" i="4"/>
  <c r="D1940" i="4"/>
  <c r="E1939" i="4"/>
  <c r="D1939" i="4"/>
  <c r="E1938" i="4"/>
  <c r="D1938" i="4"/>
  <c r="E1937" i="4"/>
  <c r="D1937" i="4"/>
  <c r="E1936" i="4"/>
  <c r="D1936" i="4"/>
  <c r="E1935" i="4"/>
  <c r="D1935" i="4"/>
  <c r="E1934" i="4"/>
  <c r="D1934" i="4"/>
  <c r="E1933" i="4"/>
  <c r="D1933" i="4"/>
  <c r="E1932" i="4"/>
  <c r="D1932" i="4"/>
  <c r="E1931" i="4"/>
  <c r="D1931" i="4"/>
  <c r="E1930" i="4"/>
  <c r="D1930" i="4"/>
  <c r="E1929" i="4"/>
  <c r="D1929" i="4"/>
  <c r="E1928" i="4"/>
  <c r="D1928" i="4"/>
  <c r="E1927" i="4"/>
  <c r="D1927" i="4"/>
  <c r="E1926" i="4"/>
  <c r="D1926" i="4"/>
  <c r="E1925" i="4"/>
  <c r="D1925" i="4"/>
  <c r="E1924" i="4"/>
  <c r="D1924" i="4"/>
  <c r="E1923" i="4"/>
  <c r="D1923" i="4"/>
  <c r="E1922" i="4"/>
  <c r="D1922" i="4"/>
  <c r="E1921" i="4"/>
  <c r="D1921" i="4"/>
  <c r="E1920" i="4"/>
  <c r="D1920" i="4"/>
  <c r="E1919" i="4"/>
  <c r="D1919" i="4"/>
  <c r="E1918" i="4"/>
  <c r="D1918" i="4"/>
  <c r="E1917" i="4"/>
  <c r="D1917" i="4"/>
  <c r="E1916" i="4"/>
  <c r="D1916" i="4"/>
  <c r="E1915" i="4"/>
  <c r="D1915" i="4"/>
  <c r="E1914" i="4"/>
  <c r="D1914" i="4"/>
  <c r="E1913" i="4"/>
  <c r="D1913" i="4"/>
  <c r="E1912" i="4"/>
  <c r="D1912" i="4"/>
  <c r="E1911" i="4"/>
  <c r="D1911" i="4"/>
  <c r="E1910" i="4"/>
  <c r="D1910" i="4"/>
  <c r="E1909" i="4"/>
  <c r="D1909" i="4"/>
  <c r="E1908" i="4"/>
  <c r="D1908" i="4"/>
  <c r="E1907" i="4"/>
  <c r="D1907" i="4"/>
  <c r="E1906" i="4"/>
  <c r="D1906" i="4"/>
  <c r="E1905" i="4"/>
  <c r="D1905" i="4"/>
  <c r="E1904" i="4"/>
  <c r="D1904" i="4"/>
  <c r="E1903" i="4"/>
  <c r="D1903" i="4"/>
  <c r="E1902" i="4"/>
  <c r="D1902" i="4"/>
  <c r="E1901" i="4"/>
  <c r="D1901" i="4"/>
  <c r="E1900" i="4"/>
  <c r="D1900" i="4"/>
  <c r="E1899" i="4"/>
  <c r="D1899" i="4"/>
  <c r="E1898" i="4"/>
  <c r="D1898" i="4"/>
  <c r="E1897" i="4"/>
  <c r="D1897" i="4"/>
  <c r="E1896" i="4"/>
  <c r="D1896" i="4"/>
  <c r="E1895" i="4"/>
  <c r="D1895" i="4"/>
  <c r="E1894" i="4"/>
  <c r="D1894" i="4"/>
  <c r="E1893" i="4"/>
  <c r="D1893" i="4"/>
  <c r="E1892" i="4"/>
  <c r="D1892" i="4"/>
  <c r="E1891" i="4"/>
  <c r="D1891" i="4"/>
  <c r="E1890" i="4"/>
  <c r="D1890" i="4"/>
  <c r="E1889" i="4"/>
  <c r="D1889" i="4"/>
  <c r="E1888" i="4"/>
  <c r="D1888" i="4"/>
  <c r="E1887" i="4"/>
  <c r="D1887" i="4"/>
  <c r="E1886" i="4"/>
  <c r="D1886" i="4"/>
  <c r="E1885" i="4"/>
  <c r="D1885" i="4"/>
  <c r="E1884" i="4"/>
  <c r="D1884" i="4"/>
  <c r="E1883" i="4"/>
  <c r="D1883" i="4"/>
  <c r="E1882" i="4"/>
  <c r="D1882" i="4"/>
  <c r="E1881" i="4"/>
  <c r="D1881" i="4"/>
  <c r="E1880" i="4"/>
  <c r="D1880" i="4"/>
  <c r="E1879" i="4"/>
  <c r="D1879" i="4"/>
  <c r="E1878" i="4"/>
  <c r="D1878" i="4"/>
  <c r="E1877" i="4"/>
  <c r="D1877" i="4"/>
  <c r="E1876" i="4"/>
  <c r="D1876" i="4"/>
  <c r="E1875" i="4"/>
  <c r="D1875" i="4"/>
  <c r="E1874" i="4"/>
  <c r="D1874" i="4"/>
  <c r="E1873" i="4"/>
  <c r="D1873" i="4"/>
  <c r="E1872" i="4"/>
  <c r="D1872" i="4"/>
  <c r="E1871" i="4"/>
  <c r="D1871" i="4"/>
  <c r="E1870" i="4"/>
  <c r="D1870" i="4"/>
  <c r="E1869" i="4"/>
  <c r="D1869" i="4"/>
  <c r="E1868" i="4"/>
  <c r="D1868" i="4"/>
  <c r="E1867" i="4"/>
  <c r="D1867" i="4"/>
  <c r="E1866" i="4"/>
  <c r="D1866" i="4"/>
  <c r="E1865" i="4"/>
  <c r="D1865" i="4"/>
  <c r="E1864" i="4"/>
  <c r="D1864" i="4"/>
  <c r="E1863" i="4"/>
  <c r="D1863" i="4"/>
  <c r="E1862" i="4"/>
  <c r="D1862" i="4"/>
  <c r="E1861" i="4"/>
  <c r="D1861" i="4"/>
  <c r="E1860" i="4"/>
  <c r="D1860" i="4"/>
  <c r="E1859" i="4"/>
  <c r="D1859" i="4"/>
  <c r="E1858" i="4"/>
  <c r="D1858" i="4"/>
  <c r="E1857" i="4"/>
  <c r="D1857" i="4"/>
  <c r="E1856" i="4"/>
  <c r="D1856" i="4"/>
  <c r="E1855" i="4"/>
  <c r="D1855" i="4"/>
  <c r="E1854" i="4"/>
  <c r="D1854" i="4"/>
  <c r="E1853" i="4"/>
  <c r="D1853" i="4"/>
  <c r="E1852" i="4"/>
  <c r="D1852" i="4"/>
  <c r="E1851" i="4"/>
  <c r="D1851" i="4"/>
  <c r="E1850" i="4"/>
  <c r="D1850" i="4"/>
  <c r="E1849" i="4"/>
  <c r="D1849" i="4"/>
  <c r="E1848" i="4"/>
  <c r="D1848" i="4"/>
  <c r="E1847" i="4"/>
  <c r="D1847" i="4"/>
  <c r="E1846" i="4"/>
  <c r="D1846" i="4"/>
  <c r="E1845" i="4"/>
  <c r="D1845" i="4"/>
  <c r="E1844" i="4"/>
  <c r="D1844" i="4"/>
  <c r="E1843" i="4"/>
  <c r="D1843" i="4"/>
  <c r="E1842" i="4"/>
  <c r="D1842" i="4"/>
  <c r="E1841" i="4"/>
  <c r="D1841" i="4"/>
  <c r="E1840" i="4"/>
  <c r="D1840" i="4"/>
  <c r="E1839" i="4"/>
  <c r="D1839" i="4"/>
  <c r="E1838" i="4"/>
  <c r="D1838" i="4"/>
  <c r="E1837" i="4"/>
  <c r="D1837" i="4"/>
  <c r="E1836" i="4"/>
  <c r="D1836" i="4"/>
  <c r="E1835" i="4"/>
  <c r="D1835" i="4"/>
  <c r="E1834" i="4"/>
  <c r="D1834" i="4"/>
  <c r="E1833" i="4"/>
  <c r="D1833" i="4"/>
  <c r="E1832" i="4"/>
  <c r="D1832" i="4"/>
  <c r="E1831" i="4"/>
  <c r="D1831" i="4"/>
  <c r="E1830" i="4"/>
  <c r="D1830" i="4"/>
  <c r="E1829" i="4"/>
  <c r="D1829" i="4"/>
  <c r="E1828" i="4"/>
  <c r="D1828" i="4"/>
  <c r="E1827" i="4"/>
  <c r="D1827" i="4"/>
  <c r="E1826" i="4"/>
  <c r="D1826" i="4"/>
  <c r="E1825" i="4"/>
  <c r="D1825" i="4"/>
  <c r="E1824" i="4"/>
  <c r="D1824" i="4"/>
  <c r="E1823" i="4"/>
  <c r="D1823" i="4"/>
  <c r="E1822" i="4"/>
  <c r="D1822" i="4"/>
  <c r="E1821" i="4"/>
  <c r="D1821" i="4"/>
  <c r="E1820" i="4"/>
  <c r="D1820" i="4"/>
  <c r="E1819" i="4"/>
  <c r="D1819" i="4"/>
  <c r="E1818" i="4"/>
  <c r="D1818" i="4"/>
  <c r="E1817" i="4"/>
  <c r="D1817" i="4"/>
  <c r="E1816" i="4"/>
  <c r="D1816" i="4"/>
  <c r="E1815" i="4"/>
  <c r="D1815" i="4"/>
  <c r="E1814" i="4"/>
  <c r="D1814" i="4"/>
  <c r="E1813" i="4"/>
  <c r="D1813" i="4"/>
  <c r="E1812" i="4"/>
  <c r="D1812" i="4"/>
  <c r="E1811" i="4"/>
  <c r="D1811" i="4"/>
  <c r="E1810" i="4"/>
  <c r="D1810" i="4"/>
  <c r="E1809" i="4"/>
  <c r="D1809" i="4"/>
  <c r="E1808" i="4"/>
  <c r="D1808" i="4"/>
  <c r="E1807" i="4"/>
  <c r="D1807" i="4"/>
  <c r="E1806" i="4"/>
  <c r="D1806" i="4"/>
  <c r="E1805" i="4"/>
  <c r="D1805" i="4"/>
  <c r="E1804" i="4"/>
  <c r="D1804" i="4"/>
  <c r="E1803" i="4"/>
  <c r="D1803" i="4"/>
  <c r="E1802" i="4"/>
  <c r="D1802" i="4"/>
  <c r="E1801" i="4"/>
  <c r="D1801" i="4"/>
  <c r="E1800" i="4"/>
  <c r="D1800" i="4"/>
  <c r="E1799" i="4"/>
  <c r="D1799" i="4"/>
  <c r="E1798" i="4"/>
  <c r="D1798" i="4"/>
  <c r="E1797" i="4"/>
  <c r="D1797" i="4"/>
  <c r="E1796" i="4"/>
  <c r="D1796" i="4"/>
  <c r="E1795" i="4"/>
  <c r="D1795" i="4"/>
  <c r="E1794" i="4"/>
  <c r="D1794" i="4"/>
  <c r="E1793" i="4"/>
  <c r="D1793" i="4"/>
  <c r="E1792" i="4"/>
  <c r="D1792" i="4"/>
  <c r="E1791" i="4"/>
  <c r="D1791" i="4"/>
  <c r="E1790" i="4"/>
  <c r="D1790" i="4"/>
  <c r="E1789" i="4"/>
  <c r="D1789" i="4"/>
  <c r="E1788" i="4"/>
  <c r="D1788" i="4"/>
  <c r="E1787" i="4"/>
  <c r="D1787" i="4"/>
  <c r="E1786" i="4"/>
  <c r="D1786" i="4"/>
  <c r="E1785" i="4"/>
  <c r="D1785" i="4"/>
  <c r="E1784" i="4"/>
  <c r="D1784" i="4"/>
  <c r="E1783" i="4"/>
  <c r="D1783" i="4"/>
  <c r="E1782" i="4"/>
  <c r="D1782" i="4"/>
  <c r="E1781" i="4"/>
  <c r="D1781" i="4"/>
  <c r="E1780" i="4"/>
  <c r="D1780" i="4"/>
  <c r="E1779" i="4"/>
  <c r="D1779" i="4"/>
  <c r="E1778" i="4"/>
  <c r="D1778" i="4"/>
  <c r="E1777" i="4"/>
  <c r="D1777" i="4"/>
  <c r="E1776" i="4"/>
  <c r="D1776" i="4"/>
  <c r="E1775" i="4"/>
  <c r="D1775" i="4"/>
  <c r="E1774" i="4"/>
  <c r="D1774" i="4"/>
  <c r="E1773" i="4"/>
  <c r="D1773" i="4"/>
  <c r="E1772" i="4"/>
  <c r="D1772" i="4"/>
  <c r="E1771" i="4"/>
  <c r="D1771" i="4"/>
  <c r="E1770" i="4"/>
  <c r="D1770" i="4"/>
  <c r="E1769" i="4"/>
  <c r="D1769" i="4"/>
  <c r="E1768" i="4"/>
  <c r="D1768" i="4"/>
  <c r="E1767" i="4"/>
  <c r="D1767" i="4"/>
  <c r="E1766" i="4"/>
  <c r="D1766" i="4"/>
  <c r="E1765" i="4"/>
  <c r="D1765" i="4"/>
  <c r="E1764" i="4"/>
  <c r="D1764" i="4"/>
  <c r="E1763" i="4"/>
  <c r="D1763" i="4"/>
  <c r="E1762" i="4"/>
  <c r="D1762" i="4"/>
  <c r="E1761" i="4"/>
  <c r="D1761" i="4"/>
  <c r="E1760" i="4"/>
  <c r="D1760" i="4"/>
  <c r="E1759" i="4"/>
  <c r="D1759" i="4"/>
  <c r="E1758" i="4"/>
  <c r="D1758" i="4"/>
  <c r="E1757" i="4"/>
  <c r="D1757" i="4"/>
  <c r="E1756" i="4"/>
  <c r="D1756" i="4"/>
  <c r="E1755" i="4"/>
  <c r="D1755" i="4"/>
  <c r="E1754" i="4"/>
  <c r="D1754" i="4"/>
  <c r="E1753" i="4"/>
  <c r="D1753" i="4"/>
  <c r="E1752" i="4"/>
  <c r="D1752" i="4"/>
  <c r="E1751" i="4"/>
  <c r="D1751" i="4"/>
  <c r="E1750" i="4"/>
  <c r="D1750" i="4"/>
  <c r="E1749" i="4"/>
  <c r="D1749" i="4"/>
  <c r="E1748" i="4"/>
  <c r="D1748" i="4"/>
  <c r="E1747" i="4"/>
  <c r="D1747" i="4"/>
  <c r="E1746" i="4"/>
  <c r="D1746" i="4"/>
  <c r="E1745" i="4"/>
  <c r="D1745" i="4"/>
  <c r="E1744" i="4"/>
  <c r="D1744" i="4"/>
  <c r="E1743" i="4"/>
  <c r="D1743" i="4"/>
  <c r="E1742" i="4"/>
  <c r="D1742" i="4"/>
  <c r="E1741" i="4"/>
  <c r="D1741" i="4"/>
  <c r="E1740" i="4"/>
  <c r="D1740" i="4"/>
  <c r="E1739" i="4"/>
  <c r="D1739" i="4"/>
  <c r="E1738" i="4"/>
  <c r="D1738" i="4"/>
  <c r="E1737" i="4"/>
  <c r="D1737" i="4"/>
  <c r="E1736" i="4"/>
  <c r="D1736" i="4"/>
  <c r="E1735" i="4"/>
  <c r="D1735" i="4"/>
  <c r="E1734" i="4"/>
  <c r="D1734" i="4"/>
  <c r="E1733" i="4"/>
  <c r="D1733" i="4"/>
  <c r="E1732" i="4"/>
  <c r="D1732" i="4"/>
  <c r="E1731" i="4"/>
  <c r="D1731" i="4"/>
  <c r="E1730" i="4"/>
  <c r="D1730" i="4"/>
  <c r="E1729" i="4"/>
  <c r="D1729" i="4"/>
  <c r="E1728" i="4"/>
  <c r="D1728" i="4"/>
  <c r="E1727" i="4"/>
  <c r="D1727" i="4"/>
  <c r="E1726" i="4"/>
  <c r="D1726" i="4"/>
  <c r="E1725" i="4"/>
  <c r="D1725" i="4"/>
  <c r="E1724" i="4"/>
  <c r="D1724" i="4"/>
  <c r="E1723" i="4"/>
  <c r="D1723" i="4"/>
  <c r="E1722" i="4"/>
  <c r="D1722" i="4"/>
  <c r="E1721" i="4"/>
  <c r="D1721" i="4"/>
  <c r="E1720" i="4"/>
  <c r="D1720" i="4"/>
  <c r="E1719" i="4"/>
  <c r="D1719" i="4"/>
  <c r="E1718" i="4"/>
  <c r="D1718" i="4"/>
  <c r="E1717" i="4"/>
  <c r="D1717" i="4"/>
  <c r="E1716" i="4"/>
  <c r="D1716" i="4"/>
  <c r="E1715" i="4"/>
  <c r="D1715" i="4"/>
  <c r="E1714" i="4"/>
  <c r="D1714" i="4"/>
  <c r="E1713" i="4"/>
  <c r="D1713" i="4"/>
  <c r="E1712" i="4"/>
  <c r="D1712" i="4"/>
  <c r="E1711" i="4"/>
  <c r="D1711" i="4"/>
  <c r="E1710" i="4"/>
  <c r="D1710" i="4"/>
  <c r="E1709" i="4"/>
  <c r="D1709" i="4"/>
  <c r="E1708" i="4"/>
  <c r="D1708" i="4"/>
  <c r="E1707" i="4"/>
  <c r="D1707" i="4"/>
  <c r="E1706" i="4"/>
  <c r="D1706" i="4"/>
  <c r="E1705" i="4"/>
  <c r="D1705" i="4"/>
  <c r="E1704" i="4"/>
  <c r="D1704" i="4"/>
  <c r="E1703" i="4"/>
  <c r="D1703" i="4"/>
  <c r="E1702" i="4"/>
  <c r="D1702" i="4"/>
  <c r="E1701" i="4"/>
  <c r="D1701" i="4"/>
  <c r="E1700" i="4"/>
  <c r="D1700" i="4"/>
  <c r="E1699" i="4"/>
  <c r="D1699" i="4"/>
  <c r="E1698" i="4"/>
  <c r="D1698" i="4"/>
  <c r="E1697" i="4"/>
  <c r="D1697" i="4"/>
  <c r="E1696" i="4"/>
  <c r="D1696" i="4"/>
  <c r="E1695" i="4"/>
  <c r="D1695" i="4"/>
  <c r="E1694" i="4"/>
  <c r="D1694" i="4"/>
  <c r="E1693" i="4"/>
  <c r="D1693" i="4"/>
  <c r="E1692" i="4"/>
  <c r="D1692" i="4"/>
  <c r="E1691" i="4"/>
  <c r="D1691" i="4"/>
  <c r="E1690" i="4"/>
  <c r="D1690" i="4"/>
  <c r="E1689" i="4"/>
  <c r="D1689" i="4"/>
  <c r="E1688" i="4"/>
  <c r="D1688" i="4"/>
  <c r="E1687" i="4"/>
  <c r="D1687" i="4"/>
  <c r="E1686" i="4"/>
  <c r="D1686" i="4"/>
  <c r="E1685" i="4"/>
  <c r="D1685" i="4"/>
  <c r="E1684" i="4"/>
  <c r="D1684" i="4"/>
  <c r="E1683" i="4"/>
  <c r="D1683" i="4"/>
  <c r="E1682" i="4"/>
  <c r="D1682" i="4"/>
  <c r="E1681" i="4"/>
  <c r="D1681" i="4"/>
  <c r="E1680" i="4"/>
  <c r="D1680" i="4"/>
  <c r="E1679" i="4"/>
  <c r="D1679" i="4"/>
  <c r="E1678" i="4"/>
  <c r="D1678" i="4"/>
  <c r="E1677" i="4"/>
  <c r="D1677" i="4"/>
  <c r="E1676" i="4"/>
  <c r="D1676" i="4"/>
  <c r="E1675" i="4"/>
  <c r="D1675" i="4"/>
  <c r="E1674" i="4"/>
  <c r="D1674" i="4"/>
  <c r="E1673" i="4"/>
  <c r="D1673" i="4"/>
  <c r="E1672" i="4"/>
  <c r="D1672" i="4"/>
  <c r="E1671" i="4"/>
  <c r="D1671" i="4"/>
  <c r="E1670" i="4"/>
  <c r="D1670" i="4"/>
  <c r="E1669" i="4"/>
  <c r="D1669" i="4"/>
  <c r="E1668" i="4"/>
  <c r="D1668" i="4"/>
  <c r="E1667" i="4"/>
  <c r="D1667" i="4"/>
  <c r="E1666" i="4"/>
  <c r="D1666" i="4"/>
  <c r="E1665" i="4"/>
  <c r="D1665" i="4"/>
  <c r="E1664" i="4"/>
  <c r="D1664" i="4"/>
  <c r="E1663" i="4"/>
  <c r="D1663" i="4"/>
  <c r="E1662" i="4"/>
  <c r="D1662" i="4"/>
  <c r="E1661" i="4"/>
  <c r="D1661" i="4"/>
  <c r="E1660" i="4"/>
  <c r="D1660" i="4"/>
  <c r="E1659" i="4"/>
  <c r="D1659" i="4"/>
  <c r="E1658" i="4"/>
  <c r="D1658" i="4"/>
  <c r="E1657" i="4"/>
  <c r="D1657" i="4"/>
  <c r="E1656" i="4"/>
  <c r="D1656" i="4"/>
  <c r="E1655" i="4"/>
  <c r="D1655" i="4"/>
  <c r="E1654" i="4"/>
  <c r="D1654" i="4"/>
  <c r="E1653" i="4"/>
  <c r="D1653" i="4"/>
  <c r="E1652" i="4"/>
  <c r="D1652" i="4"/>
  <c r="E1651" i="4"/>
  <c r="D1651" i="4"/>
  <c r="E1650" i="4"/>
  <c r="D1650" i="4"/>
  <c r="E1649" i="4"/>
  <c r="D1649" i="4"/>
  <c r="E1648" i="4"/>
  <c r="D1648" i="4"/>
  <c r="E1647" i="4"/>
  <c r="D1647" i="4"/>
  <c r="E1646" i="4"/>
  <c r="D1646" i="4"/>
  <c r="E1645" i="4"/>
  <c r="D1645" i="4"/>
  <c r="E1644" i="4"/>
  <c r="D1644" i="4"/>
  <c r="E1643" i="4"/>
  <c r="D1643" i="4"/>
  <c r="E1642" i="4"/>
  <c r="D1642" i="4"/>
  <c r="E1641" i="4"/>
  <c r="D1641" i="4"/>
  <c r="E1640" i="4"/>
  <c r="D1640" i="4"/>
  <c r="E1639" i="4"/>
  <c r="D1639" i="4"/>
  <c r="E1638" i="4"/>
  <c r="D1638" i="4"/>
  <c r="E1637" i="4"/>
  <c r="D1637" i="4"/>
  <c r="E1636" i="4"/>
  <c r="D1636" i="4"/>
  <c r="E1635" i="4"/>
  <c r="D1635" i="4"/>
  <c r="E1634" i="4"/>
  <c r="D1634" i="4"/>
  <c r="E1633" i="4"/>
  <c r="D1633" i="4"/>
  <c r="E1632" i="4"/>
  <c r="D1632" i="4"/>
  <c r="E1631" i="4"/>
  <c r="D1631" i="4"/>
  <c r="E1630" i="4"/>
  <c r="D1630" i="4"/>
  <c r="E1629" i="4"/>
  <c r="D1629" i="4"/>
  <c r="E1628" i="4"/>
  <c r="D1628" i="4"/>
  <c r="E1627" i="4"/>
  <c r="D1627" i="4"/>
  <c r="E1626" i="4"/>
  <c r="D1626" i="4"/>
  <c r="E1625" i="4"/>
  <c r="D1625" i="4"/>
  <c r="E1624" i="4"/>
  <c r="D1624" i="4"/>
  <c r="E1623" i="4"/>
  <c r="D1623" i="4"/>
  <c r="E1622" i="4"/>
  <c r="D1622" i="4"/>
  <c r="E1621" i="4"/>
  <c r="D1621" i="4"/>
  <c r="E1620" i="4"/>
  <c r="D1620" i="4"/>
  <c r="E1619" i="4"/>
  <c r="D1619" i="4"/>
  <c r="E1618" i="4"/>
  <c r="D1618" i="4"/>
  <c r="E1617" i="4"/>
  <c r="D1617" i="4"/>
  <c r="E1616" i="4"/>
  <c r="D1616" i="4"/>
  <c r="E1615" i="4"/>
  <c r="D1615" i="4"/>
  <c r="E1614" i="4"/>
  <c r="D1614" i="4"/>
  <c r="E1613" i="4"/>
  <c r="D1613" i="4"/>
  <c r="E1612" i="4"/>
  <c r="D1612" i="4"/>
  <c r="E1611" i="4"/>
  <c r="D1611" i="4"/>
  <c r="E1610" i="4"/>
  <c r="D1610" i="4"/>
  <c r="E1609" i="4"/>
  <c r="D1609" i="4"/>
  <c r="E1608" i="4"/>
  <c r="D1608" i="4"/>
  <c r="E1607" i="4"/>
  <c r="D1607" i="4"/>
  <c r="E1606" i="4"/>
  <c r="D1606" i="4"/>
  <c r="E1605" i="4"/>
  <c r="D1605" i="4"/>
  <c r="E1604" i="4"/>
  <c r="D1604" i="4"/>
  <c r="E1603" i="4"/>
  <c r="D1603" i="4"/>
  <c r="E1602" i="4"/>
  <c r="D1602" i="4"/>
  <c r="E1601" i="4"/>
  <c r="D1601" i="4"/>
  <c r="E1600" i="4"/>
  <c r="D1600" i="4"/>
  <c r="E1599" i="4"/>
  <c r="D1599" i="4"/>
  <c r="E1598" i="4"/>
  <c r="D1598" i="4"/>
  <c r="E1597" i="4"/>
  <c r="D1597" i="4"/>
  <c r="E1596" i="4"/>
  <c r="D1596" i="4"/>
  <c r="E1595" i="4"/>
  <c r="D1595" i="4"/>
  <c r="E1594" i="4"/>
  <c r="D1594" i="4"/>
  <c r="E1593" i="4"/>
  <c r="D1593" i="4"/>
  <c r="E1592" i="4"/>
  <c r="D1592" i="4"/>
  <c r="E1591" i="4"/>
  <c r="D1591" i="4"/>
  <c r="E1590" i="4"/>
  <c r="D1590" i="4"/>
  <c r="E1589" i="4"/>
  <c r="D1589" i="4"/>
  <c r="E1588" i="4"/>
  <c r="D1588" i="4"/>
  <c r="E1587" i="4"/>
  <c r="D1587" i="4"/>
  <c r="E1586" i="4"/>
  <c r="D1586" i="4"/>
  <c r="E1585" i="4"/>
  <c r="D1585" i="4"/>
  <c r="E1584" i="4"/>
  <c r="D1584" i="4"/>
  <c r="E1583" i="4"/>
  <c r="D1583" i="4"/>
  <c r="E1582" i="4"/>
  <c r="D1582" i="4"/>
  <c r="E1581" i="4"/>
  <c r="D1581" i="4"/>
  <c r="E1580" i="4"/>
  <c r="D1580" i="4"/>
  <c r="E1579" i="4"/>
  <c r="D1579" i="4"/>
  <c r="E1578" i="4"/>
  <c r="D1578" i="4"/>
  <c r="E1577" i="4"/>
  <c r="D1577" i="4"/>
  <c r="E1576" i="4"/>
  <c r="D1576" i="4"/>
  <c r="E1575" i="4"/>
  <c r="D1575" i="4"/>
  <c r="E1574" i="4"/>
  <c r="D1574" i="4"/>
  <c r="E1573" i="4"/>
  <c r="D1573" i="4"/>
  <c r="E1572" i="4"/>
  <c r="D1572" i="4"/>
  <c r="E1571" i="4"/>
  <c r="D1571" i="4"/>
  <c r="E1570" i="4"/>
  <c r="D1570" i="4"/>
  <c r="E1569" i="4"/>
  <c r="D1569" i="4"/>
  <c r="E1568" i="4"/>
  <c r="D1568" i="4"/>
  <c r="E1567" i="4"/>
  <c r="D1567" i="4"/>
  <c r="E1566" i="4"/>
  <c r="D1566" i="4"/>
  <c r="E1565" i="4"/>
  <c r="D1565" i="4"/>
  <c r="E1564" i="4"/>
  <c r="D1564" i="4"/>
  <c r="E1563" i="4"/>
  <c r="D1563" i="4"/>
  <c r="E1562" i="4"/>
  <c r="D1562" i="4"/>
  <c r="E1561" i="4"/>
  <c r="D1561" i="4"/>
  <c r="E1560" i="4"/>
  <c r="D1560" i="4"/>
  <c r="E1559" i="4"/>
  <c r="D1559" i="4"/>
  <c r="E1558" i="4"/>
  <c r="D1558" i="4"/>
  <c r="E1557" i="4"/>
  <c r="D1557" i="4"/>
  <c r="E1556" i="4"/>
  <c r="D1556" i="4"/>
  <c r="E1555" i="4"/>
  <c r="D1555" i="4"/>
  <c r="E1554" i="4"/>
  <c r="D1554" i="4"/>
  <c r="E1553" i="4"/>
  <c r="D1553" i="4"/>
  <c r="E1552" i="4"/>
  <c r="D1552" i="4"/>
  <c r="E1551" i="4"/>
  <c r="D1551" i="4"/>
  <c r="E1550" i="4"/>
  <c r="D1550" i="4"/>
  <c r="E1549" i="4"/>
  <c r="D1549" i="4"/>
  <c r="E1548" i="4"/>
  <c r="D1548" i="4"/>
  <c r="E1547" i="4"/>
  <c r="D1547" i="4"/>
  <c r="E1546" i="4"/>
  <c r="D1546" i="4"/>
  <c r="E1545" i="4"/>
  <c r="D1545" i="4"/>
  <c r="E1544" i="4"/>
  <c r="D1544" i="4"/>
  <c r="E1543" i="4"/>
  <c r="D1543" i="4"/>
  <c r="E1542" i="4"/>
  <c r="D1542" i="4"/>
  <c r="E1541" i="4"/>
  <c r="D1541" i="4"/>
  <c r="E1540" i="4"/>
  <c r="D1540" i="4"/>
  <c r="E1539" i="4"/>
  <c r="D1539" i="4"/>
  <c r="E1538" i="4"/>
  <c r="D1538" i="4"/>
  <c r="E1537" i="4"/>
  <c r="D1537" i="4"/>
  <c r="E1536" i="4"/>
  <c r="D1536" i="4"/>
  <c r="E1535" i="4"/>
  <c r="D1535" i="4"/>
  <c r="E1534" i="4"/>
  <c r="D1534" i="4"/>
  <c r="E1533" i="4"/>
  <c r="D1533" i="4"/>
  <c r="E1532" i="4"/>
  <c r="D1532" i="4"/>
  <c r="E1531" i="4"/>
  <c r="D1531" i="4"/>
  <c r="E1530" i="4"/>
  <c r="D1530" i="4"/>
  <c r="E1529" i="4"/>
  <c r="D1529" i="4"/>
  <c r="E1528" i="4"/>
  <c r="D1528" i="4"/>
  <c r="E1527" i="4"/>
  <c r="D1527" i="4"/>
  <c r="E1526" i="4"/>
  <c r="D1526" i="4"/>
  <c r="E1525" i="4"/>
  <c r="D1525" i="4"/>
  <c r="E1524" i="4"/>
  <c r="D1524" i="4"/>
  <c r="E1523" i="4"/>
  <c r="D1523" i="4"/>
  <c r="E1522" i="4"/>
  <c r="D1522" i="4"/>
  <c r="E1521" i="4"/>
  <c r="D1521" i="4"/>
  <c r="E1520" i="4"/>
  <c r="D1520" i="4"/>
  <c r="E1519" i="4"/>
  <c r="D1519" i="4"/>
  <c r="E1518" i="4"/>
  <c r="D1518" i="4"/>
  <c r="E1517" i="4"/>
  <c r="D1517" i="4"/>
  <c r="E1516" i="4"/>
  <c r="D1516" i="4"/>
  <c r="E1515" i="4"/>
  <c r="D1515" i="4"/>
  <c r="E1514" i="4"/>
  <c r="D1514" i="4"/>
  <c r="E1513" i="4"/>
  <c r="D1513" i="4"/>
  <c r="E1512" i="4"/>
  <c r="D1512" i="4"/>
  <c r="E1511" i="4"/>
  <c r="D1511" i="4"/>
  <c r="E1510" i="4"/>
  <c r="D1510" i="4"/>
  <c r="E1509" i="4"/>
  <c r="D1509" i="4"/>
  <c r="E1508" i="4"/>
  <c r="D1508" i="4"/>
  <c r="E1507" i="4"/>
  <c r="D1507" i="4"/>
  <c r="E1506" i="4"/>
  <c r="D1506" i="4"/>
  <c r="E1505" i="4"/>
  <c r="D1505" i="4"/>
  <c r="E1504" i="4"/>
  <c r="D1504" i="4"/>
  <c r="E1503" i="4"/>
  <c r="D1503" i="4"/>
  <c r="E1502" i="4"/>
  <c r="D1502" i="4"/>
  <c r="E1501" i="4"/>
  <c r="D1501" i="4"/>
  <c r="E1500" i="4"/>
  <c r="D1500" i="4"/>
  <c r="E1499" i="4"/>
  <c r="D1499" i="4"/>
  <c r="E1498" i="4"/>
  <c r="D1498" i="4"/>
  <c r="E1497" i="4"/>
  <c r="D1497" i="4"/>
  <c r="E1496" i="4"/>
  <c r="D1496" i="4"/>
  <c r="E1495" i="4"/>
  <c r="D1495" i="4"/>
  <c r="E1494" i="4"/>
  <c r="D1494" i="4"/>
  <c r="E1493" i="4"/>
  <c r="D1493" i="4"/>
  <c r="E1492" i="4"/>
  <c r="D1492" i="4"/>
  <c r="E1491" i="4"/>
  <c r="D1491" i="4"/>
  <c r="E1490" i="4"/>
  <c r="D1490" i="4"/>
  <c r="E1489" i="4"/>
  <c r="D1489" i="4"/>
  <c r="E1488" i="4"/>
  <c r="D1488" i="4"/>
  <c r="E1487" i="4"/>
  <c r="D1487" i="4"/>
  <c r="E1486" i="4"/>
  <c r="D1486" i="4"/>
  <c r="E1485" i="4"/>
  <c r="D1485" i="4"/>
  <c r="E1484" i="4"/>
  <c r="D1484" i="4"/>
  <c r="E1483" i="4"/>
  <c r="D1483" i="4"/>
  <c r="E1482" i="4"/>
  <c r="D1482" i="4"/>
  <c r="E1481" i="4"/>
  <c r="D1481" i="4"/>
  <c r="E1480" i="4"/>
  <c r="D1480" i="4"/>
  <c r="E1479" i="4"/>
  <c r="D1479" i="4"/>
  <c r="E1478" i="4"/>
  <c r="D1478" i="4"/>
  <c r="E1477" i="4"/>
  <c r="D1477" i="4"/>
  <c r="E1476" i="4"/>
  <c r="D1476" i="4"/>
  <c r="E1475" i="4"/>
  <c r="D1475" i="4"/>
  <c r="E1474" i="4"/>
  <c r="D1474" i="4"/>
  <c r="E1473" i="4"/>
  <c r="D1473" i="4"/>
  <c r="E1472" i="4"/>
  <c r="D1472" i="4"/>
  <c r="E1471" i="4"/>
  <c r="D1471" i="4"/>
  <c r="E1470" i="4"/>
  <c r="D1470" i="4"/>
  <c r="E1469" i="4"/>
  <c r="D1469" i="4"/>
  <c r="E1468" i="4"/>
  <c r="D1468" i="4"/>
  <c r="E1467" i="4"/>
  <c r="D1467" i="4"/>
  <c r="E1466" i="4"/>
  <c r="D1466" i="4"/>
  <c r="E1465" i="4"/>
  <c r="D1465" i="4"/>
  <c r="E1464" i="4"/>
  <c r="D1464" i="4"/>
  <c r="E1463" i="4"/>
  <c r="D1463" i="4"/>
  <c r="E1462" i="4"/>
  <c r="D1462" i="4"/>
  <c r="E1461" i="4"/>
  <c r="D1461" i="4"/>
  <c r="E1460" i="4"/>
  <c r="D1460" i="4"/>
  <c r="E1459" i="4"/>
  <c r="D1459" i="4"/>
  <c r="E1458" i="4"/>
  <c r="D1458" i="4"/>
  <c r="E1457" i="4"/>
  <c r="D1457" i="4"/>
  <c r="E1456" i="4"/>
  <c r="D1456" i="4"/>
  <c r="E1455" i="4"/>
  <c r="D1455" i="4"/>
  <c r="E1454" i="4"/>
  <c r="D1454" i="4"/>
  <c r="E1453" i="4"/>
  <c r="D1453" i="4"/>
  <c r="E1452" i="4"/>
  <c r="D1452" i="4"/>
  <c r="E1451" i="4"/>
  <c r="D1451" i="4"/>
  <c r="E1450" i="4"/>
  <c r="D1450" i="4"/>
  <c r="E1449" i="4"/>
  <c r="D1449" i="4"/>
  <c r="E1448" i="4"/>
  <c r="D1448" i="4"/>
  <c r="E1447" i="4"/>
  <c r="D1447" i="4"/>
  <c r="E1446" i="4"/>
  <c r="D1446" i="4"/>
  <c r="E1445" i="4"/>
  <c r="D1445" i="4"/>
  <c r="E1444" i="4"/>
  <c r="D1444" i="4"/>
  <c r="E1443" i="4"/>
  <c r="D1443" i="4"/>
  <c r="E1442" i="4"/>
  <c r="D1442" i="4"/>
  <c r="E1441" i="4"/>
  <c r="D1441" i="4"/>
  <c r="E1440" i="4"/>
  <c r="D1440" i="4"/>
  <c r="E1439" i="4"/>
  <c r="D1439" i="4"/>
  <c r="E1438" i="4"/>
  <c r="D1438" i="4"/>
  <c r="E1437" i="4"/>
  <c r="D1437" i="4"/>
  <c r="E1436" i="4"/>
  <c r="D1436" i="4"/>
  <c r="E1435" i="4"/>
  <c r="D1435" i="4"/>
  <c r="E1434" i="4"/>
  <c r="D1434" i="4"/>
  <c r="E1433" i="4"/>
  <c r="D1433" i="4"/>
  <c r="E1432" i="4"/>
  <c r="D1432" i="4"/>
  <c r="E1431" i="4"/>
  <c r="D1431" i="4"/>
  <c r="E1430" i="4"/>
  <c r="D1430" i="4"/>
  <c r="E1429" i="4"/>
  <c r="D1429" i="4"/>
  <c r="E1428" i="4"/>
  <c r="D1428" i="4"/>
  <c r="E1427" i="4"/>
  <c r="D1427" i="4"/>
  <c r="E1426" i="4"/>
  <c r="D1426" i="4"/>
  <c r="E1425" i="4"/>
  <c r="D1425" i="4"/>
  <c r="E1424" i="4"/>
  <c r="D1424" i="4"/>
  <c r="E1423" i="4"/>
  <c r="D1423" i="4"/>
  <c r="E1422" i="4"/>
  <c r="D1422" i="4"/>
  <c r="E1421" i="4"/>
  <c r="D1421" i="4"/>
  <c r="E1420" i="4"/>
  <c r="D1420" i="4"/>
  <c r="E1419" i="4"/>
  <c r="D1419" i="4"/>
  <c r="E1418" i="4"/>
  <c r="D1418" i="4"/>
  <c r="E1417" i="4"/>
  <c r="D1417" i="4"/>
  <c r="E1416" i="4"/>
  <c r="D1416" i="4"/>
  <c r="E1415" i="4"/>
  <c r="D1415" i="4"/>
  <c r="E1414" i="4"/>
  <c r="D1414" i="4"/>
  <c r="E1413" i="4"/>
  <c r="D1413" i="4"/>
  <c r="E1412" i="4"/>
  <c r="D1412" i="4"/>
  <c r="E1411" i="4"/>
  <c r="D1411" i="4"/>
  <c r="E1410" i="4"/>
  <c r="D1410" i="4"/>
  <c r="E1409" i="4"/>
  <c r="D1409" i="4"/>
  <c r="E1408" i="4"/>
  <c r="D1408" i="4"/>
  <c r="E1407" i="4"/>
  <c r="D1407" i="4"/>
  <c r="E1406" i="4"/>
  <c r="D1406" i="4"/>
  <c r="E1405" i="4"/>
  <c r="D1405" i="4"/>
  <c r="E1404" i="4"/>
  <c r="D1404" i="4"/>
  <c r="E1403" i="4"/>
  <c r="D1403" i="4"/>
  <c r="E1402" i="4"/>
  <c r="D1402" i="4"/>
  <c r="E1401" i="4"/>
  <c r="D1401" i="4"/>
  <c r="E1400" i="4"/>
  <c r="D1400" i="4"/>
  <c r="E1399" i="4"/>
  <c r="D1399" i="4"/>
  <c r="E1398" i="4"/>
  <c r="D1398" i="4"/>
  <c r="E1397" i="4"/>
  <c r="D1397" i="4"/>
  <c r="E1396" i="4"/>
  <c r="D1396" i="4"/>
  <c r="E1395" i="4"/>
  <c r="D1395" i="4"/>
  <c r="E1394" i="4"/>
  <c r="D1394" i="4"/>
  <c r="E1393" i="4"/>
  <c r="D1393" i="4"/>
  <c r="E1392" i="4"/>
  <c r="D1392" i="4"/>
  <c r="E1391" i="4"/>
  <c r="D1391" i="4"/>
  <c r="E1390" i="4"/>
  <c r="D1390" i="4"/>
  <c r="E1389" i="4"/>
  <c r="D1389" i="4"/>
  <c r="E1388" i="4"/>
  <c r="D1388" i="4"/>
  <c r="E1387" i="4"/>
  <c r="D1387" i="4"/>
  <c r="E1386" i="4"/>
  <c r="D1386" i="4"/>
  <c r="E1385" i="4"/>
  <c r="D1385" i="4"/>
  <c r="E1384" i="4"/>
  <c r="D1384" i="4"/>
  <c r="E1383" i="4"/>
  <c r="D1383" i="4"/>
  <c r="E1382" i="4"/>
  <c r="D1382" i="4"/>
  <c r="E1381" i="4"/>
  <c r="D1381" i="4"/>
  <c r="E1380" i="4"/>
  <c r="D1380" i="4"/>
  <c r="E1379" i="4"/>
  <c r="D1379" i="4"/>
  <c r="E1378" i="4"/>
  <c r="D1378" i="4"/>
  <c r="E1377" i="4"/>
  <c r="D1377" i="4"/>
  <c r="E1376" i="4"/>
  <c r="D1376" i="4"/>
  <c r="E1375" i="4"/>
  <c r="D1375" i="4"/>
  <c r="E1374" i="4"/>
  <c r="D1374" i="4"/>
  <c r="E1373" i="4"/>
  <c r="D1373" i="4"/>
  <c r="E1372" i="4"/>
  <c r="D1372" i="4"/>
  <c r="E1371" i="4"/>
  <c r="D1371" i="4"/>
  <c r="E1370" i="4"/>
  <c r="D1370" i="4"/>
  <c r="E1369" i="4"/>
  <c r="D1369" i="4"/>
  <c r="E1368" i="4"/>
  <c r="D1368" i="4"/>
  <c r="E1367" i="4"/>
  <c r="D1367" i="4"/>
  <c r="E1366" i="4"/>
  <c r="D1366" i="4"/>
  <c r="E1365" i="4"/>
  <c r="D1365" i="4"/>
  <c r="E1364" i="4"/>
  <c r="D1364" i="4"/>
  <c r="E1363" i="4"/>
  <c r="D1363" i="4"/>
  <c r="E1362" i="4"/>
  <c r="D1362" i="4"/>
  <c r="E1361" i="4"/>
  <c r="D1361" i="4"/>
  <c r="E1360" i="4"/>
  <c r="D1360" i="4"/>
  <c r="E1359" i="4"/>
  <c r="D1359" i="4"/>
  <c r="E1358" i="4"/>
  <c r="D1358" i="4"/>
  <c r="E1357" i="4"/>
  <c r="D1357" i="4"/>
  <c r="E1356" i="4"/>
  <c r="D1356" i="4"/>
  <c r="E1355" i="4"/>
  <c r="D1355" i="4"/>
  <c r="E1354" i="4"/>
  <c r="D1354" i="4"/>
  <c r="E1353" i="4"/>
  <c r="D1353" i="4"/>
  <c r="E1352" i="4"/>
  <c r="D1352" i="4"/>
  <c r="E1351" i="4"/>
  <c r="D1351" i="4"/>
  <c r="E1350" i="4"/>
  <c r="D1350" i="4"/>
  <c r="E1349" i="4"/>
  <c r="D1349" i="4"/>
  <c r="E1348" i="4"/>
  <c r="D1348" i="4"/>
  <c r="E1347" i="4"/>
  <c r="D1347" i="4"/>
  <c r="E1346" i="4"/>
  <c r="D1346" i="4"/>
  <c r="E1345" i="4"/>
  <c r="D1345" i="4"/>
  <c r="E1344" i="4"/>
  <c r="D1344" i="4"/>
  <c r="E1343" i="4"/>
  <c r="D1343" i="4"/>
  <c r="E1342" i="4"/>
  <c r="D1342" i="4"/>
  <c r="E1341" i="4"/>
  <c r="D1341" i="4"/>
  <c r="E1340" i="4"/>
  <c r="D1340" i="4"/>
  <c r="E1339" i="4"/>
  <c r="D1339" i="4"/>
  <c r="E1338" i="4"/>
  <c r="D1338" i="4"/>
  <c r="E1337" i="4"/>
  <c r="D1337" i="4"/>
  <c r="E1336" i="4"/>
  <c r="D1336" i="4"/>
  <c r="E1335" i="4"/>
  <c r="D1335" i="4"/>
  <c r="E1334" i="4"/>
  <c r="D1334" i="4"/>
  <c r="E1333" i="4"/>
  <c r="D1333" i="4"/>
  <c r="E1332" i="4"/>
  <c r="D1332" i="4"/>
  <c r="E1331" i="4"/>
  <c r="D1331" i="4"/>
  <c r="E1330" i="4"/>
  <c r="D1330" i="4"/>
  <c r="E1329" i="4"/>
  <c r="D1329" i="4"/>
  <c r="E1328" i="4"/>
  <c r="D1328" i="4"/>
  <c r="E1327" i="4"/>
  <c r="D1327" i="4"/>
  <c r="E1326" i="4"/>
  <c r="D1326" i="4"/>
  <c r="E1325" i="4"/>
  <c r="D1325" i="4"/>
  <c r="E1324" i="4"/>
  <c r="D1324" i="4"/>
  <c r="E1323" i="4"/>
  <c r="D1323" i="4"/>
  <c r="E1322" i="4"/>
  <c r="D1322" i="4"/>
  <c r="E1321" i="4"/>
  <c r="D1321" i="4"/>
  <c r="E1320" i="4"/>
  <c r="D1320" i="4"/>
  <c r="E1319" i="4"/>
  <c r="D1319" i="4"/>
  <c r="E1318" i="4"/>
  <c r="D1318" i="4"/>
  <c r="E1317" i="4"/>
  <c r="D1317" i="4"/>
  <c r="E1316" i="4"/>
  <c r="D1316" i="4"/>
  <c r="E1315" i="4"/>
  <c r="D1315" i="4"/>
  <c r="E1314" i="4"/>
  <c r="D1314" i="4"/>
  <c r="E1313" i="4"/>
  <c r="D1313" i="4"/>
  <c r="E1312" i="4"/>
  <c r="D1312" i="4"/>
  <c r="E1311" i="4"/>
  <c r="D1311" i="4"/>
  <c r="E1310" i="4"/>
  <c r="D1310" i="4"/>
  <c r="E1309" i="4"/>
  <c r="D1309" i="4"/>
  <c r="E1308" i="4"/>
  <c r="D1308" i="4"/>
  <c r="E1307" i="4"/>
  <c r="D1307" i="4"/>
  <c r="E1306" i="4"/>
  <c r="D1306" i="4"/>
  <c r="E1305" i="4"/>
  <c r="D1305" i="4"/>
  <c r="E1304" i="4"/>
  <c r="D1304" i="4"/>
  <c r="E1303" i="4"/>
  <c r="D1303" i="4"/>
  <c r="E1302" i="4"/>
  <c r="D1302" i="4"/>
  <c r="E1301" i="4"/>
  <c r="D1301" i="4"/>
  <c r="E1300" i="4"/>
  <c r="D1300" i="4"/>
  <c r="E1299" i="4"/>
  <c r="D1299" i="4"/>
  <c r="E1298" i="4"/>
  <c r="D1298" i="4"/>
  <c r="E1297" i="4"/>
  <c r="D1297" i="4"/>
  <c r="E1296" i="4"/>
  <c r="D1296" i="4"/>
  <c r="E1295" i="4"/>
  <c r="D1295" i="4"/>
  <c r="E1294" i="4"/>
  <c r="D1294" i="4"/>
  <c r="E1293" i="4"/>
  <c r="D1293" i="4"/>
  <c r="E1292" i="4"/>
  <c r="D1292" i="4"/>
  <c r="E1291" i="4"/>
  <c r="D1291" i="4"/>
  <c r="E1290" i="4"/>
  <c r="D1290" i="4"/>
  <c r="E1289" i="4"/>
  <c r="D1289" i="4"/>
  <c r="E1288" i="4"/>
  <c r="D1288" i="4"/>
  <c r="E1287" i="4"/>
  <c r="D1287" i="4"/>
  <c r="E1286" i="4"/>
  <c r="D1286" i="4"/>
  <c r="E1285" i="4"/>
  <c r="D1285" i="4"/>
  <c r="E1284" i="4"/>
  <c r="D1284" i="4"/>
  <c r="E1283" i="4"/>
  <c r="D1283" i="4"/>
  <c r="E1282" i="4"/>
  <c r="D1282" i="4"/>
  <c r="E1281" i="4"/>
  <c r="D1281" i="4"/>
  <c r="E1280" i="4"/>
  <c r="D1280" i="4"/>
  <c r="E1279" i="4"/>
  <c r="D1279" i="4"/>
  <c r="E1278" i="4"/>
  <c r="D1278" i="4"/>
  <c r="E1277" i="4"/>
  <c r="D1277" i="4"/>
  <c r="E1276" i="4"/>
  <c r="D1276" i="4"/>
  <c r="E1275" i="4"/>
  <c r="D1275" i="4"/>
  <c r="E1274" i="4"/>
  <c r="D1274" i="4"/>
  <c r="E1273" i="4"/>
  <c r="D1273" i="4"/>
  <c r="E1272" i="4"/>
  <c r="D1272" i="4"/>
  <c r="E1271" i="4"/>
  <c r="D1271" i="4"/>
  <c r="E1270" i="4"/>
  <c r="D1270" i="4"/>
  <c r="E1269" i="4"/>
  <c r="D1269" i="4"/>
  <c r="E1268" i="4"/>
  <c r="D1268" i="4"/>
  <c r="E1267" i="4"/>
  <c r="D1267" i="4"/>
  <c r="E1266" i="4"/>
  <c r="D1266" i="4"/>
  <c r="E1265" i="4"/>
  <c r="D1265" i="4"/>
  <c r="E1264" i="4"/>
  <c r="D1264" i="4"/>
  <c r="E1263" i="4"/>
  <c r="D1263" i="4"/>
  <c r="E1262" i="4"/>
  <c r="D1262" i="4"/>
  <c r="E1261" i="4"/>
  <c r="D1261" i="4"/>
  <c r="E1260" i="4"/>
  <c r="D1260" i="4"/>
  <c r="E1259" i="4"/>
  <c r="D1259" i="4"/>
  <c r="E1258" i="4"/>
  <c r="D1258" i="4"/>
  <c r="E1257" i="4"/>
  <c r="D1257" i="4"/>
  <c r="E1256" i="4"/>
  <c r="D1256" i="4"/>
  <c r="E1255" i="4"/>
  <c r="D1255" i="4"/>
  <c r="E1254" i="4"/>
  <c r="D1254" i="4"/>
  <c r="E1253" i="4"/>
  <c r="D1253" i="4"/>
  <c r="E1252" i="4"/>
  <c r="D1252" i="4"/>
  <c r="E1251" i="4"/>
  <c r="D1251" i="4"/>
  <c r="E1250" i="4"/>
  <c r="D1250" i="4"/>
  <c r="E1249" i="4"/>
  <c r="D1249" i="4"/>
  <c r="E1248" i="4"/>
  <c r="D1248" i="4"/>
  <c r="E1247" i="4"/>
  <c r="D1247" i="4"/>
  <c r="E1246" i="4"/>
  <c r="D1246" i="4"/>
  <c r="E1245" i="4"/>
  <c r="D1245" i="4"/>
  <c r="E1244" i="4"/>
  <c r="D1244" i="4"/>
  <c r="E1243" i="4"/>
  <c r="D1243" i="4"/>
  <c r="E1242" i="4"/>
  <c r="D1242" i="4"/>
  <c r="E1241" i="4"/>
  <c r="D1241" i="4"/>
  <c r="E1240" i="4"/>
  <c r="D1240" i="4"/>
  <c r="E1239" i="4"/>
  <c r="D1239" i="4"/>
  <c r="E1238" i="4"/>
  <c r="D1238" i="4"/>
  <c r="E1237" i="4"/>
  <c r="D1237" i="4"/>
  <c r="E1236" i="4"/>
  <c r="D1236" i="4"/>
  <c r="E1235" i="4"/>
  <c r="D1235" i="4"/>
  <c r="E1234" i="4"/>
  <c r="D1234" i="4"/>
  <c r="E1233" i="4"/>
  <c r="D1233" i="4"/>
  <c r="E1232" i="4"/>
  <c r="D1232" i="4"/>
  <c r="E1231" i="4"/>
  <c r="D1231" i="4"/>
  <c r="E1230" i="4"/>
  <c r="D1230" i="4"/>
  <c r="E1229" i="4"/>
  <c r="D1229" i="4"/>
  <c r="E1228" i="4"/>
  <c r="D1228" i="4"/>
  <c r="E1227" i="4"/>
  <c r="D1227" i="4"/>
  <c r="E1226" i="4"/>
  <c r="D1226" i="4"/>
  <c r="E1225" i="4"/>
  <c r="D1225" i="4"/>
  <c r="E1224" i="4"/>
  <c r="D1224" i="4"/>
  <c r="E1223" i="4"/>
  <c r="D1223" i="4"/>
  <c r="E1222" i="4"/>
  <c r="D1222" i="4"/>
  <c r="E1221" i="4"/>
  <c r="D1221" i="4"/>
  <c r="E1220" i="4"/>
  <c r="D1220" i="4"/>
  <c r="E1219" i="4"/>
  <c r="D1219" i="4"/>
  <c r="E1218" i="4"/>
  <c r="D1218" i="4"/>
  <c r="E1217" i="4"/>
  <c r="D1217" i="4"/>
  <c r="E1216" i="4"/>
  <c r="D1216" i="4"/>
  <c r="E1215" i="4"/>
  <c r="D1215" i="4"/>
  <c r="E1214" i="4"/>
  <c r="D1214" i="4"/>
  <c r="E1213" i="4"/>
  <c r="D1213" i="4"/>
  <c r="E1212" i="4"/>
  <c r="D1212" i="4"/>
  <c r="E1211" i="4"/>
  <c r="D1211" i="4"/>
  <c r="E1210" i="4"/>
  <c r="D1210" i="4"/>
  <c r="E1209" i="4"/>
  <c r="D1209" i="4"/>
  <c r="E1208" i="4"/>
  <c r="D1208" i="4"/>
  <c r="E1207" i="4"/>
  <c r="D1207" i="4"/>
  <c r="E1206" i="4"/>
  <c r="D1206" i="4"/>
  <c r="E1205" i="4"/>
  <c r="D1205" i="4"/>
  <c r="E1204" i="4"/>
  <c r="D1204" i="4"/>
  <c r="E1203" i="4"/>
  <c r="D1203" i="4"/>
  <c r="E1202" i="4"/>
  <c r="D1202" i="4"/>
  <c r="E1201" i="4"/>
  <c r="D1201" i="4"/>
  <c r="E1200" i="4"/>
  <c r="D1200" i="4"/>
  <c r="E1199" i="4"/>
  <c r="D1199" i="4"/>
  <c r="E1198" i="4"/>
  <c r="D1198" i="4"/>
  <c r="E1197" i="4"/>
  <c r="D1197" i="4"/>
  <c r="E1196" i="4"/>
  <c r="D1196" i="4"/>
  <c r="E1195" i="4"/>
  <c r="D1195" i="4"/>
  <c r="E1194" i="4"/>
  <c r="D1194" i="4"/>
  <c r="E1193" i="4"/>
  <c r="D1193" i="4"/>
  <c r="E1192" i="4"/>
  <c r="D1192" i="4"/>
  <c r="E1191" i="4"/>
  <c r="D1191" i="4"/>
  <c r="E1190" i="4"/>
  <c r="D1190" i="4"/>
  <c r="E1189" i="4"/>
  <c r="D1189" i="4"/>
  <c r="E1188" i="4"/>
  <c r="D1188" i="4"/>
  <c r="E1187" i="4"/>
  <c r="D1187" i="4"/>
  <c r="E1186" i="4"/>
  <c r="D1186" i="4"/>
  <c r="E1185" i="4"/>
  <c r="D1185" i="4"/>
  <c r="E1184" i="4"/>
  <c r="D1184" i="4"/>
  <c r="E1183" i="4"/>
  <c r="D1183" i="4"/>
  <c r="E1182" i="4"/>
  <c r="D1182" i="4"/>
  <c r="E1181" i="4"/>
  <c r="D1181" i="4"/>
  <c r="E1180" i="4"/>
  <c r="D1180" i="4"/>
  <c r="E1179" i="4"/>
  <c r="D1179" i="4"/>
  <c r="E1178" i="4"/>
  <c r="D1178" i="4"/>
  <c r="E1177" i="4"/>
  <c r="D1177" i="4"/>
  <c r="E1176" i="4"/>
  <c r="D1176" i="4"/>
  <c r="E1175" i="4"/>
  <c r="D1175" i="4"/>
  <c r="E1174" i="4"/>
  <c r="D1174" i="4"/>
  <c r="E1173" i="4"/>
  <c r="D1173" i="4"/>
  <c r="E1172" i="4"/>
  <c r="D1172" i="4"/>
  <c r="E1171" i="4"/>
  <c r="D1171" i="4"/>
  <c r="E1170" i="4"/>
  <c r="D1170" i="4"/>
  <c r="E1169" i="4"/>
  <c r="D1169" i="4"/>
  <c r="E1168" i="4"/>
  <c r="D1168" i="4"/>
  <c r="E1167" i="4"/>
  <c r="D1167" i="4"/>
  <c r="E1166" i="4"/>
  <c r="D1166" i="4"/>
  <c r="E1165" i="4"/>
  <c r="D1165" i="4"/>
  <c r="E1164" i="4"/>
  <c r="D1164" i="4"/>
  <c r="E1163" i="4"/>
  <c r="D1163" i="4"/>
  <c r="E1162" i="4"/>
  <c r="D1162" i="4"/>
  <c r="E1161" i="4"/>
  <c r="D1161" i="4"/>
  <c r="E1160" i="4"/>
  <c r="D1160" i="4"/>
  <c r="E1159" i="4"/>
  <c r="D1159" i="4"/>
  <c r="E1158" i="4"/>
  <c r="D1158" i="4"/>
  <c r="E1157" i="4"/>
  <c r="D1157" i="4"/>
  <c r="E1156" i="4"/>
  <c r="D1156" i="4"/>
  <c r="E1155" i="4"/>
  <c r="D1155" i="4"/>
  <c r="E1154" i="4"/>
  <c r="D1154" i="4"/>
  <c r="E1153" i="4"/>
  <c r="D1153" i="4"/>
  <c r="E1152" i="4"/>
  <c r="D1152" i="4"/>
  <c r="E1151" i="4"/>
  <c r="D1151" i="4"/>
  <c r="E1150" i="4"/>
  <c r="D1150" i="4"/>
  <c r="E1149" i="4"/>
  <c r="D1149" i="4"/>
  <c r="E1148" i="4"/>
  <c r="D1148" i="4"/>
  <c r="E1147" i="4"/>
  <c r="D1147" i="4"/>
  <c r="E1146" i="4"/>
  <c r="D1146" i="4"/>
  <c r="E1145" i="4"/>
  <c r="D1145" i="4"/>
  <c r="E1144" i="4"/>
  <c r="D1144" i="4"/>
  <c r="E1143" i="4"/>
  <c r="D1143" i="4"/>
  <c r="E1142" i="4"/>
  <c r="D1142" i="4"/>
  <c r="E1141" i="4"/>
  <c r="D1141" i="4"/>
  <c r="E1140" i="4"/>
  <c r="D1140" i="4"/>
  <c r="E1139" i="4"/>
  <c r="D1139" i="4"/>
  <c r="E1138" i="4"/>
  <c r="D1138" i="4"/>
  <c r="E1137" i="4"/>
  <c r="D1137" i="4"/>
  <c r="E1136" i="4"/>
  <c r="D1136" i="4"/>
  <c r="E1135" i="4"/>
  <c r="D1135" i="4"/>
  <c r="E1134" i="4"/>
  <c r="D1134" i="4"/>
  <c r="E1133" i="4"/>
  <c r="D1133" i="4"/>
  <c r="E1132" i="4"/>
  <c r="D1132" i="4"/>
  <c r="E1131" i="4"/>
  <c r="D1131" i="4"/>
  <c r="E1130" i="4"/>
  <c r="D1130" i="4"/>
  <c r="E1129" i="4"/>
  <c r="D1129" i="4"/>
  <c r="E1128" i="4"/>
  <c r="D1128" i="4"/>
  <c r="E1127" i="4"/>
  <c r="D1127" i="4"/>
  <c r="E1126" i="4"/>
  <c r="D1126" i="4"/>
  <c r="E1125" i="4"/>
  <c r="D1125" i="4"/>
  <c r="E1124" i="4"/>
  <c r="D1124" i="4"/>
  <c r="E1123" i="4"/>
  <c r="D1123" i="4"/>
  <c r="E1122" i="4"/>
  <c r="D1122" i="4"/>
  <c r="E1121" i="4"/>
  <c r="D1121" i="4"/>
  <c r="E1120" i="4"/>
  <c r="D1120" i="4"/>
  <c r="E1119" i="4"/>
  <c r="D1119" i="4"/>
  <c r="E1118" i="4"/>
  <c r="D1118" i="4"/>
  <c r="E1117" i="4"/>
  <c r="D1117" i="4"/>
  <c r="E1116" i="4"/>
  <c r="D1116" i="4"/>
  <c r="E1115" i="4"/>
  <c r="D1115" i="4"/>
  <c r="E1114" i="4"/>
  <c r="D1114" i="4"/>
  <c r="E1113" i="4"/>
  <c r="D1113" i="4"/>
  <c r="E1112" i="4"/>
  <c r="D1112" i="4"/>
  <c r="E1111" i="4"/>
  <c r="D1111" i="4"/>
  <c r="E1110" i="4"/>
  <c r="D1110" i="4"/>
  <c r="E1109" i="4"/>
  <c r="D1109" i="4"/>
  <c r="E1108" i="4"/>
  <c r="D1108" i="4"/>
  <c r="E1107" i="4"/>
  <c r="D1107" i="4"/>
  <c r="E1106" i="4"/>
  <c r="D1106" i="4"/>
  <c r="E1105" i="4"/>
  <c r="D1105" i="4"/>
  <c r="E1104" i="4"/>
  <c r="D1104" i="4"/>
  <c r="E1103" i="4"/>
  <c r="D1103" i="4"/>
  <c r="E1102" i="4"/>
  <c r="D1102" i="4"/>
  <c r="E1101" i="4"/>
  <c r="D1101" i="4"/>
  <c r="E1100" i="4"/>
  <c r="D1100" i="4"/>
  <c r="E1099" i="4"/>
  <c r="D1099" i="4"/>
  <c r="E1098" i="4"/>
  <c r="D1098" i="4"/>
  <c r="E1097" i="4"/>
  <c r="D1097" i="4"/>
  <c r="E1096" i="4"/>
  <c r="D1096" i="4"/>
  <c r="E1095" i="4"/>
  <c r="D1095" i="4"/>
  <c r="E1094" i="4"/>
  <c r="D1094" i="4"/>
  <c r="E1093" i="4"/>
  <c r="D1093" i="4"/>
  <c r="E1092" i="4"/>
  <c r="D1092" i="4"/>
  <c r="E1091" i="4"/>
  <c r="D1091" i="4"/>
  <c r="E1090" i="4"/>
  <c r="D1090" i="4"/>
  <c r="E1089" i="4"/>
  <c r="D1089" i="4"/>
  <c r="E1088" i="4"/>
  <c r="D1088" i="4"/>
  <c r="E1087" i="4"/>
  <c r="D1087" i="4"/>
  <c r="E1086" i="4"/>
  <c r="D1086" i="4"/>
  <c r="E1085" i="4"/>
  <c r="D1085" i="4"/>
  <c r="E1084" i="4"/>
  <c r="D1084" i="4"/>
  <c r="E1083" i="4"/>
  <c r="D1083" i="4"/>
  <c r="E1082" i="4"/>
  <c r="D1082" i="4"/>
  <c r="E1081" i="4"/>
  <c r="D1081" i="4"/>
  <c r="E1080" i="4"/>
  <c r="D1080" i="4"/>
  <c r="E1079" i="4"/>
  <c r="D1079" i="4"/>
  <c r="E1078" i="4"/>
  <c r="D1078" i="4"/>
  <c r="E1077" i="4"/>
  <c r="D1077" i="4"/>
  <c r="E1076" i="4"/>
  <c r="D1076" i="4"/>
  <c r="E1075" i="4"/>
  <c r="D1075" i="4"/>
  <c r="E1074" i="4"/>
  <c r="D1074" i="4"/>
  <c r="E1073" i="4"/>
  <c r="D1073" i="4"/>
  <c r="E1072" i="4"/>
  <c r="D1072" i="4"/>
  <c r="E1071" i="4"/>
  <c r="D1071" i="4"/>
  <c r="E1070" i="4"/>
  <c r="D1070" i="4"/>
  <c r="E1069" i="4"/>
  <c r="D1069" i="4"/>
  <c r="E1068" i="4"/>
  <c r="D1068" i="4"/>
  <c r="E1067" i="4"/>
  <c r="D1067" i="4"/>
  <c r="E1066" i="4"/>
  <c r="D1066" i="4"/>
  <c r="E1065" i="4"/>
  <c r="D1065" i="4"/>
  <c r="E1064" i="4"/>
  <c r="D1064" i="4"/>
  <c r="E1063" i="4"/>
  <c r="D1063" i="4"/>
  <c r="E1062" i="4"/>
  <c r="D1062" i="4"/>
  <c r="E1061" i="4"/>
  <c r="D1061" i="4"/>
  <c r="E1060" i="4"/>
  <c r="D1060" i="4"/>
  <c r="E1059" i="4"/>
  <c r="D1059" i="4"/>
  <c r="E1058" i="4"/>
  <c r="D1058" i="4"/>
  <c r="E1057" i="4"/>
  <c r="D1057" i="4"/>
  <c r="E1056" i="4"/>
  <c r="D1056" i="4"/>
  <c r="E1055" i="4"/>
  <c r="D1055" i="4"/>
  <c r="E1054" i="4"/>
  <c r="D1054" i="4"/>
  <c r="E1053" i="4"/>
  <c r="D1053" i="4"/>
  <c r="E1052" i="4"/>
  <c r="D1052" i="4"/>
  <c r="E1051" i="4"/>
  <c r="D1051" i="4"/>
  <c r="E1050" i="4"/>
  <c r="D1050" i="4"/>
  <c r="E1049" i="4"/>
  <c r="D1049" i="4"/>
  <c r="E1048" i="4"/>
  <c r="D1048" i="4"/>
  <c r="E1047" i="4"/>
  <c r="D1047" i="4"/>
  <c r="E1046" i="4"/>
  <c r="D1046" i="4"/>
  <c r="E1045" i="4"/>
  <c r="D1045" i="4"/>
  <c r="E1044" i="4"/>
  <c r="D1044" i="4"/>
  <c r="E1043" i="4"/>
  <c r="D1043" i="4"/>
  <c r="E1042" i="4"/>
  <c r="D1042" i="4"/>
  <c r="E1041" i="4"/>
  <c r="D1041" i="4"/>
  <c r="E1040" i="4"/>
  <c r="D1040" i="4"/>
  <c r="E1039" i="4"/>
  <c r="D1039" i="4"/>
  <c r="E1038" i="4"/>
  <c r="D1038" i="4"/>
  <c r="E1037" i="4"/>
  <c r="D1037" i="4"/>
  <c r="E1036" i="4"/>
  <c r="D1036" i="4"/>
  <c r="E1035" i="4"/>
  <c r="D1035" i="4"/>
  <c r="E1034" i="4"/>
  <c r="D1034" i="4"/>
  <c r="E1033" i="4"/>
  <c r="D1033" i="4"/>
  <c r="E1032" i="4"/>
  <c r="D1032" i="4"/>
  <c r="E1031" i="4"/>
  <c r="D1031" i="4"/>
  <c r="E1030" i="4"/>
  <c r="D1030" i="4"/>
  <c r="E1029" i="4"/>
  <c r="D1029" i="4"/>
  <c r="E1028" i="4"/>
  <c r="D1028" i="4"/>
  <c r="E1027" i="4"/>
  <c r="D1027" i="4"/>
  <c r="E1026" i="4"/>
  <c r="D1026" i="4"/>
  <c r="E1025" i="4"/>
  <c r="D1025" i="4"/>
  <c r="E1024" i="4"/>
  <c r="D1024" i="4"/>
  <c r="E1023" i="4"/>
  <c r="D1023" i="4"/>
  <c r="E1022" i="4"/>
  <c r="D1022" i="4"/>
  <c r="E1021" i="4"/>
  <c r="D1021" i="4"/>
  <c r="E1020" i="4"/>
  <c r="D1020" i="4"/>
  <c r="E1019" i="4"/>
  <c r="D1019" i="4"/>
  <c r="E1018" i="4"/>
  <c r="D1018" i="4"/>
  <c r="E1017" i="4"/>
  <c r="D1017" i="4"/>
  <c r="E1016" i="4"/>
  <c r="D1016" i="4"/>
  <c r="E1015" i="4"/>
  <c r="D1015" i="4"/>
  <c r="E1014" i="4"/>
  <c r="D1014" i="4"/>
  <c r="E1013" i="4"/>
  <c r="D1013" i="4"/>
  <c r="E1012" i="4"/>
  <c r="D1012" i="4"/>
  <c r="E1011" i="4"/>
  <c r="D1011" i="4"/>
  <c r="E1010" i="4"/>
  <c r="D1010" i="4"/>
  <c r="E1009" i="4"/>
  <c r="D1009" i="4"/>
  <c r="E1008" i="4"/>
  <c r="D1008" i="4"/>
  <c r="E1007" i="4"/>
  <c r="D1007" i="4"/>
  <c r="E1006" i="4"/>
  <c r="D1006" i="4"/>
  <c r="E1005" i="4"/>
  <c r="D1005" i="4"/>
  <c r="E1004" i="4"/>
  <c r="D1004" i="4"/>
  <c r="E1003" i="4"/>
  <c r="D1003" i="4"/>
  <c r="E1002" i="4"/>
  <c r="D1002" i="4"/>
  <c r="E1001" i="4"/>
  <c r="D1001" i="4"/>
  <c r="E1000" i="4"/>
  <c r="D1000" i="4"/>
  <c r="E999" i="4"/>
  <c r="D999" i="4"/>
  <c r="E998" i="4"/>
  <c r="D998" i="4"/>
  <c r="E997" i="4"/>
  <c r="D997" i="4"/>
  <c r="E996" i="4"/>
  <c r="D996" i="4"/>
  <c r="E995" i="4"/>
  <c r="D995" i="4"/>
  <c r="E994" i="4"/>
  <c r="D994" i="4"/>
  <c r="E993" i="4"/>
  <c r="D993" i="4"/>
  <c r="E992" i="4"/>
  <c r="D992" i="4"/>
  <c r="E991" i="4"/>
  <c r="D991" i="4"/>
  <c r="E990" i="4"/>
  <c r="D990" i="4"/>
  <c r="E989" i="4"/>
  <c r="D989" i="4"/>
  <c r="E988" i="4"/>
  <c r="D988" i="4"/>
  <c r="E987" i="4"/>
  <c r="D987" i="4"/>
  <c r="E986" i="4"/>
  <c r="D986" i="4"/>
  <c r="E985" i="4"/>
  <c r="D985" i="4"/>
  <c r="E984" i="4"/>
  <c r="D984" i="4"/>
  <c r="E983" i="4"/>
  <c r="D983" i="4"/>
  <c r="E982" i="4"/>
  <c r="D982" i="4"/>
  <c r="E981" i="4"/>
  <c r="D981" i="4"/>
  <c r="E980" i="4"/>
  <c r="D980" i="4"/>
  <c r="E979" i="4"/>
  <c r="D979" i="4"/>
  <c r="E978" i="4"/>
  <c r="D978" i="4"/>
  <c r="E977" i="4"/>
  <c r="D977" i="4"/>
  <c r="E976" i="4"/>
  <c r="D976" i="4"/>
  <c r="E975" i="4"/>
  <c r="D975" i="4"/>
  <c r="E974" i="4"/>
  <c r="D974" i="4"/>
  <c r="E973" i="4"/>
  <c r="D973" i="4"/>
  <c r="E972" i="4"/>
  <c r="D972" i="4"/>
  <c r="E971" i="4"/>
  <c r="D971" i="4"/>
  <c r="E970" i="4"/>
  <c r="D970" i="4"/>
  <c r="E969" i="4"/>
  <c r="D969" i="4"/>
  <c r="E968" i="4"/>
  <c r="D968" i="4"/>
  <c r="E967" i="4"/>
  <c r="D967" i="4"/>
  <c r="E966" i="4"/>
  <c r="D966" i="4"/>
  <c r="E965" i="4"/>
  <c r="D965" i="4"/>
  <c r="E964" i="4"/>
  <c r="D964" i="4"/>
  <c r="E963" i="4"/>
  <c r="D963" i="4"/>
  <c r="E962" i="4"/>
  <c r="D962" i="4"/>
  <c r="E961" i="4"/>
  <c r="D961" i="4"/>
  <c r="E960" i="4"/>
  <c r="D960" i="4"/>
  <c r="E959" i="4"/>
  <c r="D959" i="4"/>
  <c r="E958" i="4"/>
  <c r="D958" i="4"/>
  <c r="E957" i="4"/>
  <c r="D957" i="4"/>
  <c r="E956" i="4"/>
  <c r="D956" i="4"/>
  <c r="E955" i="4"/>
  <c r="D955" i="4"/>
  <c r="E954" i="4"/>
  <c r="D954" i="4"/>
  <c r="E953" i="4"/>
  <c r="D953" i="4"/>
  <c r="E952" i="4"/>
  <c r="D952" i="4"/>
  <c r="E951" i="4"/>
  <c r="D951" i="4"/>
  <c r="E950" i="4"/>
  <c r="D950" i="4"/>
  <c r="E949" i="4"/>
  <c r="D949" i="4"/>
  <c r="E948" i="4"/>
  <c r="D948" i="4"/>
  <c r="E947" i="4"/>
  <c r="D947" i="4"/>
  <c r="E946" i="4"/>
  <c r="D946" i="4"/>
  <c r="E945" i="4"/>
  <c r="D945" i="4"/>
  <c r="E944" i="4"/>
  <c r="D944" i="4"/>
  <c r="E943" i="4"/>
  <c r="D943" i="4"/>
  <c r="E942" i="4"/>
  <c r="D942" i="4"/>
  <c r="E941" i="4"/>
  <c r="D941" i="4"/>
  <c r="E940" i="4"/>
  <c r="D940" i="4"/>
  <c r="E939" i="4"/>
  <c r="D939" i="4"/>
  <c r="E938" i="4"/>
  <c r="D938" i="4"/>
  <c r="E937" i="4"/>
  <c r="D937" i="4"/>
  <c r="E936" i="4"/>
  <c r="D936" i="4"/>
  <c r="E935" i="4"/>
  <c r="D935" i="4"/>
  <c r="E934" i="4"/>
  <c r="D934" i="4"/>
  <c r="E933" i="4"/>
  <c r="D933" i="4"/>
  <c r="E932" i="4"/>
  <c r="D932" i="4"/>
  <c r="E931" i="4"/>
  <c r="D931" i="4"/>
  <c r="E930" i="4"/>
  <c r="D930" i="4"/>
  <c r="E929" i="4"/>
  <c r="D929" i="4"/>
  <c r="E928" i="4"/>
  <c r="D928" i="4"/>
  <c r="E927" i="4"/>
  <c r="D927" i="4"/>
  <c r="E926" i="4"/>
  <c r="D926" i="4"/>
  <c r="E925" i="4"/>
  <c r="D925" i="4"/>
  <c r="E924" i="4"/>
  <c r="D924" i="4"/>
  <c r="E923" i="4"/>
  <c r="D923" i="4"/>
  <c r="E922" i="4"/>
  <c r="D922" i="4"/>
  <c r="E921" i="4"/>
  <c r="D921" i="4"/>
  <c r="E920" i="4"/>
  <c r="D920" i="4"/>
  <c r="E919" i="4"/>
  <c r="D919" i="4"/>
  <c r="E918" i="4"/>
  <c r="D918" i="4"/>
  <c r="E917" i="4"/>
  <c r="D917" i="4"/>
  <c r="E916" i="4"/>
  <c r="D916" i="4"/>
  <c r="E915" i="4"/>
  <c r="D915" i="4"/>
  <c r="E914" i="4"/>
  <c r="D914" i="4"/>
  <c r="E913" i="4"/>
  <c r="D913" i="4"/>
  <c r="E912" i="4"/>
  <c r="D912" i="4"/>
  <c r="E911" i="4"/>
  <c r="D911" i="4"/>
  <c r="E910" i="4"/>
  <c r="D910" i="4"/>
  <c r="E909" i="4"/>
  <c r="D909" i="4"/>
  <c r="E908" i="4"/>
  <c r="D908" i="4"/>
  <c r="E907" i="4"/>
  <c r="D907" i="4"/>
  <c r="E906" i="4"/>
  <c r="D906" i="4"/>
  <c r="E905" i="4"/>
  <c r="D905" i="4"/>
  <c r="E904" i="4"/>
  <c r="D904" i="4"/>
  <c r="E903" i="4"/>
  <c r="D903" i="4"/>
  <c r="E902" i="4"/>
  <c r="D902" i="4"/>
  <c r="E901" i="4"/>
  <c r="D901" i="4"/>
  <c r="E900" i="4"/>
  <c r="D900" i="4"/>
  <c r="E899" i="4"/>
  <c r="D899" i="4"/>
  <c r="E898" i="4"/>
  <c r="D898" i="4"/>
  <c r="E897" i="4"/>
  <c r="D897" i="4"/>
  <c r="E896" i="4"/>
  <c r="D896" i="4"/>
  <c r="E895" i="4"/>
  <c r="D895" i="4"/>
  <c r="E894" i="4"/>
  <c r="D894" i="4"/>
  <c r="E893" i="4"/>
  <c r="D893" i="4"/>
  <c r="E892" i="4"/>
  <c r="D892" i="4"/>
  <c r="E891" i="4"/>
  <c r="D891" i="4"/>
  <c r="E890" i="4"/>
  <c r="D890" i="4"/>
  <c r="E889" i="4"/>
  <c r="D889" i="4"/>
  <c r="E888" i="4"/>
  <c r="D888" i="4"/>
  <c r="E887" i="4"/>
  <c r="D887" i="4"/>
  <c r="E886" i="4"/>
  <c r="D886" i="4"/>
  <c r="E885" i="4"/>
  <c r="D885" i="4"/>
  <c r="E884" i="4"/>
  <c r="D884" i="4"/>
  <c r="E883" i="4"/>
  <c r="D883" i="4"/>
  <c r="E882" i="4"/>
  <c r="D882" i="4"/>
  <c r="E881" i="4"/>
  <c r="D881" i="4"/>
  <c r="E880" i="4"/>
  <c r="D880" i="4"/>
  <c r="E879" i="4"/>
  <c r="D879" i="4"/>
  <c r="E878" i="4"/>
  <c r="D878" i="4"/>
  <c r="E877" i="4"/>
  <c r="D877" i="4"/>
  <c r="E876" i="4"/>
  <c r="D876" i="4"/>
  <c r="E875" i="4"/>
  <c r="D875" i="4"/>
  <c r="E874" i="4"/>
  <c r="D874" i="4"/>
  <c r="E873" i="4"/>
  <c r="D873" i="4"/>
  <c r="E872" i="4"/>
  <c r="D872" i="4"/>
  <c r="E871" i="4"/>
  <c r="D871" i="4"/>
  <c r="E870" i="4"/>
  <c r="D870" i="4"/>
  <c r="E869" i="4"/>
  <c r="D869" i="4"/>
  <c r="E868" i="4"/>
  <c r="D868" i="4"/>
  <c r="E867" i="4"/>
  <c r="D867" i="4"/>
  <c r="E866" i="4"/>
  <c r="D866" i="4"/>
  <c r="E865" i="4"/>
  <c r="D865" i="4"/>
  <c r="E864" i="4"/>
  <c r="D864" i="4"/>
  <c r="E863" i="4"/>
  <c r="D863" i="4"/>
  <c r="E862" i="4"/>
  <c r="D862" i="4"/>
  <c r="E861" i="4"/>
  <c r="D861" i="4"/>
  <c r="E860" i="4"/>
  <c r="D860" i="4"/>
  <c r="E859" i="4"/>
  <c r="D859" i="4"/>
  <c r="E858" i="4"/>
  <c r="D858" i="4"/>
  <c r="E857" i="4"/>
  <c r="D857" i="4"/>
  <c r="E856" i="4"/>
  <c r="D856" i="4"/>
  <c r="E855" i="4"/>
  <c r="D855" i="4"/>
  <c r="E854" i="4"/>
  <c r="D854" i="4"/>
  <c r="E853" i="4"/>
  <c r="D853" i="4"/>
  <c r="E852" i="4"/>
  <c r="D852" i="4"/>
  <c r="E851" i="4"/>
  <c r="D851" i="4"/>
  <c r="E850" i="4"/>
  <c r="D850" i="4"/>
  <c r="E849" i="4"/>
  <c r="D849" i="4"/>
  <c r="E848" i="4"/>
  <c r="D848" i="4"/>
  <c r="E847" i="4"/>
  <c r="D847" i="4"/>
  <c r="E846" i="4"/>
  <c r="D846" i="4"/>
  <c r="E845" i="4"/>
  <c r="D845" i="4"/>
  <c r="E844" i="4"/>
  <c r="D844" i="4"/>
  <c r="E843" i="4"/>
  <c r="D843" i="4"/>
  <c r="E842" i="4"/>
  <c r="D842" i="4"/>
  <c r="E841" i="4"/>
  <c r="D841" i="4"/>
  <c r="E840" i="4"/>
  <c r="D840" i="4"/>
  <c r="E839" i="4"/>
  <c r="D839" i="4"/>
  <c r="E838" i="4"/>
  <c r="D838" i="4"/>
  <c r="E837" i="4"/>
  <c r="D837" i="4"/>
  <c r="E836" i="4"/>
  <c r="D836" i="4"/>
  <c r="E835" i="4"/>
  <c r="D835" i="4"/>
  <c r="E834" i="4"/>
  <c r="D834" i="4"/>
  <c r="E833" i="4"/>
  <c r="D833" i="4"/>
  <c r="E832" i="4"/>
  <c r="D832" i="4"/>
  <c r="E831" i="4"/>
  <c r="D831" i="4"/>
  <c r="E830" i="4"/>
  <c r="D830" i="4"/>
  <c r="E829" i="4"/>
  <c r="D829" i="4"/>
  <c r="E828" i="4"/>
  <c r="D828" i="4"/>
  <c r="E827" i="4"/>
  <c r="D827" i="4"/>
  <c r="E826" i="4"/>
  <c r="D826" i="4"/>
  <c r="E825" i="4"/>
  <c r="D825" i="4"/>
  <c r="E824" i="4"/>
  <c r="D824" i="4"/>
  <c r="E823" i="4"/>
  <c r="D823" i="4"/>
  <c r="E822" i="4"/>
  <c r="D822" i="4"/>
  <c r="E821" i="4"/>
  <c r="D821" i="4"/>
  <c r="E820" i="4"/>
  <c r="D820" i="4"/>
  <c r="E819" i="4"/>
  <c r="D819" i="4"/>
  <c r="E818" i="4"/>
  <c r="D818" i="4"/>
  <c r="E817" i="4"/>
  <c r="D817" i="4"/>
  <c r="E816" i="4"/>
  <c r="D816" i="4"/>
  <c r="E815" i="4"/>
  <c r="D815" i="4"/>
  <c r="E814" i="4"/>
  <c r="D814" i="4"/>
  <c r="E813" i="4"/>
  <c r="D813" i="4"/>
  <c r="E812" i="4"/>
  <c r="D812" i="4"/>
  <c r="E811" i="4"/>
  <c r="D811" i="4"/>
  <c r="E810" i="4"/>
  <c r="D810" i="4"/>
  <c r="E809" i="4"/>
  <c r="D809" i="4"/>
  <c r="E808" i="4"/>
  <c r="D808" i="4"/>
  <c r="E807" i="4"/>
  <c r="D807" i="4"/>
  <c r="E806" i="4"/>
  <c r="D806" i="4"/>
  <c r="E805" i="4"/>
  <c r="D805" i="4"/>
  <c r="E804" i="4"/>
  <c r="D804" i="4"/>
  <c r="E803" i="4"/>
  <c r="D803" i="4"/>
  <c r="E802" i="4"/>
  <c r="D802" i="4"/>
  <c r="E801" i="4"/>
  <c r="D801" i="4"/>
  <c r="E800" i="4"/>
  <c r="D800" i="4"/>
  <c r="E799" i="4"/>
  <c r="D799" i="4"/>
  <c r="E798" i="4"/>
  <c r="D798" i="4"/>
  <c r="E797" i="4"/>
  <c r="D797" i="4"/>
  <c r="E796" i="4"/>
  <c r="D796" i="4"/>
  <c r="E795" i="4"/>
  <c r="D795" i="4"/>
  <c r="E794" i="4"/>
  <c r="D794" i="4"/>
  <c r="E793" i="4"/>
  <c r="D793" i="4"/>
  <c r="E792" i="4"/>
  <c r="D792" i="4"/>
  <c r="E791" i="4"/>
  <c r="D791" i="4"/>
  <c r="E790" i="4"/>
  <c r="D790" i="4"/>
  <c r="E789" i="4"/>
  <c r="D789" i="4"/>
  <c r="E788" i="4"/>
  <c r="D788" i="4"/>
  <c r="E787" i="4"/>
  <c r="D787" i="4"/>
  <c r="E786" i="4"/>
  <c r="D786" i="4"/>
  <c r="E785" i="4"/>
  <c r="D785" i="4"/>
  <c r="E784" i="4"/>
  <c r="D784" i="4"/>
  <c r="E783" i="4"/>
  <c r="D783" i="4"/>
  <c r="E782" i="4"/>
  <c r="D782" i="4"/>
  <c r="E781" i="4"/>
  <c r="D781" i="4"/>
  <c r="E780" i="4"/>
  <c r="D780" i="4"/>
  <c r="E779" i="4"/>
  <c r="D779" i="4"/>
  <c r="E778" i="4"/>
  <c r="D778" i="4"/>
  <c r="E777" i="4"/>
  <c r="D777" i="4"/>
  <c r="E776" i="4"/>
  <c r="D776" i="4"/>
  <c r="E775" i="4"/>
  <c r="D775" i="4"/>
  <c r="E774" i="4"/>
  <c r="D774" i="4"/>
  <c r="E773" i="4"/>
  <c r="D773" i="4"/>
  <c r="E772" i="4"/>
  <c r="D772" i="4"/>
  <c r="E771" i="4"/>
  <c r="D771" i="4"/>
  <c r="E770" i="4"/>
  <c r="D770" i="4"/>
  <c r="E769" i="4"/>
  <c r="D769" i="4"/>
  <c r="E768" i="4"/>
  <c r="D768" i="4"/>
  <c r="E767" i="4"/>
  <c r="D767" i="4"/>
  <c r="E766" i="4"/>
  <c r="D766" i="4"/>
  <c r="E765" i="4"/>
  <c r="D765" i="4"/>
  <c r="E764" i="4"/>
  <c r="D764" i="4"/>
  <c r="E763" i="4"/>
  <c r="D763" i="4"/>
  <c r="E762" i="4"/>
  <c r="D762" i="4"/>
  <c r="E761" i="4"/>
  <c r="D761" i="4"/>
  <c r="E760" i="4"/>
  <c r="D760" i="4"/>
  <c r="E759" i="4"/>
  <c r="D759" i="4"/>
  <c r="E758" i="4"/>
  <c r="D758" i="4"/>
  <c r="E757" i="4"/>
  <c r="D757" i="4"/>
  <c r="E756" i="4"/>
  <c r="D756" i="4"/>
  <c r="E755" i="4"/>
  <c r="D755" i="4"/>
  <c r="E754" i="4"/>
  <c r="D754" i="4"/>
  <c r="E753" i="4"/>
  <c r="D753" i="4"/>
  <c r="E752" i="4"/>
  <c r="D752" i="4"/>
  <c r="E751" i="4"/>
  <c r="D751" i="4"/>
  <c r="E750" i="4"/>
  <c r="D750" i="4"/>
  <c r="E749" i="4"/>
  <c r="D749" i="4"/>
  <c r="E748" i="4"/>
  <c r="D748" i="4"/>
  <c r="E747" i="4"/>
  <c r="D747" i="4"/>
  <c r="E746" i="4"/>
  <c r="D746" i="4"/>
  <c r="E745" i="4"/>
  <c r="D745" i="4"/>
  <c r="E744" i="4"/>
  <c r="D744" i="4"/>
  <c r="E743" i="4"/>
  <c r="D743" i="4"/>
  <c r="E742" i="4"/>
  <c r="D742" i="4"/>
  <c r="E741" i="4"/>
  <c r="D741" i="4"/>
  <c r="E740" i="4"/>
  <c r="D740" i="4"/>
  <c r="E739" i="4"/>
  <c r="D739" i="4"/>
  <c r="E738" i="4"/>
  <c r="D738" i="4"/>
  <c r="E737" i="4"/>
  <c r="D737" i="4"/>
  <c r="E736" i="4"/>
  <c r="D736" i="4"/>
  <c r="E735" i="4"/>
  <c r="D735" i="4"/>
  <c r="E734" i="4"/>
  <c r="D734" i="4"/>
  <c r="E733" i="4"/>
  <c r="D733" i="4"/>
  <c r="E732" i="4"/>
  <c r="D732" i="4"/>
  <c r="E731" i="4"/>
  <c r="D731" i="4"/>
  <c r="E730" i="4"/>
  <c r="D730" i="4"/>
  <c r="E729" i="4"/>
  <c r="D729" i="4"/>
  <c r="E728" i="4"/>
  <c r="D728" i="4"/>
  <c r="E727" i="4"/>
  <c r="D727" i="4"/>
  <c r="E726" i="4"/>
  <c r="D726" i="4"/>
  <c r="E725" i="4"/>
  <c r="D725" i="4"/>
  <c r="E724" i="4"/>
  <c r="D724" i="4"/>
  <c r="E723" i="4"/>
  <c r="D723" i="4"/>
  <c r="E722" i="4"/>
  <c r="D722" i="4"/>
  <c r="E721" i="4"/>
  <c r="D721" i="4"/>
  <c r="E720" i="4"/>
  <c r="D720" i="4"/>
  <c r="E719" i="4"/>
  <c r="D719" i="4"/>
  <c r="E718" i="4"/>
  <c r="D718" i="4"/>
  <c r="E717" i="4"/>
  <c r="D717" i="4"/>
  <c r="E716" i="4"/>
  <c r="D716" i="4"/>
  <c r="E715" i="4"/>
  <c r="D715" i="4"/>
  <c r="E714" i="4"/>
  <c r="D714" i="4"/>
  <c r="E713" i="4"/>
  <c r="D713" i="4"/>
  <c r="E712" i="4"/>
  <c r="D712" i="4"/>
  <c r="E711" i="4"/>
  <c r="D711" i="4"/>
  <c r="E710" i="4"/>
  <c r="D710" i="4"/>
  <c r="E709" i="4"/>
  <c r="D709" i="4"/>
  <c r="E708" i="4"/>
  <c r="D708" i="4"/>
  <c r="E707" i="4"/>
  <c r="D707" i="4"/>
  <c r="E706" i="4"/>
  <c r="D706" i="4"/>
  <c r="E705" i="4"/>
  <c r="D705" i="4"/>
  <c r="E704" i="4"/>
  <c r="D704" i="4"/>
  <c r="E703" i="4"/>
  <c r="D703" i="4"/>
  <c r="E702" i="4"/>
  <c r="D702" i="4"/>
  <c r="E701" i="4"/>
  <c r="D701" i="4"/>
  <c r="E700" i="4"/>
  <c r="D700" i="4"/>
  <c r="E699" i="4"/>
  <c r="D699" i="4"/>
  <c r="E698" i="4"/>
  <c r="D698" i="4"/>
  <c r="E697" i="4"/>
  <c r="D697" i="4"/>
  <c r="E696" i="4"/>
  <c r="D696" i="4"/>
  <c r="E695" i="4"/>
  <c r="D695" i="4"/>
  <c r="E694" i="4"/>
  <c r="D694" i="4"/>
  <c r="E693" i="4"/>
  <c r="D693" i="4"/>
  <c r="E692" i="4"/>
  <c r="D692" i="4"/>
  <c r="E691" i="4"/>
  <c r="D691" i="4"/>
  <c r="E690" i="4"/>
  <c r="D690" i="4"/>
  <c r="E689" i="4"/>
  <c r="D689" i="4"/>
  <c r="E688" i="4"/>
  <c r="D688" i="4"/>
  <c r="E687" i="4"/>
  <c r="D687" i="4"/>
  <c r="E686" i="4"/>
  <c r="D686" i="4"/>
  <c r="E685" i="4"/>
  <c r="D685" i="4"/>
  <c r="E684" i="4"/>
  <c r="D684" i="4"/>
  <c r="E683" i="4"/>
  <c r="D683" i="4"/>
  <c r="E682" i="4"/>
  <c r="D682" i="4"/>
  <c r="E681" i="4"/>
  <c r="D681" i="4"/>
  <c r="E680" i="4"/>
  <c r="D680" i="4"/>
  <c r="E679" i="4"/>
  <c r="D679" i="4"/>
  <c r="E678" i="4"/>
  <c r="D678" i="4"/>
  <c r="E677" i="4"/>
  <c r="D677" i="4"/>
  <c r="E676" i="4"/>
  <c r="D676" i="4"/>
  <c r="E675" i="4"/>
  <c r="D675" i="4"/>
  <c r="E674" i="4"/>
  <c r="D674" i="4"/>
  <c r="E673" i="4"/>
  <c r="D673" i="4"/>
  <c r="E672" i="4"/>
  <c r="D672" i="4"/>
  <c r="E671" i="4"/>
  <c r="D671" i="4"/>
  <c r="E670" i="4"/>
  <c r="D670" i="4"/>
  <c r="E669" i="4"/>
  <c r="D669" i="4"/>
  <c r="E668" i="4"/>
  <c r="D668" i="4"/>
  <c r="E667" i="4"/>
  <c r="D667" i="4"/>
  <c r="E666" i="4"/>
  <c r="D666" i="4"/>
  <c r="E665" i="4"/>
  <c r="D665" i="4"/>
  <c r="E664" i="4"/>
  <c r="D664" i="4"/>
  <c r="E663" i="4"/>
  <c r="D663" i="4"/>
  <c r="E662" i="4"/>
  <c r="D662" i="4"/>
  <c r="E661" i="4"/>
  <c r="D661" i="4"/>
  <c r="E660" i="4"/>
  <c r="D660" i="4"/>
  <c r="E659" i="4"/>
  <c r="D659" i="4"/>
  <c r="E658" i="4"/>
  <c r="D658" i="4"/>
  <c r="E657" i="4"/>
  <c r="D657" i="4"/>
  <c r="E656" i="4"/>
  <c r="D656" i="4"/>
  <c r="E655" i="4"/>
  <c r="D655" i="4"/>
  <c r="E654" i="4"/>
  <c r="D654" i="4"/>
  <c r="E653" i="4"/>
  <c r="D653" i="4"/>
  <c r="E652" i="4"/>
  <c r="D652" i="4"/>
  <c r="E651" i="4"/>
  <c r="D651" i="4"/>
  <c r="E650" i="4"/>
  <c r="D650" i="4"/>
  <c r="E649" i="4"/>
  <c r="D649" i="4"/>
  <c r="E648" i="4"/>
  <c r="D648" i="4"/>
  <c r="E647" i="4"/>
  <c r="D647" i="4"/>
  <c r="E646" i="4"/>
  <c r="D646" i="4"/>
  <c r="E645" i="4"/>
  <c r="D645" i="4"/>
  <c r="E644" i="4"/>
  <c r="D644" i="4"/>
  <c r="E643" i="4"/>
  <c r="D643" i="4"/>
  <c r="E642" i="4"/>
  <c r="D642" i="4"/>
  <c r="E641" i="4"/>
  <c r="D641" i="4"/>
  <c r="E640" i="4"/>
  <c r="D640" i="4"/>
  <c r="E639" i="4"/>
  <c r="D639" i="4"/>
  <c r="E638" i="4"/>
  <c r="D638" i="4"/>
  <c r="E637" i="4"/>
  <c r="D637" i="4"/>
  <c r="E636" i="4"/>
  <c r="D636" i="4"/>
  <c r="E635" i="4"/>
  <c r="D635" i="4"/>
  <c r="E634" i="4"/>
  <c r="D634" i="4"/>
  <c r="E633" i="4"/>
  <c r="D633" i="4"/>
  <c r="E632" i="4"/>
  <c r="D632" i="4"/>
  <c r="E631" i="4"/>
  <c r="D631" i="4"/>
  <c r="E630" i="4"/>
  <c r="D630" i="4"/>
  <c r="E629" i="4"/>
  <c r="D629" i="4"/>
  <c r="E628" i="4"/>
  <c r="D628" i="4"/>
  <c r="E627" i="4"/>
  <c r="D627" i="4"/>
  <c r="E626" i="4"/>
  <c r="D626" i="4"/>
  <c r="E625" i="4"/>
  <c r="D625" i="4"/>
  <c r="E624" i="4"/>
  <c r="D624" i="4"/>
  <c r="E623" i="4"/>
  <c r="D623" i="4"/>
  <c r="E622" i="4"/>
  <c r="D622" i="4"/>
  <c r="E621" i="4"/>
  <c r="D621" i="4"/>
  <c r="E620" i="4"/>
  <c r="D620" i="4"/>
  <c r="E619" i="4"/>
  <c r="D619" i="4"/>
  <c r="E618" i="4"/>
  <c r="D618" i="4"/>
  <c r="E617" i="4"/>
  <c r="D617" i="4"/>
  <c r="E616" i="4"/>
  <c r="D616" i="4"/>
  <c r="E615" i="4"/>
  <c r="D615" i="4"/>
  <c r="E614" i="4"/>
  <c r="D614" i="4"/>
  <c r="E613" i="4"/>
  <c r="D613" i="4"/>
  <c r="E612" i="4"/>
  <c r="D612" i="4"/>
  <c r="E611" i="4"/>
  <c r="D611" i="4"/>
  <c r="E610" i="4"/>
  <c r="D610" i="4"/>
  <c r="E609" i="4"/>
  <c r="D609" i="4"/>
  <c r="E608" i="4"/>
  <c r="D608" i="4"/>
  <c r="E607" i="4"/>
  <c r="D607" i="4"/>
  <c r="E606" i="4"/>
  <c r="D606" i="4"/>
  <c r="E605" i="4"/>
  <c r="D605" i="4"/>
  <c r="E604" i="4"/>
  <c r="D604" i="4"/>
  <c r="E603" i="4"/>
  <c r="D603" i="4"/>
  <c r="E602" i="4"/>
  <c r="D602" i="4"/>
  <c r="E601" i="4"/>
  <c r="D601" i="4"/>
  <c r="E600" i="4"/>
  <c r="D600" i="4"/>
  <c r="E599" i="4"/>
  <c r="D599" i="4"/>
  <c r="E598" i="4"/>
  <c r="D598" i="4"/>
  <c r="E597" i="4"/>
  <c r="D597" i="4"/>
  <c r="E596" i="4"/>
  <c r="D596" i="4"/>
  <c r="E595" i="4"/>
  <c r="D595" i="4"/>
  <c r="E594" i="4"/>
  <c r="D594" i="4"/>
  <c r="E593" i="4"/>
  <c r="D593" i="4"/>
  <c r="E592" i="4"/>
  <c r="D592" i="4"/>
  <c r="E591" i="4"/>
  <c r="D591" i="4"/>
  <c r="E590" i="4"/>
  <c r="D590" i="4"/>
  <c r="E589" i="4"/>
  <c r="D589" i="4"/>
  <c r="E588" i="4"/>
  <c r="D588" i="4"/>
  <c r="E587" i="4"/>
  <c r="D587" i="4"/>
  <c r="E586" i="4"/>
  <c r="D586" i="4"/>
  <c r="E585" i="4"/>
  <c r="D585" i="4"/>
  <c r="E584" i="4"/>
  <c r="D584" i="4"/>
  <c r="E583" i="4"/>
  <c r="D583" i="4"/>
  <c r="E582" i="4"/>
  <c r="D582" i="4"/>
  <c r="E581" i="4"/>
  <c r="D581" i="4"/>
  <c r="E580" i="4"/>
  <c r="D580" i="4"/>
  <c r="E579" i="4"/>
  <c r="D579" i="4"/>
  <c r="E578" i="4"/>
  <c r="D578" i="4"/>
  <c r="E577" i="4"/>
  <c r="D577" i="4"/>
  <c r="E576" i="4"/>
  <c r="D576" i="4"/>
  <c r="E575" i="4"/>
  <c r="D575" i="4"/>
  <c r="E574" i="4"/>
  <c r="D574" i="4"/>
  <c r="E573" i="4"/>
  <c r="D573" i="4"/>
  <c r="E572" i="4"/>
  <c r="D572" i="4"/>
  <c r="E571" i="4"/>
  <c r="D571" i="4"/>
  <c r="E570" i="4"/>
  <c r="D570" i="4"/>
  <c r="E569" i="4"/>
  <c r="D569" i="4"/>
  <c r="E568" i="4"/>
  <c r="D568" i="4"/>
  <c r="E567" i="4"/>
  <c r="D567" i="4"/>
  <c r="E566" i="4"/>
  <c r="D566" i="4"/>
  <c r="E565" i="4"/>
  <c r="D565" i="4"/>
  <c r="E564" i="4"/>
  <c r="D564" i="4"/>
  <c r="E563" i="4"/>
  <c r="D563" i="4"/>
  <c r="E562" i="4"/>
  <c r="D562" i="4"/>
  <c r="E561" i="4"/>
  <c r="D561" i="4"/>
  <c r="E560" i="4"/>
  <c r="D560" i="4"/>
  <c r="E559" i="4"/>
  <c r="D559" i="4"/>
  <c r="E558" i="4"/>
  <c r="D558" i="4"/>
  <c r="E557" i="4"/>
  <c r="D557" i="4"/>
  <c r="E556" i="4"/>
  <c r="D556" i="4"/>
  <c r="E555" i="4"/>
  <c r="D555" i="4"/>
  <c r="E554" i="4"/>
  <c r="D554" i="4"/>
  <c r="E553" i="4"/>
  <c r="D553" i="4"/>
  <c r="E552" i="4"/>
  <c r="D552" i="4"/>
  <c r="E551" i="4"/>
  <c r="D551" i="4"/>
  <c r="E550" i="4"/>
  <c r="D550" i="4"/>
  <c r="E549" i="4"/>
  <c r="D549" i="4"/>
  <c r="E548" i="4"/>
  <c r="D548" i="4"/>
  <c r="E547" i="4"/>
  <c r="D547" i="4"/>
  <c r="E546" i="4"/>
  <c r="D546" i="4"/>
  <c r="E545" i="4"/>
  <c r="D545" i="4"/>
  <c r="E544" i="4"/>
  <c r="D544" i="4"/>
  <c r="E543" i="4"/>
  <c r="D543" i="4"/>
  <c r="E542" i="4"/>
  <c r="D542" i="4"/>
  <c r="E541" i="4"/>
  <c r="D541" i="4"/>
  <c r="E540" i="4"/>
  <c r="D540" i="4"/>
  <c r="E539" i="4"/>
  <c r="D539" i="4"/>
  <c r="E538" i="4"/>
  <c r="D538" i="4"/>
  <c r="E537" i="4"/>
  <c r="D537" i="4"/>
  <c r="E536" i="4"/>
  <c r="D536" i="4"/>
  <c r="E535" i="4"/>
  <c r="D535" i="4"/>
  <c r="E534" i="4"/>
  <c r="D534" i="4"/>
  <c r="E533" i="4"/>
  <c r="D533" i="4"/>
  <c r="E532" i="4"/>
  <c r="D532" i="4"/>
  <c r="E531" i="4"/>
  <c r="D531" i="4"/>
  <c r="E530" i="4"/>
  <c r="D530" i="4"/>
  <c r="E529" i="4"/>
  <c r="D529" i="4"/>
  <c r="E528" i="4"/>
  <c r="D528" i="4"/>
  <c r="E527" i="4"/>
  <c r="D527" i="4"/>
  <c r="E526" i="4"/>
  <c r="D526" i="4"/>
  <c r="E525" i="4"/>
  <c r="D525" i="4"/>
  <c r="E524" i="4"/>
  <c r="D524" i="4"/>
  <c r="E523" i="4"/>
  <c r="D523" i="4"/>
  <c r="E522" i="4"/>
  <c r="D522" i="4"/>
  <c r="E521" i="4"/>
  <c r="D521" i="4"/>
  <c r="E520" i="4"/>
  <c r="D520" i="4"/>
  <c r="E519" i="4"/>
  <c r="D519" i="4"/>
  <c r="E518" i="4"/>
  <c r="D518" i="4"/>
  <c r="E517" i="4"/>
  <c r="D517" i="4"/>
  <c r="E516" i="4"/>
  <c r="D516" i="4"/>
  <c r="E515" i="4"/>
  <c r="D515" i="4"/>
  <c r="E514" i="4"/>
  <c r="D514" i="4"/>
  <c r="E513" i="4"/>
  <c r="D513" i="4"/>
  <c r="E512" i="4"/>
  <c r="D512" i="4"/>
  <c r="E511" i="4"/>
  <c r="D511" i="4"/>
  <c r="E510" i="4"/>
  <c r="D510" i="4"/>
  <c r="E509" i="4"/>
  <c r="D509" i="4"/>
  <c r="E508" i="4"/>
  <c r="D508" i="4"/>
  <c r="E507" i="4"/>
  <c r="D507" i="4"/>
  <c r="E506" i="4"/>
  <c r="D506" i="4"/>
  <c r="E505" i="4"/>
  <c r="D505" i="4"/>
  <c r="E504" i="4"/>
  <c r="D504" i="4"/>
  <c r="E503" i="4"/>
  <c r="D503" i="4"/>
  <c r="E502" i="4"/>
  <c r="D502" i="4"/>
  <c r="E501" i="4"/>
  <c r="D501" i="4"/>
  <c r="E500" i="4"/>
  <c r="D500" i="4"/>
  <c r="E499" i="4"/>
  <c r="D499" i="4"/>
  <c r="E498" i="4"/>
  <c r="D498" i="4"/>
  <c r="E497" i="4"/>
  <c r="D497" i="4"/>
  <c r="E496" i="4"/>
  <c r="D496" i="4"/>
  <c r="E495" i="4"/>
  <c r="D495" i="4"/>
  <c r="E494" i="4"/>
  <c r="D494" i="4"/>
  <c r="E493" i="4"/>
  <c r="D493" i="4"/>
  <c r="E492" i="4"/>
  <c r="D492" i="4"/>
  <c r="E491" i="4"/>
  <c r="D491" i="4"/>
  <c r="E490" i="4"/>
  <c r="D490" i="4"/>
  <c r="E489" i="4"/>
  <c r="D489" i="4"/>
  <c r="E488" i="4"/>
  <c r="D488" i="4"/>
  <c r="E487" i="4"/>
  <c r="D487" i="4"/>
  <c r="E486" i="4"/>
  <c r="D486" i="4"/>
  <c r="E485" i="4"/>
  <c r="D485" i="4"/>
  <c r="E484" i="4"/>
  <c r="D484" i="4"/>
  <c r="E483" i="4"/>
  <c r="D483" i="4"/>
  <c r="E482" i="4"/>
  <c r="D482" i="4"/>
  <c r="E481" i="4"/>
  <c r="D481" i="4"/>
  <c r="E480" i="4"/>
  <c r="D480" i="4"/>
  <c r="E479" i="4"/>
  <c r="D479" i="4"/>
  <c r="E478" i="4"/>
  <c r="D478" i="4"/>
  <c r="E477" i="4"/>
  <c r="D477" i="4"/>
  <c r="E476" i="4"/>
  <c r="D476" i="4"/>
  <c r="E475" i="4"/>
  <c r="D475" i="4"/>
  <c r="E474" i="4"/>
  <c r="D474" i="4"/>
  <c r="E473" i="4"/>
  <c r="D473" i="4"/>
  <c r="E472" i="4"/>
  <c r="D472" i="4"/>
  <c r="E471" i="4"/>
  <c r="D471" i="4"/>
  <c r="E470" i="4"/>
  <c r="D470" i="4"/>
  <c r="E469" i="4"/>
  <c r="D469" i="4"/>
  <c r="E468" i="4"/>
  <c r="D468" i="4"/>
  <c r="E467" i="4"/>
  <c r="D467" i="4"/>
  <c r="E466" i="4"/>
  <c r="D466" i="4"/>
  <c r="E465" i="4"/>
  <c r="D465" i="4"/>
  <c r="E464" i="4"/>
  <c r="D464" i="4"/>
  <c r="E463" i="4"/>
  <c r="D463" i="4"/>
  <c r="E462" i="4"/>
  <c r="D462" i="4"/>
  <c r="E461" i="4"/>
  <c r="D461" i="4"/>
  <c r="E460" i="4"/>
  <c r="D460" i="4"/>
  <c r="E459" i="4"/>
  <c r="D459" i="4"/>
  <c r="E458" i="4"/>
  <c r="D458" i="4"/>
  <c r="E457" i="4"/>
  <c r="D457" i="4"/>
  <c r="E456" i="4"/>
  <c r="D456" i="4"/>
  <c r="E455" i="4"/>
  <c r="D455" i="4"/>
  <c r="E454" i="4"/>
  <c r="D454" i="4"/>
  <c r="E453" i="4"/>
  <c r="D453" i="4"/>
  <c r="E452" i="4"/>
  <c r="D452" i="4"/>
  <c r="E451" i="4"/>
  <c r="D451" i="4"/>
  <c r="E450" i="4"/>
  <c r="D450" i="4"/>
  <c r="E449" i="4"/>
  <c r="D449" i="4"/>
  <c r="E448" i="4"/>
  <c r="D448" i="4"/>
  <c r="E447" i="4"/>
  <c r="D447" i="4"/>
  <c r="E446" i="4"/>
  <c r="D446" i="4"/>
  <c r="E445" i="4"/>
  <c r="D445" i="4"/>
  <c r="E444" i="4"/>
  <c r="D444" i="4"/>
  <c r="E443" i="4"/>
  <c r="D443" i="4"/>
  <c r="E442" i="4"/>
  <c r="D442" i="4"/>
  <c r="E441" i="4"/>
  <c r="D441" i="4"/>
  <c r="E440" i="4"/>
  <c r="D440" i="4"/>
  <c r="E439" i="4"/>
  <c r="D439" i="4"/>
  <c r="E438" i="4"/>
  <c r="D438" i="4"/>
  <c r="E437" i="4"/>
  <c r="D437" i="4"/>
  <c r="E436" i="4"/>
  <c r="D436" i="4"/>
  <c r="E435" i="4"/>
  <c r="D435" i="4"/>
  <c r="E434" i="4"/>
  <c r="D434" i="4"/>
  <c r="E433" i="4"/>
  <c r="D433" i="4"/>
  <c r="E432" i="4"/>
  <c r="D432" i="4"/>
  <c r="E431" i="4"/>
  <c r="D431" i="4"/>
  <c r="E430" i="4"/>
  <c r="D430" i="4"/>
  <c r="E429" i="4"/>
  <c r="D429" i="4"/>
  <c r="E428" i="4"/>
  <c r="D428" i="4"/>
  <c r="E427" i="4"/>
  <c r="D427" i="4"/>
  <c r="E426" i="4"/>
  <c r="D426" i="4"/>
  <c r="E425" i="4"/>
  <c r="D425" i="4"/>
  <c r="E424" i="4"/>
  <c r="D424" i="4"/>
  <c r="E423" i="4"/>
  <c r="D423" i="4"/>
  <c r="E422" i="4"/>
  <c r="D422" i="4"/>
  <c r="E421" i="4"/>
  <c r="D421" i="4"/>
  <c r="E420" i="4"/>
  <c r="D420" i="4"/>
  <c r="E419" i="4"/>
  <c r="D419" i="4"/>
  <c r="E418" i="4"/>
  <c r="D418" i="4"/>
  <c r="E417" i="4"/>
  <c r="D417" i="4"/>
  <c r="E416" i="4"/>
  <c r="D416" i="4"/>
  <c r="E415" i="4"/>
  <c r="D415" i="4"/>
  <c r="E414" i="4"/>
  <c r="D414" i="4"/>
  <c r="E413" i="4"/>
  <c r="D413" i="4"/>
  <c r="E412" i="4"/>
  <c r="D412" i="4"/>
  <c r="E411" i="4"/>
  <c r="D411" i="4"/>
  <c r="E410" i="4"/>
  <c r="D410" i="4"/>
  <c r="E409" i="4"/>
  <c r="D409" i="4"/>
  <c r="E408" i="4"/>
  <c r="D408" i="4"/>
  <c r="E407" i="4"/>
  <c r="D407" i="4"/>
  <c r="E406" i="4"/>
  <c r="D406" i="4"/>
  <c r="E405" i="4"/>
  <c r="D405" i="4"/>
  <c r="E404" i="4"/>
  <c r="D404" i="4"/>
  <c r="E403" i="4"/>
  <c r="D403" i="4"/>
  <c r="E402" i="4"/>
  <c r="D402" i="4"/>
  <c r="E401" i="4"/>
  <c r="D401" i="4"/>
  <c r="E400" i="4"/>
  <c r="D400" i="4"/>
  <c r="E399" i="4"/>
  <c r="D399" i="4"/>
  <c r="E398" i="4"/>
  <c r="D398" i="4"/>
  <c r="E397" i="4"/>
  <c r="D397" i="4"/>
  <c r="E396" i="4"/>
  <c r="D396" i="4"/>
  <c r="E395" i="4"/>
  <c r="D395" i="4"/>
  <c r="E394" i="4"/>
  <c r="D394" i="4"/>
  <c r="E393" i="4"/>
  <c r="D393" i="4"/>
  <c r="E392" i="4"/>
  <c r="D392" i="4"/>
  <c r="E391" i="4"/>
  <c r="D391" i="4"/>
  <c r="E390" i="4"/>
  <c r="D390" i="4"/>
  <c r="E389" i="4"/>
  <c r="D389" i="4"/>
  <c r="E388" i="4"/>
  <c r="D388" i="4"/>
  <c r="E387" i="4"/>
  <c r="D387" i="4"/>
  <c r="E386" i="4"/>
  <c r="D386" i="4"/>
  <c r="E385" i="4"/>
  <c r="D385" i="4"/>
  <c r="E384" i="4"/>
  <c r="D384" i="4"/>
  <c r="E383" i="4"/>
  <c r="D383" i="4"/>
  <c r="E382" i="4"/>
  <c r="D382" i="4"/>
  <c r="E381" i="4"/>
  <c r="D381" i="4"/>
  <c r="E380" i="4"/>
  <c r="D380" i="4"/>
  <c r="E379" i="4"/>
  <c r="D379" i="4"/>
  <c r="E378" i="4"/>
  <c r="D378" i="4"/>
  <c r="E377" i="4"/>
  <c r="D377" i="4"/>
  <c r="E376" i="4"/>
  <c r="D376" i="4"/>
  <c r="E375" i="4"/>
  <c r="D375" i="4"/>
  <c r="E374" i="4"/>
  <c r="D374" i="4"/>
  <c r="E373" i="4"/>
  <c r="D373" i="4"/>
  <c r="E372" i="4"/>
  <c r="D372" i="4"/>
  <c r="E371" i="4"/>
  <c r="D371" i="4"/>
  <c r="E370" i="4"/>
  <c r="D370" i="4"/>
  <c r="E369" i="4"/>
  <c r="D369" i="4"/>
  <c r="E368" i="4"/>
  <c r="D368" i="4"/>
  <c r="E367" i="4"/>
  <c r="D367" i="4"/>
  <c r="E366" i="4"/>
  <c r="D366" i="4"/>
  <c r="E365" i="4"/>
  <c r="D365" i="4"/>
  <c r="E364" i="4"/>
  <c r="D364" i="4"/>
  <c r="E363" i="4"/>
  <c r="D363" i="4"/>
  <c r="E362" i="4"/>
  <c r="D362" i="4"/>
  <c r="E361" i="4"/>
  <c r="D361" i="4"/>
  <c r="E360" i="4"/>
  <c r="D360" i="4"/>
  <c r="E359" i="4"/>
  <c r="D359" i="4"/>
  <c r="E358" i="4"/>
  <c r="D358" i="4"/>
  <c r="E357" i="4"/>
  <c r="D357" i="4"/>
  <c r="E356" i="4"/>
  <c r="D356" i="4"/>
  <c r="E355" i="4"/>
  <c r="D355" i="4"/>
  <c r="E354" i="4"/>
  <c r="D354" i="4"/>
  <c r="E353" i="4"/>
  <c r="D353" i="4"/>
  <c r="E352" i="4"/>
  <c r="D352" i="4"/>
  <c r="E351" i="4"/>
  <c r="D351" i="4"/>
  <c r="E350" i="4"/>
  <c r="D350" i="4"/>
  <c r="E349" i="4"/>
  <c r="D349" i="4"/>
  <c r="E348" i="4"/>
  <c r="D348" i="4"/>
  <c r="E347" i="4"/>
  <c r="D347" i="4"/>
  <c r="E346" i="4"/>
  <c r="D346" i="4"/>
  <c r="E345" i="4"/>
  <c r="D345" i="4"/>
  <c r="E344" i="4"/>
  <c r="D344" i="4"/>
  <c r="E343" i="4"/>
  <c r="D343" i="4"/>
  <c r="E342" i="4"/>
  <c r="D342" i="4"/>
  <c r="E341" i="4"/>
  <c r="D341" i="4"/>
  <c r="E340" i="4"/>
  <c r="D340" i="4"/>
  <c r="E339" i="4"/>
  <c r="D339" i="4"/>
  <c r="E338" i="4"/>
  <c r="D338" i="4"/>
  <c r="E337" i="4"/>
  <c r="D337" i="4"/>
  <c r="E336" i="4"/>
  <c r="D336" i="4"/>
  <c r="E335" i="4"/>
  <c r="D335" i="4"/>
  <c r="E334" i="4"/>
  <c r="D334" i="4"/>
  <c r="E333" i="4"/>
  <c r="D333" i="4"/>
  <c r="E332" i="4"/>
  <c r="D332" i="4"/>
  <c r="E331" i="4"/>
  <c r="D331" i="4"/>
  <c r="E330" i="4"/>
  <c r="D330" i="4"/>
  <c r="E329" i="4"/>
  <c r="D329" i="4"/>
  <c r="E328" i="4"/>
  <c r="D328" i="4"/>
  <c r="E327" i="4"/>
  <c r="D327" i="4"/>
  <c r="E326" i="4"/>
  <c r="D326" i="4"/>
  <c r="E325" i="4"/>
  <c r="D325" i="4"/>
  <c r="E324" i="4"/>
  <c r="D324" i="4"/>
  <c r="E323" i="4"/>
  <c r="D323" i="4"/>
  <c r="E322" i="4"/>
  <c r="D322" i="4"/>
  <c r="E321" i="4"/>
  <c r="D321" i="4"/>
  <c r="E320" i="4"/>
  <c r="D320" i="4"/>
  <c r="E319" i="4"/>
  <c r="D319" i="4"/>
  <c r="E318" i="4"/>
  <c r="D318" i="4"/>
  <c r="E317" i="4"/>
  <c r="D317" i="4"/>
  <c r="E316" i="4"/>
  <c r="D316" i="4"/>
  <c r="E315" i="4"/>
  <c r="D315" i="4"/>
  <c r="E314" i="4"/>
  <c r="D314" i="4"/>
  <c r="E313" i="4"/>
  <c r="D313" i="4"/>
  <c r="E312" i="4"/>
  <c r="D312" i="4"/>
  <c r="E311" i="4"/>
  <c r="D311" i="4"/>
  <c r="E310" i="4"/>
  <c r="D310" i="4"/>
  <c r="E309" i="4"/>
  <c r="D309" i="4"/>
  <c r="E308" i="4"/>
  <c r="D308" i="4"/>
  <c r="E307" i="4"/>
  <c r="D307" i="4"/>
  <c r="E306" i="4"/>
  <c r="D306" i="4"/>
  <c r="E305" i="4"/>
  <c r="D305" i="4"/>
  <c r="E304" i="4"/>
  <c r="D304" i="4"/>
  <c r="E303" i="4"/>
  <c r="D303" i="4"/>
  <c r="E302" i="4"/>
  <c r="D302" i="4"/>
  <c r="E301" i="4"/>
  <c r="D301" i="4"/>
  <c r="E300" i="4"/>
  <c r="D300" i="4"/>
  <c r="E299" i="4"/>
  <c r="D299" i="4"/>
  <c r="E298" i="4"/>
  <c r="D298" i="4"/>
  <c r="E297" i="4"/>
  <c r="D297" i="4"/>
  <c r="E296" i="4"/>
  <c r="D296" i="4"/>
  <c r="E295" i="4"/>
  <c r="D295" i="4"/>
  <c r="E294" i="4"/>
  <c r="D294" i="4"/>
  <c r="E293" i="4"/>
  <c r="D293" i="4"/>
  <c r="E292" i="4"/>
  <c r="D292" i="4"/>
  <c r="E291" i="4"/>
  <c r="D291" i="4"/>
  <c r="E290" i="4"/>
  <c r="D290" i="4"/>
  <c r="E289" i="4"/>
  <c r="D289" i="4"/>
  <c r="E288" i="4"/>
  <c r="D288" i="4"/>
  <c r="E287" i="4"/>
  <c r="D287" i="4"/>
  <c r="E286" i="4"/>
  <c r="D286" i="4"/>
  <c r="E285" i="4"/>
  <c r="D285" i="4"/>
  <c r="E284" i="4"/>
  <c r="D284" i="4"/>
  <c r="E283" i="4"/>
  <c r="D283" i="4"/>
  <c r="E282" i="4"/>
  <c r="D282" i="4"/>
  <c r="E281" i="4"/>
  <c r="D281" i="4"/>
  <c r="E280" i="4"/>
  <c r="D280" i="4"/>
  <c r="E279" i="4"/>
  <c r="D279" i="4"/>
  <c r="E278" i="4"/>
  <c r="D278" i="4"/>
  <c r="E277" i="4"/>
  <c r="D277" i="4"/>
  <c r="E276" i="4"/>
  <c r="D276" i="4"/>
  <c r="E275" i="4"/>
  <c r="D275" i="4"/>
  <c r="E274" i="4"/>
  <c r="D274" i="4"/>
  <c r="E273" i="4"/>
  <c r="D273" i="4"/>
  <c r="E272" i="4"/>
  <c r="D272" i="4"/>
  <c r="E271" i="4"/>
  <c r="D271" i="4"/>
  <c r="E270" i="4"/>
  <c r="D270" i="4"/>
  <c r="E269" i="4"/>
  <c r="D269" i="4"/>
  <c r="E268" i="4"/>
  <c r="D268" i="4"/>
  <c r="E267" i="4"/>
  <c r="D267" i="4"/>
  <c r="E266" i="4"/>
  <c r="D266" i="4"/>
  <c r="E265" i="4"/>
  <c r="D265" i="4"/>
  <c r="E264" i="4"/>
  <c r="D264" i="4"/>
  <c r="E263" i="4"/>
  <c r="D263" i="4"/>
  <c r="E262" i="4"/>
  <c r="D262" i="4"/>
  <c r="E261" i="4"/>
  <c r="D261" i="4"/>
  <c r="E260" i="4"/>
  <c r="D260" i="4"/>
  <c r="E259" i="4"/>
  <c r="D259" i="4"/>
  <c r="E258" i="4"/>
  <c r="D258" i="4"/>
  <c r="E257" i="4"/>
  <c r="D257" i="4"/>
  <c r="E256" i="4"/>
  <c r="D256" i="4"/>
  <c r="E255" i="4"/>
  <c r="D255" i="4"/>
  <c r="E254" i="4"/>
  <c r="D254" i="4"/>
  <c r="E253" i="4"/>
  <c r="D253" i="4"/>
  <c r="E252" i="4"/>
  <c r="D252" i="4"/>
  <c r="E251" i="4"/>
  <c r="D251" i="4"/>
  <c r="E250" i="4"/>
  <c r="D250" i="4"/>
  <c r="E249" i="4"/>
  <c r="D249" i="4"/>
  <c r="E248" i="4"/>
  <c r="D248" i="4"/>
  <c r="E247" i="4"/>
  <c r="D247" i="4"/>
  <c r="E246" i="4"/>
  <c r="D246" i="4"/>
  <c r="E245" i="4"/>
  <c r="D245" i="4"/>
  <c r="E244" i="4"/>
  <c r="D244" i="4"/>
  <c r="E243" i="4"/>
  <c r="D243" i="4"/>
  <c r="E242" i="4"/>
  <c r="D242" i="4"/>
  <c r="E241" i="4"/>
  <c r="D241" i="4"/>
  <c r="E240" i="4"/>
  <c r="D240" i="4"/>
  <c r="E239" i="4"/>
  <c r="D239" i="4"/>
  <c r="E238" i="4"/>
  <c r="D238" i="4"/>
  <c r="E237" i="4"/>
  <c r="D237" i="4"/>
  <c r="E236" i="4"/>
  <c r="D236" i="4"/>
  <c r="E235" i="4"/>
  <c r="D235" i="4"/>
  <c r="E234" i="4"/>
  <c r="D234" i="4"/>
  <c r="E233" i="4"/>
  <c r="D233" i="4"/>
  <c r="E232" i="4"/>
  <c r="D232" i="4"/>
  <c r="E231" i="4"/>
  <c r="D231" i="4"/>
  <c r="E230" i="4"/>
  <c r="D230" i="4"/>
  <c r="E229" i="4"/>
  <c r="D229" i="4"/>
  <c r="E228" i="4"/>
  <c r="D228" i="4"/>
  <c r="E227" i="4"/>
  <c r="D227" i="4"/>
  <c r="E226" i="4"/>
  <c r="D226" i="4"/>
  <c r="E225" i="4"/>
  <c r="D225" i="4"/>
  <c r="E224" i="4"/>
  <c r="D224" i="4"/>
  <c r="E223" i="4"/>
  <c r="D223" i="4"/>
  <c r="E222" i="4"/>
  <c r="D222" i="4"/>
  <c r="E221" i="4"/>
  <c r="D221" i="4"/>
  <c r="E220" i="4"/>
  <c r="D220" i="4"/>
  <c r="E219" i="4"/>
  <c r="D219" i="4"/>
  <c r="E218" i="4"/>
  <c r="D218" i="4"/>
  <c r="E217" i="4"/>
  <c r="D217" i="4"/>
  <c r="E216" i="4"/>
  <c r="D216" i="4"/>
  <c r="E215" i="4"/>
  <c r="D215" i="4"/>
  <c r="E214" i="4"/>
  <c r="D214" i="4"/>
  <c r="E213" i="4"/>
  <c r="D213" i="4"/>
  <c r="E212" i="4"/>
  <c r="D212" i="4"/>
  <c r="E211" i="4"/>
  <c r="D211" i="4"/>
  <c r="E210" i="4"/>
  <c r="D210" i="4"/>
  <c r="E209" i="4"/>
  <c r="D209" i="4"/>
  <c r="E208" i="4"/>
  <c r="D208" i="4"/>
  <c r="E207" i="4"/>
  <c r="D207" i="4"/>
  <c r="E206" i="4"/>
  <c r="D206" i="4"/>
  <c r="E205" i="4"/>
  <c r="D205" i="4"/>
  <c r="E204" i="4"/>
  <c r="D204" i="4"/>
  <c r="E203" i="4"/>
  <c r="D203" i="4"/>
  <c r="E202" i="4"/>
  <c r="D202" i="4"/>
  <c r="E201" i="4"/>
  <c r="D201" i="4"/>
  <c r="E200" i="4"/>
  <c r="D200" i="4"/>
  <c r="E199" i="4"/>
  <c r="D199" i="4"/>
  <c r="E198" i="4"/>
  <c r="D198" i="4"/>
  <c r="E197" i="4"/>
  <c r="D197" i="4"/>
  <c r="E196" i="4"/>
  <c r="D196" i="4"/>
  <c r="E195" i="4"/>
  <c r="D195" i="4"/>
  <c r="E194" i="4"/>
  <c r="D194" i="4"/>
  <c r="E193" i="4"/>
  <c r="D193" i="4"/>
  <c r="E192" i="4"/>
  <c r="D192" i="4"/>
  <c r="E191" i="4"/>
  <c r="D191" i="4"/>
  <c r="E190" i="4"/>
  <c r="D190" i="4"/>
  <c r="E189" i="4"/>
  <c r="D189" i="4"/>
  <c r="E188" i="4"/>
  <c r="D188" i="4"/>
  <c r="E187" i="4"/>
  <c r="D187" i="4"/>
  <c r="E186" i="4"/>
  <c r="D186" i="4"/>
  <c r="E185" i="4"/>
  <c r="D185" i="4"/>
  <c r="E184" i="4"/>
  <c r="D184" i="4"/>
  <c r="E183" i="4"/>
  <c r="D183" i="4"/>
  <c r="E182" i="4"/>
  <c r="D182" i="4"/>
  <c r="E181" i="4"/>
  <c r="D181" i="4"/>
  <c r="E180" i="4"/>
  <c r="D180" i="4"/>
  <c r="E179" i="4"/>
  <c r="D179" i="4"/>
  <c r="E178" i="4"/>
  <c r="D178" i="4"/>
  <c r="E177" i="4"/>
  <c r="D177" i="4"/>
  <c r="E176" i="4"/>
  <c r="D176" i="4"/>
  <c r="E175" i="4"/>
  <c r="D175" i="4"/>
  <c r="E174" i="4"/>
  <c r="D174" i="4"/>
  <c r="E173" i="4"/>
  <c r="D173" i="4"/>
  <c r="E172" i="4"/>
  <c r="D172" i="4"/>
  <c r="E171" i="4"/>
  <c r="D171" i="4"/>
  <c r="E170" i="4"/>
  <c r="D170" i="4"/>
  <c r="E169" i="4"/>
  <c r="D169" i="4"/>
  <c r="E168" i="4"/>
  <c r="D168" i="4"/>
  <c r="E167" i="4"/>
  <c r="D167" i="4"/>
  <c r="E166" i="4"/>
  <c r="D166" i="4"/>
  <c r="E165" i="4"/>
  <c r="D165" i="4"/>
  <c r="E164" i="4"/>
  <c r="D164" i="4"/>
  <c r="E163" i="4"/>
  <c r="D163" i="4"/>
  <c r="E162" i="4"/>
  <c r="D162" i="4"/>
  <c r="E161" i="4"/>
  <c r="D161" i="4"/>
  <c r="E160" i="4"/>
  <c r="D160" i="4"/>
  <c r="E159" i="4"/>
  <c r="D159" i="4"/>
  <c r="E158" i="4"/>
  <c r="D158" i="4"/>
  <c r="E157" i="4"/>
  <c r="D157" i="4"/>
  <c r="E156" i="4"/>
  <c r="D156" i="4"/>
  <c r="E155" i="4"/>
  <c r="D155" i="4"/>
  <c r="E154" i="4"/>
  <c r="D154" i="4"/>
  <c r="E153" i="4"/>
  <c r="D153" i="4"/>
  <c r="E152" i="4"/>
  <c r="D152" i="4"/>
  <c r="E151" i="4"/>
  <c r="D151" i="4"/>
  <c r="E150" i="4"/>
  <c r="D150" i="4"/>
  <c r="E149" i="4"/>
  <c r="D149" i="4"/>
  <c r="E148" i="4"/>
  <c r="D148" i="4"/>
  <c r="E147" i="4"/>
  <c r="D147" i="4"/>
  <c r="E146" i="4"/>
  <c r="D146" i="4"/>
  <c r="E145" i="4"/>
  <c r="D145" i="4"/>
  <c r="E144" i="4"/>
  <c r="D144" i="4"/>
  <c r="E143" i="4"/>
  <c r="D143" i="4"/>
  <c r="E142" i="4"/>
  <c r="D142" i="4"/>
  <c r="E141" i="4"/>
  <c r="D141" i="4"/>
  <c r="E140" i="4"/>
  <c r="D140" i="4"/>
  <c r="E139" i="4"/>
  <c r="D139" i="4"/>
  <c r="E138" i="4"/>
  <c r="D138" i="4"/>
  <c r="E137" i="4"/>
  <c r="D137" i="4"/>
  <c r="E136" i="4"/>
  <c r="D136" i="4"/>
  <c r="E135" i="4"/>
  <c r="D135" i="4"/>
  <c r="E134" i="4"/>
  <c r="D134" i="4"/>
  <c r="E133" i="4"/>
  <c r="D133" i="4"/>
  <c r="E132" i="4"/>
  <c r="D132" i="4"/>
  <c r="E131" i="4"/>
  <c r="D131" i="4"/>
  <c r="E130" i="4"/>
  <c r="D130" i="4"/>
  <c r="E129" i="4"/>
  <c r="D129" i="4"/>
  <c r="E128" i="4"/>
  <c r="D128" i="4"/>
  <c r="E127" i="4"/>
  <c r="D127" i="4"/>
  <c r="E126" i="4"/>
  <c r="D126" i="4"/>
  <c r="E125" i="4"/>
  <c r="D125" i="4"/>
  <c r="E124" i="4"/>
  <c r="D124" i="4"/>
  <c r="E123" i="4"/>
  <c r="D123" i="4"/>
  <c r="E122" i="4"/>
  <c r="D122" i="4"/>
  <c r="E121" i="4"/>
  <c r="D121" i="4"/>
  <c r="E120" i="4"/>
  <c r="D120" i="4"/>
  <c r="E119" i="4"/>
  <c r="D119" i="4"/>
  <c r="E118" i="4"/>
  <c r="D118" i="4"/>
  <c r="E117" i="4"/>
  <c r="D117" i="4"/>
  <c r="E116" i="4"/>
  <c r="D116" i="4"/>
  <c r="E115" i="4"/>
  <c r="D115" i="4"/>
  <c r="E114" i="4"/>
  <c r="D114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E106" i="4"/>
  <c r="D106" i="4"/>
  <c r="E105" i="4"/>
  <c r="D105" i="4"/>
  <c r="E104" i="4"/>
  <c r="D104" i="4"/>
  <c r="E103" i="4"/>
  <c r="D103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E95" i="4"/>
  <c r="D95" i="4"/>
  <c r="E94" i="4"/>
  <c r="D94" i="4"/>
  <c r="E93" i="4"/>
  <c r="D93" i="4"/>
  <c r="E92" i="4"/>
  <c r="D92" i="4"/>
  <c r="E91" i="4"/>
  <c r="D91" i="4"/>
  <c r="E90" i="4"/>
  <c r="D90" i="4"/>
  <c r="E89" i="4"/>
  <c r="D89" i="4"/>
  <c r="E88" i="4"/>
  <c r="D88" i="4"/>
  <c r="E87" i="4"/>
  <c r="D87" i="4"/>
  <c r="E86" i="4"/>
  <c r="D86" i="4"/>
  <c r="E85" i="4"/>
  <c r="D85" i="4"/>
  <c r="E84" i="4"/>
  <c r="D84" i="4"/>
  <c r="E83" i="4"/>
  <c r="D83" i="4"/>
  <c r="E82" i="4"/>
  <c r="D82" i="4"/>
  <c r="E81" i="4"/>
  <c r="D81" i="4"/>
  <c r="E80" i="4"/>
  <c r="D80" i="4"/>
  <c r="E79" i="4"/>
  <c r="D79" i="4"/>
  <c r="E78" i="4"/>
  <c r="D78" i="4"/>
  <c r="E77" i="4"/>
  <c r="D77" i="4"/>
  <c r="E76" i="4"/>
  <c r="D76" i="4"/>
  <c r="E75" i="4"/>
  <c r="D75" i="4"/>
  <c r="E74" i="4"/>
  <c r="D74" i="4"/>
  <c r="E73" i="4"/>
  <c r="D73" i="4"/>
  <c r="E72" i="4"/>
  <c r="D72" i="4"/>
  <c r="E71" i="4"/>
  <c r="D71" i="4"/>
  <c r="E70" i="4"/>
  <c r="D70" i="4"/>
  <c r="E69" i="4"/>
  <c r="D69" i="4"/>
  <c r="E68" i="4"/>
  <c r="D68" i="4"/>
  <c r="E67" i="4"/>
  <c r="D67" i="4"/>
  <c r="E66" i="4"/>
  <c r="D66" i="4"/>
  <c r="E65" i="4"/>
  <c r="D65" i="4"/>
  <c r="E64" i="4"/>
  <c r="D64" i="4"/>
  <c r="E63" i="4"/>
  <c r="D63" i="4"/>
  <c r="E62" i="4"/>
  <c r="D62" i="4"/>
  <c r="E61" i="4"/>
  <c r="D61" i="4"/>
  <c r="E60" i="4"/>
  <c r="D60" i="4"/>
  <c r="E59" i="4"/>
  <c r="D59" i="4"/>
  <c r="E58" i="4"/>
  <c r="D58" i="4"/>
  <c r="E57" i="4"/>
  <c r="D57" i="4"/>
  <c r="E56" i="4"/>
  <c r="D56" i="4"/>
  <c r="E55" i="4"/>
  <c r="D55" i="4"/>
  <c r="E54" i="4"/>
  <c r="D54" i="4"/>
  <c r="E53" i="4"/>
  <c r="D53" i="4"/>
  <c r="E52" i="4"/>
  <c r="D52" i="4"/>
  <c r="E51" i="4"/>
  <c r="D51" i="4"/>
  <c r="E50" i="4"/>
  <c r="D50" i="4"/>
  <c r="E49" i="4"/>
  <c r="D49" i="4"/>
  <c r="E48" i="4"/>
  <c r="D48" i="4"/>
  <c r="E47" i="4"/>
  <c r="D47" i="4"/>
  <c r="E46" i="4"/>
  <c r="D46" i="4"/>
  <c r="E45" i="4"/>
  <c r="D45" i="4"/>
  <c r="E44" i="4"/>
  <c r="D44" i="4"/>
  <c r="E43" i="4"/>
  <c r="D43" i="4"/>
  <c r="E42" i="4"/>
  <c r="D42" i="4"/>
  <c r="E41" i="4"/>
  <c r="D41" i="4"/>
  <c r="E40" i="4"/>
  <c r="D40" i="4"/>
  <c r="E39" i="4"/>
  <c r="D39" i="4"/>
  <c r="E38" i="4"/>
  <c r="D38" i="4"/>
  <c r="E37" i="4"/>
  <c r="D37" i="4"/>
  <c r="E36" i="4"/>
  <c r="D36" i="4"/>
  <c r="E35" i="4"/>
  <c r="D35" i="4"/>
  <c r="E34" i="4"/>
  <c r="D34" i="4"/>
  <c r="E33" i="4"/>
  <c r="D33" i="4"/>
  <c r="E32" i="4"/>
  <c r="D32" i="4"/>
  <c r="E31" i="4"/>
  <c r="D31" i="4"/>
  <c r="E30" i="4"/>
  <c r="D30" i="4"/>
  <c r="E29" i="4"/>
  <c r="D29" i="4"/>
  <c r="E28" i="4"/>
  <c r="D28" i="4"/>
  <c r="E27" i="4"/>
  <c r="D27" i="4"/>
  <c r="E26" i="4"/>
  <c r="D26" i="4"/>
  <c r="E25" i="4"/>
  <c r="D25" i="4"/>
  <c r="E24" i="4"/>
  <c r="D24" i="4"/>
  <c r="E23" i="4"/>
  <c r="D23" i="4"/>
  <c r="E22" i="4"/>
  <c r="D22" i="4"/>
  <c r="E21" i="4"/>
  <c r="D21" i="4"/>
  <c r="E20" i="4"/>
  <c r="D20" i="4"/>
  <c r="E19" i="4"/>
  <c r="D19" i="4"/>
  <c r="E18" i="4"/>
  <c r="D18" i="4"/>
  <c r="E17" i="4"/>
  <c r="D17" i="4"/>
  <c r="E16" i="4"/>
  <c r="D16" i="4"/>
  <c r="E15" i="4"/>
  <c r="D15" i="4"/>
  <c r="E14" i="4"/>
  <c r="D14" i="4"/>
  <c r="E13" i="4"/>
  <c r="D13" i="4"/>
  <c r="E12" i="4"/>
  <c r="D12" i="4"/>
  <c r="E11" i="4"/>
  <c r="D11" i="4"/>
  <c r="E10" i="4"/>
  <c r="D10" i="4"/>
  <c r="E9" i="4"/>
  <c r="D9" i="4"/>
  <c r="E8" i="4"/>
  <c r="D8" i="4"/>
  <c r="E7" i="4"/>
  <c r="D7" i="4"/>
  <c r="E6" i="4"/>
  <c r="D6" i="4"/>
  <c r="E5" i="4"/>
  <c r="D5" i="4"/>
  <c r="E4" i="4"/>
  <c r="D4" i="4"/>
  <c r="E3" i="4"/>
  <c r="D3" i="4"/>
  <c r="E2" i="4"/>
  <c r="D2" i="4"/>
  <c r="F1" i="6"/>
  <c r="F1" i="9"/>
  <c r="G1" i="9" s="1"/>
  <c r="H1" i="9" s="1"/>
  <c r="I1" i="9" s="1"/>
  <c r="J1" i="9" s="1"/>
  <c r="K1" i="9" s="1"/>
  <c r="L1" i="9" s="1"/>
  <c r="M1" i="9" s="1"/>
  <c r="N1" i="9" s="1"/>
  <c r="O1" i="9" s="1"/>
  <c r="P1" i="9" s="1"/>
  <c r="Q1" i="9" s="1"/>
  <c r="R1" i="9" s="1"/>
  <c r="S1" i="9" s="1"/>
  <c r="T1" i="9" s="1"/>
  <c r="U1" i="9" s="1"/>
  <c r="V1" i="9" s="1"/>
  <c r="W1" i="9" s="1"/>
  <c r="X1" i="9" s="1"/>
  <c r="Y1" i="9" s="1"/>
  <c r="Z1" i="9" s="1"/>
  <c r="AA1" i="9" s="1"/>
  <c r="AB1" i="9" s="1"/>
  <c r="AC1" i="9" s="1"/>
  <c r="AD1" i="9" s="1"/>
  <c r="AE1" i="9" s="1"/>
  <c r="AF1" i="9" s="1"/>
  <c r="AG1" i="9" s="1"/>
  <c r="AH1" i="9" s="1"/>
  <c r="AI1" i="9" s="1"/>
  <c r="A39" i="17" l="1"/>
  <c r="B14" i="17"/>
  <c r="B39" i="17" s="1"/>
  <c r="A15" i="17"/>
  <c r="G1" i="6"/>
  <c r="F3" i="6"/>
  <c r="F2" i="6"/>
  <c r="F4" i="6"/>
  <c r="F8" i="6"/>
  <c r="F7" i="6"/>
  <c r="F6" i="6"/>
  <c r="F9" i="6"/>
  <c r="F5" i="6"/>
  <c r="H1" i="6"/>
  <c r="A16" i="17" l="1"/>
  <c r="A40" i="17"/>
  <c r="B15" i="17"/>
  <c r="B40" i="17" s="1"/>
  <c r="F9" i="9"/>
  <c r="F6" i="9"/>
  <c r="F8" i="9"/>
  <c r="F7" i="9"/>
  <c r="F4" i="9"/>
  <c r="F2" i="9"/>
  <c r="F10" i="6"/>
  <c r="F3" i="9"/>
  <c r="H8" i="6"/>
  <c r="H8" i="9" s="1"/>
  <c r="H3" i="6"/>
  <c r="H3" i="9" s="1"/>
  <c r="H2" i="6"/>
  <c r="H5" i="6"/>
  <c r="H5" i="9" s="1"/>
  <c r="H9" i="6"/>
  <c r="H9" i="9" s="1"/>
  <c r="H6" i="6"/>
  <c r="H6" i="9" s="1"/>
  <c r="H7" i="6"/>
  <c r="H7" i="9" s="1"/>
  <c r="H4" i="6"/>
  <c r="H4" i="9" s="1"/>
  <c r="F5" i="9"/>
  <c r="G7" i="6"/>
  <c r="G7" i="9" s="1"/>
  <c r="G4" i="6"/>
  <c r="G4" i="9" s="1"/>
  <c r="G2" i="6"/>
  <c r="G5" i="6"/>
  <c r="G5" i="9" s="1"/>
  <c r="G8" i="6"/>
  <c r="G8" i="9" s="1"/>
  <c r="G3" i="6"/>
  <c r="G3" i="9" s="1"/>
  <c r="G9" i="6"/>
  <c r="G9" i="9" s="1"/>
  <c r="G6" i="6"/>
  <c r="G6" i="9" s="1"/>
  <c r="I1" i="6"/>
  <c r="A41" i="17" l="1"/>
  <c r="B16" i="17"/>
  <c r="B41" i="17" s="1"/>
  <c r="A17" i="17"/>
  <c r="I6" i="6"/>
  <c r="I6" i="9" s="1"/>
  <c r="I4" i="6"/>
  <c r="I4" i="9" s="1"/>
  <c r="I2" i="6"/>
  <c r="I8" i="6"/>
  <c r="I7" i="6"/>
  <c r="I7" i="9" s="1"/>
  <c r="I5" i="6"/>
  <c r="I5" i="9" s="1"/>
  <c r="I9" i="6"/>
  <c r="I9" i="9" s="1"/>
  <c r="I3" i="6"/>
  <c r="I3" i="9" s="1"/>
  <c r="F10" i="9"/>
  <c r="G2" i="9"/>
  <c r="G10" i="9" s="1"/>
  <c r="G10" i="6"/>
  <c r="H2" i="9"/>
  <c r="H10" i="9" s="1"/>
  <c r="H10" i="6"/>
  <c r="J1" i="6"/>
  <c r="A18" i="17" l="1"/>
  <c r="A42" i="17"/>
  <c r="B17" i="17"/>
  <c r="B42" i="17" s="1"/>
  <c r="I8" i="9"/>
  <c r="J7" i="6"/>
  <c r="J7" i="9" s="1"/>
  <c r="J3" i="6"/>
  <c r="J5" i="6"/>
  <c r="J5" i="9" s="1"/>
  <c r="J4" i="6"/>
  <c r="J4" i="9" s="1"/>
  <c r="J2" i="6"/>
  <c r="J9" i="6"/>
  <c r="J6" i="6"/>
  <c r="J6" i="9" s="1"/>
  <c r="J8" i="6"/>
  <c r="I2" i="9"/>
  <c r="I10" i="6"/>
  <c r="K1" i="6"/>
  <c r="A43" i="17" l="1"/>
  <c r="B18" i="17"/>
  <c r="B43" i="17" s="1"/>
  <c r="A19" i="17"/>
  <c r="I10" i="9"/>
  <c r="K4" i="6"/>
  <c r="K6" i="6"/>
  <c r="K5" i="6"/>
  <c r="K5" i="9" s="1"/>
  <c r="K3" i="6"/>
  <c r="K3" i="9" s="1"/>
  <c r="K2" i="6"/>
  <c r="K7" i="6"/>
  <c r="K7" i="9" s="1"/>
  <c r="K8" i="6"/>
  <c r="K8" i="9" s="1"/>
  <c r="K9" i="6"/>
  <c r="K9" i="9" s="1"/>
  <c r="J8" i="9"/>
  <c r="J3" i="9"/>
  <c r="J9" i="9"/>
  <c r="J2" i="9"/>
  <c r="J10" i="6"/>
  <c r="L1" i="6"/>
  <c r="A20" i="17" l="1"/>
  <c r="A44" i="17"/>
  <c r="B19" i="17"/>
  <c r="B44" i="17" s="1"/>
  <c r="K6" i="9"/>
  <c r="K4" i="9"/>
  <c r="L4" i="6"/>
  <c r="L4" i="9" s="1"/>
  <c r="L6" i="6"/>
  <c r="L3" i="6"/>
  <c r="L7" i="6"/>
  <c r="L7" i="9" s="1"/>
  <c r="L9" i="6"/>
  <c r="L2" i="6"/>
  <c r="L5" i="6"/>
  <c r="L5" i="9" s="1"/>
  <c r="L8" i="6"/>
  <c r="J10" i="9"/>
  <c r="K2" i="9"/>
  <c r="K10" i="6"/>
  <c r="M1" i="6"/>
  <c r="A45" i="17" l="1"/>
  <c r="B20" i="17"/>
  <c r="B45" i="17" s="1"/>
  <c r="A21" i="17"/>
  <c r="L9" i="9"/>
  <c r="M4" i="6"/>
  <c r="M3" i="6"/>
  <c r="M2" i="6"/>
  <c r="M9" i="6"/>
  <c r="M9" i="9" s="1"/>
  <c r="M7" i="6"/>
  <c r="M7" i="9" s="1"/>
  <c r="M5" i="6"/>
  <c r="M5" i="9" s="1"/>
  <c r="M8" i="6"/>
  <c r="M8" i="9" s="1"/>
  <c r="M6" i="6"/>
  <c r="M6" i="9" s="1"/>
  <c r="L3" i="9"/>
  <c r="L6" i="9"/>
  <c r="L8" i="9"/>
  <c r="K10" i="9"/>
  <c r="L10" i="6"/>
  <c r="L2" i="9"/>
  <c r="N1" i="6"/>
  <c r="A22" i="17" l="1"/>
  <c r="A46" i="17"/>
  <c r="B21" i="17"/>
  <c r="B46" i="17" s="1"/>
  <c r="L10" i="9"/>
  <c r="M2" i="9"/>
  <c r="M10" i="6"/>
  <c r="M3" i="9"/>
  <c r="M4" i="9"/>
  <c r="N9" i="6"/>
  <c r="N5" i="6"/>
  <c r="N3" i="6"/>
  <c r="N4" i="6"/>
  <c r="N8" i="6"/>
  <c r="N7" i="6"/>
  <c r="N2" i="6"/>
  <c r="N6" i="6"/>
  <c r="O1" i="6"/>
  <c r="A47" i="17" l="1"/>
  <c r="B22" i="17"/>
  <c r="B47" i="17" s="1"/>
  <c r="A23" i="17"/>
  <c r="N4" i="9"/>
  <c r="AK4" i="9" s="1"/>
  <c r="AK4" i="6"/>
  <c r="N8" i="9"/>
  <c r="AK8" i="6"/>
  <c r="N3" i="9"/>
  <c r="AK3" i="6"/>
  <c r="N5" i="9"/>
  <c r="AK5" i="9" s="1"/>
  <c r="AK5" i="6"/>
  <c r="N9" i="9"/>
  <c r="AK9" i="6"/>
  <c r="N6" i="9"/>
  <c r="AK6" i="9" s="1"/>
  <c r="AK6" i="6"/>
  <c r="O7" i="6"/>
  <c r="O5" i="6"/>
  <c r="O8" i="6"/>
  <c r="O3" i="6"/>
  <c r="O6" i="6"/>
  <c r="O9" i="6"/>
  <c r="O4" i="6"/>
  <c r="O2" i="6"/>
  <c r="N2" i="9"/>
  <c r="N10" i="6"/>
  <c r="AK2" i="6"/>
  <c r="N7" i="9"/>
  <c r="AK7" i="9" s="1"/>
  <c r="AK7" i="6"/>
  <c r="M10" i="9"/>
  <c r="P1" i="6"/>
  <c r="A24" i="17" l="1"/>
  <c r="A48" i="17"/>
  <c r="B23" i="17"/>
  <c r="B48" i="17" s="1"/>
  <c r="AK10" i="6"/>
  <c r="O5" i="9"/>
  <c r="O7" i="9"/>
  <c r="AK3" i="9"/>
  <c r="N10" i="9"/>
  <c r="AK2" i="9"/>
  <c r="P2" i="6"/>
  <c r="P8" i="6"/>
  <c r="P8" i="9" s="1"/>
  <c r="P3" i="6"/>
  <c r="P3" i="9" s="1"/>
  <c r="P6" i="6"/>
  <c r="P6" i="9" s="1"/>
  <c r="P9" i="6"/>
  <c r="P9" i="9" s="1"/>
  <c r="P4" i="6"/>
  <c r="P4" i="9" s="1"/>
  <c r="P7" i="6"/>
  <c r="P7" i="9" s="1"/>
  <c r="P5" i="6"/>
  <c r="P5" i="9" s="1"/>
  <c r="O2" i="9"/>
  <c r="O10" i="6"/>
  <c r="O4" i="9"/>
  <c r="O9" i="9"/>
  <c r="AK8" i="9"/>
  <c r="O6" i="9"/>
  <c r="AK9" i="9"/>
  <c r="O8" i="9"/>
  <c r="O3" i="9"/>
  <c r="Q1" i="6"/>
  <c r="A49" i="17" l="1"/>
  <c r="B24" i="17"/>
  <c r="B49" i="17" s="1"/>
  <c r="I9" i="17"/>
  <c r="AK10" i="9"/>
  <c r="Q5" i="6"/>
  <c r="Q5" i="9" s="1"/>
  <c r="Q3" i="6"/>
  <c r="Q3" i="9" s="1"/>
  <c r="Q6" i="6"/>
  <c r="Q6" i="9" s="1"/>
  <c r="Q9" i="6"/>
  <c r="Q4" i="6"/>
  <c r="Q7" i="6"/>
  <c r="Q7" i="9" s="1"/>
  <c r="Q8" i="6"/>
  <c r="Q2" i="6"/>
  <c r="O10" i="9"/>
  <c r="P10" i="6"/>
  <c r="P2" i="9"/>
  <c r="P10" i="9" s="1"/>
  <c r="R1" i="6"/>
  <c r="I10" i="17" l="1"/>
  <c r="J9" i="17"/>
  <c r="J34" i="17" s="1"/>
  <c r="I34" i="17"/>
  <c r="Q8" i="9"/>
  <c r="Q4" i="9"/>
  <c r="Q9" i="9"/>
  <c r="R8" i="6"/>
  <c r="R8" i="9" s="1"/>
  <c r="R6" i="6"/>
  <c r="R6" i="9" s="1"/>
  <c r="R9" i="6"/>
  <c r="R9" i="9" s="1"/>
  <c r="R4" i="6"/>
  <c r="R4" i="9" s="1"/>
  <c r="R7" i="6"/>
  <c r="R7" i="9" s="1"/>
  <c r="R2" i="6"/>
  <c r="R5" i="6"/>
  <c r="R3" i="6"/>
  <c r="R3" i="9" s="1"/>
  <c r="Q2" i="9"/>
  <c r="Q10" i="6"/>
  <c r="S1" i="6"/>
  <c r="Q10" i="9" l="1"/>
  <c r="I35" i="17"/>
  <c r="J10" i="17"/>
  <c r="J35" i="17" s="1"/>
  <c r="I11" i="17"/>
  <c r="R5" i="9"/>
  <c r="R2" i="9"/>
  <c r="R10" i="6"/>
  <c r="S3" i="6"/>
  <c r="S3" i="9" s="1"/>
  <c r="S9" i="6"/>
  <c r="S9" i="9" s="1"/>
  <c r="S4" i="6"/>
  <c r="S4" i="9" s="1"/>
  <c r="S7" i="6"/>
  <c r="S7" i="9" s="1"/>
  <c r="S2" i="6"/>
  <c r="S5" i="6"/>
  <c r="S5" i="9" s="1"/>
  <c r="S8" i="6"/>
  <c r="S8" i="9" s="1"/>
  <c r="S6" i="6"/>
  <c r="S6" i="9" s="1"/>
  <c r="T1" i="6"/>
  <c r="R10" i="9" l="1"/>
  <c r="I12" i="17"/>
  <c r="I36" i="17"/>
  <c r="J11" i="17"/>
  <c r="J36" i="17" s="1"/>
  <c r="S2" i="9"/>
  <c r="S10" i="9" s="1"/>
  <c r="S10" i="6"/>
  <c r="T6" i="6"/>
  <c r="T6" i="9" s="1"/>
  <c r="T4" i="6"/>
  <c r="T4" i="9" s="1"/>
  <c r="T7" i="6"/>
  <c r="T7" i="9" s="1"/>
  <c r="T2" i="6"/>
  <c r="T5" i="6"/>
  <c r="T5" i="9" s="1"/>
  <c r="T8" i="6"/>
  <c r="T3" i="6"/>
  <c r="T3" i="9" s="1"/>
  <c r="T9" i="6"/>
  <c r="T9" i="9" s="1"/>
  <c r="U1" i="6"/>
  <c r="I13" i="17" l="1"/>
  <c r="I37" i="17"/>
  <c r="J12" i="17"/>
  <c r="J37" i="17" s="1"/>
  <c r="T10" i="6"/>
  <c r="T2" i="9"/>
  <c r="U9" i="6"/>
  <c r="U9" i="9" s="1"/>
  <c r="U7" i="6"/>
  <c r="U7" i="9" s="1"/>
  <c r="U2" i="6"/>
  <c r="U5" i="6"/>
  <c r="U5" i="9" s="1"/>
  <c r="U8" i="6"/>
  <c r="U8" i="9" s="1"/>
  <c r="U3" i="6"/>
  <c r="U3" i="9" s="1"/>
  <c r="U6" i="6"/>
  <c r="U6" i="9" s="1"/>
  <c r="U4" i="6"/>
  <c r="U4" i="9" s="1"/>
  <c r="T8" i="9"/>
  <c r="V1" i="6"/>
  <c r="I14" i="17" l="1"/>
  <c r="I38" i="17"/>
  <c r="J13" i="17"/>
  <c r="J38" i="17" s="1"/>
  <c r="U10" i="6"/>
  <c r="U2" i="9"/>
  <c r="U10" i="9" s="1"/>
  <c r="T10" i="9"/>
  <c r="V4" i="6"/>
  <c r="V4" i="9" s="1"/>
  <c r="V2" i="6"/>
  <c r="V5" i="6"/>
  <c r="V5" i="9" s="1"/>
  <c r="V8" i="6"/>
  <c r="V3" i="6"/>
  <c r="V3" i="9" s="1"/>
  <c r="V6" i="6"/>
  <c r="V6" i="9" s="1"/>
  <c r="V9" i="6"/>
  <c r="V9" i="9" s="1"/>
  <c r="V7" i="6"/>
  <c r="V7" i="9" s="1"/>
  <c r="W1" i="6"/>
  <c r="I15" i="17" l="1"/>
  <c r="I39" i="17"/>
  <c r="J14" i="17"/>
  <c r="J39" i="17" s="1"/>
  <c r="V8" i="9"/>
  <c r="V10" i="6"/>
  <c r="V2" i="9"/>
  <c r="W7" i="6"/>
  <c r="W7" i="9" s="1"/>
  <c r="W5" i="6"/>
  <c r="W5" i="9" s="1"/>
  <c r="W8" i="6"/>
  <c r="W8" i="9" s="1"/>
  <c r="W3" i="6"/>
  <c r="W3" i="9" s="1"/>
  <c r="W6" i="6"/>
  <c r="W6" i="9" s="1"/>
  <c r="W9" i="6"/>
  <c r="W9" i="9" s="1"/>
  <c r="W4" i="6"/>
  <c r="W4" i="9" s="1"/>
  <c r="W2" i="6"/>
  <c r="X1" i="6"/>
  <c r="I16" i="17" l="1"/>
  <c r="I40" i="17"/>
  <c r="J15" i="17"/>
  <c r="J40" i="17" s="1"/>
  <c r="V10" i="9"/>
  <c r="X2" i="6"/>
  <c r="X8" i="6"/>
  <c r="X3" i="6"/>
  <c r="X6" i="6"/>
  <c r="X9" i="6"/>
  <c r="X5" i="6"/>
  <c r="X4" i="6"/>
  <c r="X7" i="6"/>
  <c r="W10" i="6"/>
  <c r="W2" i="9"/>
  <c r="W10" i="9" s="1"/>
  <c r="Y1" i="6"/>
  <c r="J16" i="17" l="1"/>
  <c r="J41" i="17" s="1"/>
  <c r="I41" i="17"/>
  <c r="I17" i="17"/>
  <c r="X4" i="9"/>
  <c r="AL4" i="9" s="1"/>
  <c r="AL4" i="6"/>
  <c r="X5" i="9"/>
  <c r="AL5" i="9" s="1"/>
  <c r="AL5" i="6"/>
  <c r="X9" i="9"/>
  <c r="AL9" i="9" s="1"/>
  <c r="AL9" i="6"/>
  <c r="X6" i="9"/>
  <c r="AL6" i="9" s="1"/>
  <c r="AL6" i="6"/>
  <c r="X3" i="9"/>
  <c r="AL3" i="9" s="1"/>
  <c r="AL3" i="6"/>
  <c r="X7" i="9"/>
  <c r="AL7" i="9" s="1"/>
  <c r="AL7" i="6"/>
  <c r="Y5" i="6"/>
  <c r="Y3" i="6"/>
  <c r="Y6" i="6"/>
  <c r="Y9" i="6"/>
  <c r="Y4" i="6"/>
  <c r="Y7" i="6"/>
  <c r="Y2" i="6"/>
  <c r="Y8" i="6"/>
  <c r="X8" i="9"/>
  <c r="AL8" i="9" s="1"/>
  <c r="AL8" i="6"/>
  <c r="X10" i="6"/>
  <c r="X2" i="9"/>
  <c r="AL2" i="6"/>
  <c r="Z1" i="6"/>
  <c r="I18" i="17" l="1"/>
  <c r="I42" i="17"/>
  <c r="J17" i="17"/>
  <c r="J42" i="17" s="1"/>
  <c r="AL10" i="6"/>
  <c r="Y6" i="9"/>
  <c r="Y9" i="9"/>
  <c r="Y3" i="9"/>
  <c r="Y5" i="9"/>
  <c r="X10" i="9"/>
  <c r="AL2" i="9"/>
  <c r="AL10" i="9" s="1"/>
  <c r="Y8" i="9"/>
  <c r="Y10" i="6"/>
  <c r="Y2" i="9"/>
  <c r="Z8" i="6"/>
  <c r="Z8" i="9" s="1"/>
  <c r="Z6" i="6"/>
  <c r="Z6" i="9" s="1"/>
  <c r="Z9" i="6"/>
  <c r="Z9" i="9" s="1"/>
  <c r="Z4" i="6"/>
  <c r="Z4" i="9" s="1"/>
  <c r="Z7" i="6"/>
  <c r="Z7" i="9" s="1"/>
  <c r="Z2" i="6"/>
  <c r="Z5" i="6"/>
  <c r="Z5" i="9" s="1"/>
  <c r="Z3" i="6"/>
  <c r="Z3" i="9" s="1"/>
  <c r="Y7" i="9"/>
  <c r="Y4" i="9"/>
  <c r="AA1" i="6"/>
  <c r="I43" i="17" l="1"/>
  <c r="I19" i="17"/>
  <c r="J18" i="17"/>
  <c r="J43" i="17" s="1"/>
  <c r="Y10" i="9"/>
  <c r="Z10" i="6"/>
  <c r="Z2" i="9"/>
  <c r="Z10" i="9" s="1"/>
  <c r="AA3" i="6"/>
  <c r="AA9" i="6"/>
  <c r="AA9" i="9" s="1"/>
  <c r="AA4" i="6"/>
  <c r="AA4" i="9" s="1"/>
  <c r="AA7" i="6"/>
  <c r="AA2" i="6"/>
  <c r="AA5" i="6"/>
  <c r="AA5" i="9" s="1"/>
  <c r="AA6" i="6"/>
  <c r="AA6" i="9" s="1"/>
  <c r="AA8" i="6"/>
  <c r="AA8" i="9" s="1"/>
  <c r="AB1" i="6"/>
  <c r="I20" i="17" l="1"/>
  <c r="I21" i="17" s="1"/>
  <c r="I44" i="17"/>
  <c r="J19" i="17"/>
  <c r="J44" i="17" s="1"/>
  <c r="AA10" i="6"/>
  <c r="AA2" i="9"/>
  <c r="AA7" i="9"/>
  <c r="AB6" i="6"/>
  <c r="AB6" i="9" s="1"/>
  <c r="AB4" i="6"/>
  <c r="AB4" i="9" s="1"/>
  <c r="AB7" i="6"/>
  <c r="AB7" i="9" s="1"/>
  <c r="AB2" i="6"/>
  <c r="AB5" i="6"/>
  <c r="AB5" i="9" s="1"/>
  <c r="AB8" i="6"/>
  <c r="AB8" i="9" s="1"/>
  <c r="AB9" i="6"/>
  <c r="AB9" i="9" s="1"/>
  <c r="AB3" i="6"/>
  <c r="AB3" i="9" s="1"/>
  <c r="AA3" i="9"/>
  <c r="AC1" i="6"/>
  <c r="J20" i="17" l="1"/>
  <c r="J45" i="17" s="1"/>
  <c r="I45" i="17"/>
  <c r="AA10" i="9"/>
  <c r="AB10" i="6"/>
  <c r="AB2" i="9"/>
  <c r="AB10" i="9" s="1"/>
  <c r="AC9" i="6"/>
  <c r="AC9" i="9" s="1"/>
  <c r="AC7" i="6"/>
  <c r="AC7" i="9" s="1"/>
  <c r="AC2" i="6"/>
  <c r="AC5" i="6"/>
  <c r="AC5" i="9" s="1"/>
  <c r="AC8" i="6"/>
  <c r="AC8" i="9" s="1"/>
  <c r="AC3" i="6"/>
  <c r="AC3" i="9" s="1"/>
  <c r="AC6" i="6"/>
  <c r="AC6" i="9" s="1"/>
  <c r="AC4" i="6"/>
  <c r="AC4" i="9" s="1"/>
  <c r="AD1" i="6"/>
  <c r="I46" i="17" l="1"/>
  <c r="J21" i="17"/>
  <c r="J46" i="17" s="1"/>
  <c r="I22" i="17"/>
  <c r="AD4" i="6"/>
  <c r="AD4" i="9" s="1"/>
  <c r="AD2" i="6"/>
  <c r="AD5" i="6"/>
  <c r="AD5" i="9" s="1"/>
  <c r="AD8" i="6"/>
  <c r="AD8" i="9" s="1"/>
  <c r="AD3" i="6"/>
  <c r="AD3" i="9" s="1"/>
  <c r="AD6" i="6"/>
  <c r="AD6" i="9" s="1"/>
  <c r="AD9" i="6"/>
  <c r="AD9" i="9" s="1"/>
  <c r="AD7" i="6"/>
  <c r="AD7" i="9" s="1"/>
  <c r="AC10" i="6"/>
  <c r="AC2" i="9"/>
  <c r="AC10" i="9" s="1"/>
  <c r="AE1" i="6"/>
  <c r="I47" i="17" l="1"/>
  <c r="J22" i="17"/>
  <c r="J47" i="17" s="1"/>
  <c r="I23" i="17"/>
  <c r="AD10" i="6"/>
  <c r="AD2" i="9"/>
  <c r="AD10" i="9" s="1"/>
  <c r="AE7" i="6"/>
  <c r="AE7" i="9" s="1"/>
  <c r="AE5" i="6"/>
  <c r="AE5" i="9" s="1"/>
  <c r="AE8" i="6"/>
  <c r="AE8" i="9" s="1"/>
  <c r="AE3" i="6"/>
  <c r="AE6" i="6"/>
  <c r="AE6" i="9" s="1"/>
  <c r="AE9" i="6"/>
  <c r="AE9" i="9" s="1"/>
  <c r="AE4" i="6"/>
  <c r="AE4" i="9" s="1"/>
  <c r="AE2" i="6"/>
  <c r="AF1" i="6"/>
  <c r="I48" i="17" l="1"/>
  <c r="J23" i="17"/>
  <c r="J48" i="17" s="1"/>
  <c r="I24" i="17"/>
  <c r="AE3" i="9"/>
  <c r="AE2" i="9"/>
  <c r="AE10" i="6"/>
  <c r="AF2" i="6"/>
  <c r="AF8" i="6"/>
  <c r="AF8" i="9" s="1"/>
  <c r="AF3" i="6"/>
  <c r="AF3" i="9" s="1"/>
  <c r="AF6" i="6"/>
  <c r="AF6" i="9" s="1"/>
  <c r="AF9" i="6"/>
  <c r="AF9" i="9" s="1"/>
  <c r="AF4" i="6"/>
  <c r="AF4" i="9" s="1"/>
  <c r="AF5" i="6"/>
  <c r="AF5" i="9" s="1"/>
  <c r="AF7" i="6"/>
  <c r="AF7" i="9" s="1"/>
  <c r="AG1" i="6"/>
  <c r="I49" i="17" l="1"/>
  <c r="J24" i="17"/>
  <c r="J49" i="17" s="1"/>
  <c r="AE10" i="9"/>
  <c r="AG5" i="6"/>
  <c r="AG5" i="9" s="1"/>
  <c r="AG3" i="6"/>
  <c r="AG3" i="9" s="1"/>
  <c r="AG6" i="6"/>
  <c r="AG6" i="9" s="1"/>
  <c r="AG9" i="6"/>
  <c r="AG9" i="9" s="1"/>
  <c r="AG4" i="6"/>
  <c r="AG4" i="9" s="1"/>
  <c r="AG8" i="6"/>
  <c r="AG8" i="9" s="1"/>
  <c r="AG7" i="6"/>
  <c r="AG7" i="9" s="1"/>
  <c r="AG2" i="6"/>
  <c r="AF10" i="6"/>
  <c r="AF2" i="9"/>
  <c r="AF10" i="9" s="1"/>
  <c r="AH1" i="6"/>
  <c r="AG10" i="6" l="1"/>
  <c r="AG2" i="9"/>
  <c r="AG10" i="9" s="1"/>
  <c r="AH8" i="6"/>
  <c r="AH8" i="9" s="1"/>
  <c r="AH6" i="6"/>
  <c r="AH6" i="9" s="1"/>
  <c r="AH9" i="6"/>
  <c r="AH9" i="9" s="1"/>
  <c r="AH4" i="6"/>
  <c r="AH4" i="9" s="1"/>
  <c r="AH7" i="6"/>
  <c r="AH7" i="9" s="1"/>
  <c r="AH2" i="6"/>
  <c r="AH5" i="6"/>
  <c r="AH5" i="9" s="1"/>
  <c r="AH3" i="6"/>
  <c r="AH3" i="9" s="1"/>
  <c r="AI1" i="6"/>
  <c r="AH2" i="9" l="1"/>
  <c r="AH10" i="9" s="1"/>
  <c r="AH10" i="6"/>
  <c r="AI3" i="6"/>
  <c r="AI9" i="6"/>
  <c r="AI4" i="6"/>
  <c r="AI7" i="6"/>
  <c r="AI2" i="6"/>
  <c r="AI6" i="6"/>
  <c r="AI5" i="6"/>
  <c r="AI8" i="6"/>
  <c r="AI6" i="9" l="1"/>
  <c r="AJ6" i="6"/>
  <c r="AM6" i="6"/>
  <c r="AI10" i="6"/>
  <c r="AI2" i="9"/>
  <c r="AJ2" i="6"/>
  <c r="AM2" i="6"/>
  <c r="AI7" i="9"/>
  <c r="AJ7" i="6"/>
  <c r="AM7" i="6"/>
  <c r="AI4" i="9"/>
  <c r="AJ4" i="6"/>
  <c r="AM4" i="6"/>
  <c r="AI9" i="9"/>
  <c r="AJ9" i="6"/>
  <c r="AM9" i="6"/>
  <c r="AI3" i="9"/>
  <c r="AJ3" i="6"/>
  <c r="AM3" i="6"/>
  <c r="AI8" i="9"/>
  <c r="AJ8" i="6"/>
  <c r="AM8" i="6"/>
  <c r="AI5" i="9"/>
  <c r="AJ5" i="6"/>
  <c r="AM5" i="6"/>
  <c r="AJ5" i="9" l="1"/>
  <c r="AM5" i="9"/>
  <c r="AJ10" i="6"/>
  <c r="AJ7" i="9"/>
  <c r="AM7" i="9"/>
  <c r="AJ9" i="9"/>
  <c r="AM9" i="9"/>
  <c r="AI10" i="9"/>
  <c r="AJ2" i="9"/>
  <c r="AM2" i="9"/>
  <c r="AM10" i="6"/>
  <c r="AJ8" i="9"/>
  <c r="AM8" i="9"/>
  <c r="AJ4" i="9"/>
  <c r="AM4" i="9"/>
  <c r="AJ3" i="9"/>
  <c r="AM3" i="9"/>
  <c r="AJ6" i="9"/>
  <c r="AM6" i="9"/>
  <c r="AM10" i="9" l="1"/>
  <c r="AJ10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RP_人员HR_hi_person2015" type="1" refreshedVersion="2" savePassword="1" background="1" saveData="1">
    <dbPr connection="DRIVER=SQL Server;SERVER=ERPSERVER;UID=sa;PWD=1QAZ2wsx;APP=2007 Microsoft Office system;WSID=SYLCW15032006;DATABASE=UFDATA_002_2015;Network=DBMSSOCN" command="SELECT hr_hi_person.cPsn_Num, hr_hi_person.cPsn_Name, Department.cDepName  FROM UFDATA_002_2015.dbo.Department Department, UFDATA_002_2015.dbo.hr_hi_person hr_hi_person  WHERE hr_hi_person.cDept_num = Department.cDepCode and (cpsn_Num not like '9%' ) ORDER BY hr_hi_person.cPsn_Num"/>
  </connection>
  <connection id="2" xr16:uid="{00000000-0015-0000-FFFF-FFFF01000000}" name="ERP_项目2015" type="1" refreshedVersion="2" savePassword="1" background="1" saveData="1">
    <dbPr connection="DRIVER=SQL Server;SERVER=ERPSERVER;UID=sa;PWD=1QAZ2wsx;APP=2007 Microsoft Office system;WSID=SYLCW15032006;DATABASE=UFDATA_002_2015;Network=DBMSSOCN" command="SELECT fitemss00.I_id, fitemss00.citemcode, fitemss00.citemname, fitemss00.bclose, fitemss00.citemccode, fitemss00.iotherused, fitemss00.客户单位名称, fitemss00.项目序号  FROM UFDATA_002_2015.dbo.fitemss00 fitemss00  WHERE fitemss00.bclose=0 ORDER BY fitemss00.citemcode"/>
  </connection>
</connections>
</file>

<file path=xl/sharedStrings.xml><?xml version="1.0" encoding="utf-8"?>
<sst xmlns="http://schemas.openxmlformats.org/spreadsheetml/2006/main" count="26762" uniqueCount="6649">
  <si>
    <t>单位:</t>
  </si>
  <si>
    <t>部门:</t>
  </si>
  <si>
    <t xml:space="preserve">工作天数:  出勤天数:  迟到次数:0 早退次数:0  缺勤天数:  加班时数:  病假时数:    事假时数:_x000D_
</t>
  </si>
  <si>
    <t xml:space="preserve">日薪工资:   加班工资:   其它津贴:  其他扣款:   实得工资: </t>
  </si>
  <si>
    <t>上午</t>
  </si>
  <si>
    <t>下午</t>
  </si>
  <si>
    <t>加班</t>
  </si>
  <si>
    <t>日期</t>
  </si>
  <si>
    <t>星期</t>
  </si>
  <si>
    <t>上班(IN)</t>
  </si>
  <si>
    <t>下班(OUT)</t>
  </si>
  <si>
    <t>六</t>
  </si>
  <si>
    <t/>
  </si>
  <si>
    <t>一</t>
  </si>
  <si>
    <t>日</t>
  </si>
  <si>
    <t>二</t>
  </si>
  <si>
    <t>三</t>
  </si>
  <si>
    <t>四</t>
  </si>
  <si>
    <t>五</t>
  </si>
  <si>
    <t>员工签字:</t>
  </si>
  <si>
    <t>V5.0</t>
  </si>
  <si>
    <t>起始日（含）</t>
  </si>
  <si>
    <t>截止日（含）</t>
  </si>
  <si>
    <t>期间</t>
  </si>
  <si>
    <t>注意事项：</t>
  </si>
  <si>
    <t>现场考勤，切忌修改；如一定要改，需注意格式，如：姓名的格式是：“姓名：陈明双”，不是“陈明双”，不要把“姓名：”漏掉</t>
  </si>
  <si>
    <t>名字要正确完整，“薛帅帅”，不叫“薛帅”；名字不正确的，部门无法获取，加班数字默认为零，需手工干预。</t>
  </si>
  <si>
    <t>新增考勤定位功能：</t>
  </si>
  <si>
    <r>
      <rPr>
        <sz val="12"/>
        <rFont val="宋体"/>
        <family val="3"/>
        <charset val="134"/>
      </rPr>
      <t>在“人员汇总_正班”表中，要查询某职工某日的考勤记录，可以在选定其所在的单元格后，点击表右边的“查考勤”按钮，或按“Alt+C”组合键，可以直接切换到“考勤清单”表中，该员工的考勤记录。
再按“Alt+C</t>
    </r>
    <r>
      <rPr>
        <sz val="12"/>
        <rFont val="宋体"/>
        <family val="3"/>
        <charset val="134"/>
      </rPr>
      <t>”组合键，返回原“人员汇总</t>
    </r>
    <r>
      <rPr>
        <sz val="12"/>
        <rFont val="宋体"/>
        <family val="3"/>
        <charset val="134"/>
      </rPr>
      <t>_</t>
    </r>
    <r>
      <rPr>
        <sz val="12"/>
        <rFont val="宋体"/>
        <family val="3"/>
        <charset val="134"/>
      </rPr>
      <t>正班”表，其他“人员汇总”表、“人员汇总</t>
    </r>
    <r>
      <rPr>
        <sz val="12"/>
        <rFont val="宋体"/>
        <family val="3"/>
        <charset val="134"/>
      </rPr>
      <t>_</t>
    </r>
    <r>
      <rPr>
        <sz val="12"/>
        <rFont val="宋体"/>
        <family val="3"/>
        <charset val="134"/>
      </rPr>
      <t>加班”一样。</t>
    </r>
  </si>
  <si>
    <t>问题：</t>
  </si>
  <si>
    <t>最后一个10天要不要把前面20天的考勤放到一起？还是单独发最后10天的？</t>
  </si>
  <si>
    <t>回答：</t>
  </si>
  <si>
    <t>可以放在一起</t>
  </si>
  <si>
    <t>步骤：</t>
  </si>
  <si>
    <t>在“考勤清单”的表里，保留1～20日的记录，</t>
  </si>
  <si>
    <t>在“考勤卡”的表里，copy好1～30日的考勤记录，</t>
  </si>
  <si>
    <r>
      <rPr>
        <sz val="12"/>
        <rFont val="宋体"/>
        <family val="3"/>
        <charset val="134"/>
      </rPr>
      <t>在“程序”表里，输入“起始日”：21，“截止日”：3</t>
    </r>
    <r>
      <rPr>
        <sz val="12"/>
        <rFont val="宋体"/>
        <family val="3"/>
        <charset val="134"/>
      </rPr>
      <t>1</t>
    </r>
  </si>
  <si>
    <t>点击“生成清单”按钮</t>
  </si>
  <si>
    <r>
      <rPr>
        <sz val="12"/>
        <rFont val="宋体"/>
        <family val="3"/>
        <charset val="134"/>
      </rPr>
      <t>程序将只把 21～30日的考勤卡内容，誊写到“考勤清单”表里，</t>
    </r>
    <r>
      <rPr>
        <sz val="12"/>
        <rFont val="宋体"/>
        <family val="3"/>
        <charset val="134"/>
      </rPr>
      <t>1～20日的记录仍保留。</t>
    </r>
  </si>
  <si>
    <t>项目编号</t>
  </si>
  <si>
    <r>
      <rPr>
        <sz val="10"/>
        <rFont val="宋体"/>
        <family val="3"/>
        <charset val="134"/>
      </rPr>
      <t>项目名称</t>
    </r>
  </si>
  <si>
    <t>公司
工号</t>
  </si>
  <si>
    <t>考勤机
卡号</t>
  </si>
  <si>
    <t>部门</t>
  </si>
  <si>
    <r>
      <rPr>
        <sz val="10"/>
        <rFont val="宋体"/>
        <family val="3"/>
        <charset val="134"/>
      </rPr>
      <t>姓名</t>
    </r>
  </si>
  <si>
    <r>
      <rPr>
        <sz val="10"/>
        <rFont val="宋体"/>
        <family val="3"/>
        <charset val="134"/>
      </rPr>
      <t>日期</t>
    </r>
  </si>
  <si>
    <r>
      <rPr>
        <sz val="10"/>
        <rFont val="宋体"/>
        <family val="3"/>
        <charset val="134"/>
      </rPr>
      <t>上班</t>
    </r>
  </si>
  <si>
    <r>
      <rPr>
        <sz val="10"/>
        <rFont val="宋体"/>
        <family val="3"/>
        <charset val="134"/>
      </rPr>
      <t>下班</t>
    </r>
  </si>
  <si>
    <r>
      <rPr>
        <sz val="10"/>
        <rFont val="宋体"/>
        <family val="3"/>
        <charset val="134"/>
      </rPr>
      <t>基准
上班
时间</t>
    </r>
  </si>
  <si>
    <r>
      <rPr>
        <sz val="10"/>
        <rFont val="宋体"/>
        <family val="3"/>
        <charset val="134"/>
      </rPr>
      <t>基准
下班
时间</t>
    </r>
  </si>
  <si>
    <t>就餐
时间</t>
  </si>
  <si>
    <r>
      <rPr>
        <sz val="10"/>
        <rFont val="宋体"/>
        <family val="3"/>
        <charset val="134"/>
      </rPr>
      <t>基准
加班
时间</t>
    </r>
  </si>
  <si>
    <t>夜宵
时间</t>
  </si>
  <si>
    <r>
      <rPr>
        <sz val="10"/>
        <rFont val="宋体"/>
        <family val="3"/>
        <charset val="134"/>
      </rPr>
      <t>出勤
工时</t>
    </r>
  </si>
  <si>
    <t>加班
工时</t>
  </si>
  <si>
    <r>
      <rPr>
        <sz val="10"/>
        <rFont val="宋体"/>
        <family val="3"/>
        <charset val="134"/>
      </rPr>
      <t>确认
出勤
工时</t>
    </r>
  </si>
  <si>
    <t>确认
加班
工时</t>
  </si>
  <si>
    <r>
      <rPr>
        <sz val="10"/>
        <rFont val="宋体"/>
        <family val="3"/>
        <charset val="134"/>
      </rPr>
      <t xml:space="preserve">迟到
</t>
    </r>
    <r>
      <rPr>
        <sz val="10"/>
        <rFont val="Times New Roman"/>
        <family val="1"/>
      </rPr>
      <t>(</t>
    </r>
    <r>
      <rPr>
        <sz val="10"/>
        <rFont val="宋体"/>
        <family val="3"/>
        <charset val="134"/>
      </rPr>
      <t>分）</t>
    </r>
  </si>
  <si>
    <r>
      <rPr>
        <sz val="10"/>
        <rFont val="宋体"/>
        <family val="3"/>
        <charset val="134"/>
      </rPr>
      <t>旷工</t>
    </r>
  </si>
  <si>
    <r>
      <rPr>
        <sz val="10"/>
        <rFont val="宋体"/>
        <family val="3"/>
        <charset val="134"/>
      </rPr>
      <t>调休</t>
    </r>
  </si>
  <si>
    <t>加班
小时</t>
  </si>
  <si>
    <t>出勤
天数</t>
  </si>
  <si>
    <t>调休
天数</t>
  </si>
  <si>
    <r>
      <rPr>
        <sz val="10"/>
        <rFont val="宋体"/>
        <family val="3"/>
        <charset val="134"/>
      </rPr>
      <t>备注</t>
    </r>
  </si>
  <si>
    <t>打卡
次数</t>
  </si>
  <si>
    <t>2097</t>
  </si>
  <si>
    <t>0097</t>
  </si>
  <si>
    <t>6S管理部</t>
  </si>
  <si>
    <t>马万腾</t>
  </si>
  <si>
    <t>1982</t>
  </si>
  <si>
    <t>0033</t>
  </si>
  <si>
    <t>工艺设计部</t>
  </si>
  <si>
    <t>李辉淼</t>
  </si>
  <si>
    <t>1152</t>
  </si>
  <si>
    <t>0064</t>
  </si>
  <si>
    <t>机械设计部</t>
  </si>
  <si>
    <t>李志强</t>
  </si>
  <si>
    <t>1942</t>
  </si>
  <si>
    <t>0069</t>
  </si>
  <si>
    <t>上海二部</t>
  </si>
  <si>
    <t>李杰铭</t>
  </si>
  <si>
    <t>1791</t>
  </si>
  <si>
    <t>0007</t>
  </si>
  <si>
    <t>魏辉</t>
  </si>
  <si>
    <t>1117</t>
  </si>
  <si>
    <t>0045</t>
  </si>
  <si>
    <t>装配车间</t>
  </si>
  <si>
    <t>李斌</t>
  </si>
  <si>
    <t>0757</t>
  </si>
  <si>
    <t>0085</t>
  </si>
  <si>
    <t>林小军</t>
  </si>
  <si>
    <t>1997</t>
  </si>
  <si>
    <t>孙文涛</t>
  </si>
  <si>
    <t>1803</t>
  </si>
  <si>
    <t>0031</t>
  </si>
  <si>
    <t>王正怀</t>
  </si>
  <si>
    <t>0380</t>
  </si>
  <si>
    <t>0013</t>
  </si>
  <si>
    <t>张和平</t>
  </si>
  <si>
    <t>1174</t>
  </si>
  <si>
    <t>0002</t>
  </si>
  <si>
    <t>自动化部</t>
  </si>
  <si>
    <t>孙游</t>
  </si>
  <si>
    <t>1996</t>
  </si>
  <si>
    <t>0023</t>
  </si>
  <si>
    <t>于加刚</t>
  </si>
  <si>
    <r>
      <rPr>
        <sz val="10"/>
        <rFont val="宋体"/>
        <family val="3"/>
        <charset val="134"/>
      </rPr>
      <t>项目编号</t>
    </r>
  </si>
  <si>
    <r>
      <rPr>
        <sz val="10"/>
        <rFont val="宋体"/>
        <family val="3"/>
        <charset val="134"/>
      </rPr>
      <t>部门</t>
    </r>
  </si>
  <si>
    <r>
      <rPr>
        <b/>
        <sz val="10"/>
        <rFont val="宋体"/>
        <family val="3"/>
        <charset val="134"/>
      </rPr>
      <t>合计
出勤
工时</t>
    </r>
  </si>
  <si>
    <r>
      <rPr>
        <b/>
        <sz val="10"/>
        <rFont val="宋体"/>
        <family val="3"/>
        <charset val="134"/>
      </rPr>
      <t>加班
工时</t>
    </r>
  </si>
  <si>
    <r>
      <rPr>
        <b/>
        <sz val="10"/>
        <rFont val="宋体"/>
        <family val="3"/>
        <charset val="134"/>
      </rPr>
      <t>迟到</t>
    </r>
  </si>
  <si>
    <r>
      <rPr>
        <b/>
        <sz val="10"/>
        <rFont val="宋体"/>
        <family val="3"/>
        <charset val="134"/>
      </rPr>
      <t>旷工</t>
    </r>
  </si>
  <si>
    <r>
      <rPr>
        <b/>
        <sz val="10"/>
        <rFont val="宋体"/>
        <family val="3"/>
        <charset val="134"/>
      </rPr>
      <t>调休</t>
    </r>
  </si>
  <si>
    <r>
      <rPr>
        <b/>
        <sz val="10"/>
        <rFont val="宋体"/>
        <family val="3"/>
        <charset val="134"/>
      </rPr>
      <t>出勤
天数</t>
    </r>
  </si>
  <si>
    <r>
      <rPr>
        <b/>
        <sz val="10"/>
        <rFont val="宋体"/>
        <family val="3"/>
        <charset val="134"/>
      </rPr>
      <t>调休
天数</t>
    </r>
  </si>
  <si>
    <r>
      <rPr>
        <sz val="10"/>
        <rFont val="宋体"/>
        <family val="3"/>
        <charset val="134"/>
      </rPr>
      <t>汇总日期</t>
    </r>
  </si>
  <si>
    <r>
      <rPr>
        <sz val="10"/>
        <rFont val="宋体"/>
        <family val="3"/>
        <charset val="134"/>
      </rPr>
      <t>加班
工时</t>
    </r>
  </si>
  <si>
    <r>
      <rPr>
        <sz val="10"/>
        <rFont val="宋体"/>
        <family val="3"/>
        <charset val="134"/>
      </rPr>
      <t>迟到</t>
    </r>
  </si>
  <si>
    <r>
      <rPr>
        <sz val="10"/>
        <rFont val="宋体"/>
        <family val="3"/>
        <charset val="134"/>
      </rPr>
      <t>出勤
天数</t>
    </r>
  </si>
  <si>
    <r>
      <rPr>
        <sz val="10"/>
        <rFont val="宋体"/>
        <family val="3"/>
        <charset val="134"/>
      </rPr>
      <t>调休
天数</t>
    </r>
  </si>
  <si>
    <t>合计</t>
  </si>
  <si>
    <t>1-10
小计</t>
  </si>
  <si>
    <t>11～20
小计</t>
  </si>
  <si>
    <t>21～31
小计</t>
  </si>
  <si>
    <t>cPsn_Num</t>
  </si>
  <si>
    <t>cPsn_Name</t>
  </si>
  <si>
    <t>cDepName</t>
  </si>
  <si>
    <t>工号</t>
  </si>
  <si>
    <t>重复</t>
  </si>
  <si>
    <t>0001</t>
  </si>
  <si>
    <t>张会智</t>
  </si>
  <si>
    <t>测量室</t>
  </si>
  <si>
    <t>孙世洋</t>
  </si>
  <si>
    <t>机加车间</t>
  </si>
  <si>
    <t>0003</t>
  </si>
  <si>
    <t>陈明亮</t>
  </si>
  <si>
    <t>0004</t>
  </si>
  <si>
    <t>陈明建</t>
  </si>
  <si>
    <t>0005</t>
  </si>
  <si>
    <t>于伟中</t>
  </si>
  <si>
    <t>铆焊车间</t>
  </si>
  <si>
    <t>0006</t>
  </si>
  <si>
    <t>陈刚</t>
  </si>
  <si>
    <t>杜国强</t>
  </si>
  <si>
    <t>0008</t>
  </si>
  <si>
    <t>杜双红</t>
  </si>
  <si>
    <t>0009</t>
  </si>
  <si>
    <t>杜双圉</t>
  </si>
  <si>
    <t>0010</t>
  </si>
  <si>
    <t>陈明宝</t>
  </si>
  <si>
    <t>0011</t>
  </si>
  <si>
    <t>董格格</t>
  </si>
  <si>
    <t>0012</t>
  </si>
  <si>
    <t>李明</t>
  </si>
  <si>
    <t>陈有富</t>
  </si>
  <si>
    <t>0014</t>
  </si>
  <si>
    <t>陈国峰</t>
  </si>
  <si>
    <t>0015</t>
  </si>
  <si>
    <t>文俊</t>
  </si>
  <si>
    <t>0016</t>
  </si>
  <si>
    <t>张晓旭</t>
  </si>
  <si>
    <t>0017</t>
  </si>
  <si>
    <t>姚佳露</t>
  </si>
  <si>
    <t>0018</t>
  </si>
  <si>
    <t>卢宇</t>
  </si>
  <si>
    <t>0019</t>
  </si>
  <si>
    <t>姜艳泽</t>
  </si>
  <si>
    <t>0020</t>
  </si>
  <si>
    <t>杨伟</t>
  </si>
  <si>
    <t>0021</t>
  </si>
  <si>
    <t>牛晶晶</t>
  </si>
  <si>
    <t>0022</t>
  </si>
  <si>
    <t>于雷</t>
  </si>
  <si>
    <t>冷志尚</t>
  </si>
  <si>
    <t>0024</t>
  </si>
  <si>
    <t>于洋</t>
  </si>
  <si>
    <t>0025</t>
  </si>
  <si>
    <t>黎正昌</t>
  </si>
  <si>
    <t>0026</t>
  </si>
  <si>
    <t>刘国华</t>
  </si>
  <si>
    <t>0027</t>
  </si>
  <si>
    <t>葛久勇</t>
  </si>
  <si>
    <t>0028</t>
  </si>
  <si>
    <t>潘仕发</t>
  </si>
  <si>
    <t>0029</t>
  </si>
  <si>
    <t>杜秦林</t>
  </si>
  <si>
    <t>0030</t>
  </si>
  <si>
    <t>刘琪琛</t>
  </si>
  <si>
    <t>张强</t>
  </si>
  <si>
    <t>0032</t>
  </si>
  <si>
    <t>张晓卫</t>
  </si>
  <si>
    <t>刘立勇</t>
  </si>
  <si>
    <t>0034</t>
  </si>
  <si>
    <t>陈喜峰</t>
  </si>
  <si>
    <t>0035</t>
  </si>
  <si>
    <t>李雄_离职</t>
  </si>
  <si>
    <t>0036</t>
  </si>
  <si>
    <t>王开金</t>
  </si>
  <si>
    <t>0037</t>
  </si>
  <si>
    <t>刘志博</t>
  </si>
  <si>
    <t>0038</t>
  </si>
  <si>
    <t>董虎</t>
  </si>
  <si>
    <t>0039</t>
  </si>
  <si>
    <t>刘照炜</t>
  </si>
  <si>
    <t>0040</t>
  </si>
  <si>
    <t>张自文</t>
  </si>
  <si>
    <t>0041</t>
  </si>
  <si>
    <t>王波</t>
  </si>
  <si>
    <t>0042</t>
  </si>
  <si>
    <t>王亚飞</t>
  </si>
  <si>
    <t>0043</t>
  </si>
  <si>
    <t>陈明双</t>
  </si>
  <si>
    <t>0044</t>
  </si>
  <si>
    <t>魏强</t>
  </si>
  <si>
    <t>梁亮亮</t>
  </si>
  <si>
    <t>0046</t>
  </si>
  <si>
    <t>唐兵强</t>
  </si>
  <si>
    <t>0047</t>
  </si>
  <si>
    <t>张国瑞</t>
  </si>
  <si>
    <t>0048</t>
  </si>
  <si>
    <t>陈明权</t>
  </si>
  <si>
    <t>0049</t>
  </si>
  <si>
    <t>杨小伟</t>
  </si>
  <si>
    <t>0050</t>
  </si>
  <si>
    <t>尤长伟</t>
  </si>
  <si>
    <t>0051</t>
  </si>
  <si>
    <t>宋爱</t>
  </si>
  <si>
    <t>0052</t>
  </si>
  <si>
    <t>张志航</t>
  </si>
  <si>
    <t>0053</t>
  </si>
  <si>
    <t>张文锋</t>
  </si>
  <si>
    <t>0054</t>
  </si>
  <si>
    <t>陈亭利</t>
  </si>
  <si>
    <t>0055</t>
  </si>
  <si>
    <t>常宏茹</t>
  </si>
  <si>
    <t>0056</t>
  </si>
  <si>
    <t>朱学林</t>
  </si>
  <si>
    <t>0057</t>
  </si>
  <si>
    <t>杜韦</t>
  </si>
  <si>
    <t>0058</t>
  </si>
  <si>
    <t>梁坚强</t>
  </si>
  <si>
    <t>0059</t>
  </si>
  <si>
    <t>朱建龙</t>
  </si>
  <si>
    <t>0060</t>
  </si>
  <si>
    <t>戴建元</t>
  </si>
  <si>
    <t>工程安装部</t>
  </si>
  <si>
    <t>0061</t>
  </si>
  <si>
    <t>张有锋</t>
  </si>
  <si>
    <t>0062</t>
  </si>
  <si>
    <t>张家乐</t>
  </si>
  <si>
    <t>0063</t>
  </si>
  <si>
    <t>毕经乾</t>
  </si>
  <si>
    <t>吴先乾</t>
  </si>
  <si>
    <t>0065</t>
  </si>
  <si>
    <t>蔡亚南</t>
  </si>
  <si>
    <t>0066</t>
  </si>
  <si>
    <t>孙帮超</t>
  </si>
  <si>
    <t>0067</t>
  </si>
  <si>
    <t>郭显万</t>
  </si>
  <si>
    <t>0068</t>
  </si>
  <si>
    <t>刘林通</t>
  </si>
  <si>
    <t>游文杰</t>
  </si>
  <si>
    <t>0070</t>
  </si>
  <si>
    <t>邹平</t>
  </si>
  <si>
    <t>0071</t>
  </si>
  <si>
    <t>黄仕芳</t>
  </si>
  <si>
    <t>0072</t>
  </si>
  <si>
    <t>殷中伟</t>
  </si>
  <si>
    <t>生产保障部</t>
  </si>
  <si>
    <t>0073</t>
  </si>
  <si>
    <t>韩卫星</t>
  </si>
  <si>
    <t>0074</t>
  </si>
  <si>
    <t>于长辉</t>
  </si>
  <si>
    <t>0075</t>
  </si>
  <si>
    <t>楼学民</t>
  </si>
  <si>
    <t>0076</t>
  </si>
  <si>
    <t>文刚</t>
  </si>
  <si>
    <t>油漆车间</t>
  </si>
  <si>
    <t>0077</t>
  </si>
  <si>
    <t>张丰丽</t>
  </si>
  <si>
    <t>0078</t>
  </si>
  <si>
    <t>黄仕武</t>
  </si>
  <si>
    <t>0079</t>
  </si>
  <si>
    <t>刘国伦</t>
  </si>
  <si>
    <t>0080</t>
  </si>
  <si>
    <t>张勇</t>
  </si>
  <si>
    <t>0081</t>
  </si>
  <si>
    <t>叶建民</t>
  </si>
  <si>
    <t>0082</t>
  </si>
  <si>
    <t>韩伟峰</t>
  </si>
  <si>
    <t>0083</t>
  </si>
  <si>
    <t>陈红鲁</t>
  </si>
  <si>
    <t>0084</t>
  </si>
  <si>
    <t>张道富</t>
  </si>
  <si>
    <t>刘宗宪</t>
  </si>
  <si>
    <t>0086</t>
  </si>
  <si>
    <t>叶伟伟</t>
  </si>
  <si>
    <t>0087</t>
  </si>
  <si>
    <t>许仙</t>
  </si>
  <si>
    <t>0088</t>
  </si>
  <si>
    <t>何耀彩</t>
  </si>
  <si>
    <t>0089</t>
  </si>
  <si>
    <t>曹玉清</t>
  </si>
  <si>
    <t>0090</t>
  </si>
  <si>
    <t>秦卫珊</t>
  </si>
  <si>
    <t>0091</t>
  </si>
  <si>
    <t>高汉东</t>
  </si>
  <si>
    <t>0092</t>
  </si>
  <si>
    <t>胡支新</t>
  </si>
  <si>
    <t>0093</t>
  </si>
  <si>
    <t>张永远</t>
  </si>
  <si>
    <t>0094</t>
  </si>
  <si>
    <t>黄仕斌</t>
  </si>
  <si>
    <t>0095</t>
  </si>
  <si>
    <t>陶刚路</t>
  </si>
  <si>
    <t>0096</t>
  </si>
  <si>
    <t>孙智文</t>
  </si>
  <si>
    <t>吕波</t>
  </si>
  <si>
    <t>0098</t>
  </si>
  <si>
    <t>李宗泽</t>
  </si>
  <si>
    <t>0099</t>
  </si>
  <si>
    <t>陈功</t>
  </si>
  <si>
    <t>0100</t>
  </si>
  <si>
    <t>柯昌艳</t>
  </si>
  <si>
    <t>0101</t>
  </si>
  <si>
    <t>殷惠娟</t>
  </si>
  <si>
    <t>0102</t>
  </si>
  <si>
    <t>张志亮</t>
  </si>
  <si>
    <t>0103</t>
  </si>
  <si>
    <t>谭群</t>
  </si>
  <si>
    <t>0104</t>
  </si>
  <si>
    <t>曹湧</t>
  </si>
  <si>
    <t>0105</t>
  </si>
  <si>
    <t>何锦景</t>
  </si>
  <si>
    <t>0106</t>
  </si>
  <si>
    <t>张建成</t>
  </si>
  <si>
    <t>0107</t>
  </si>
  <si>
    <t>林逸来</t>
  </si>
  <si>
    <t>0108</t>
  </si>
  <si>
    <t>张奎武</t>
  </si>
  <si>
    <t>项目工程部</t>
  </si>
  <si>
    <t>0109</t>
  </si>
  <si>
    <t>江涛</t>
  </si>
  <si>
    <t>0110</t>
  </si>
  <si>
    <t>涂蛟</t>
  </si>
  <si>
    <t>0111</t>
  </si>
  <si>
    <t>王军华</t>
  </si>
  <si>
    <t>0112</t>
  </si>
  <si>
    <t>李映华</t>
  </si>
  <si>
    <t>0113</t>
  </si>
  <si>
    <t>欧阳时芬</t>
  </si>
  <si>
    <t>0114</t>
  </si>
  <si>
    <t>卞金龙</t>
  </si>
  <si>
    <t>0115</t>
  </si>
  <si>
    <t>冯倩倩</t>
  </si>
  <si>
    <t>0116</t>
  </si>
  <si>
    <t>姚静</t>
  </si>
  <si>
    <t>0117</t>
  </si>
  <si>
    <t>朱成云</t>
  </si>
  <si>
    <t>武汉办事处</t>
  </si>
  <si>
    <t>0118</t>
  </si>
  <si>
    <t>涂虎</t>
  </si>
  <si>
    <t>0119</t>
  </si>
  <si>
    <t>蔡忠锋</t>
  </si>
  <si>
    <t>0120</t>
  </si>
  <si>
    <t>陈啸林</t>
  </si>
  <si>
    <t>0121</t>
  </si>
  <si>
    <t>杨永杰</t>
  </si>
  <si>
    <t>0122</t>
  </si>
  <si>
    <t>王涓</t>
  </si>
  <si>
    <t>公司办公室</t>
  </si>
  <si>
    <t>0123</t>
  </si>
  <si>
    <t>张丹丹</t>
  </si>
  <si>
    <t>0124</t>
  </si>
  <si>
    <t>孟波涛</t>
  </si>
  <si>
    <t>0125</t>
  </si>
  <si>
    <t>薛晨</t>
  </si>
  <si>
    <t>0126</t>
  </si>
  <si>
    <t>郭金涛</t>
  </si>
  <si>
    <t>0127</t>
  </si>
  <si>
    <t>陆明</t>
  </si>
  <si>
    <t>0128</t>
  </si>
  <si>
    <t>杜建祝</t>
  </si>
  <si>
    <t>0129</t>
  </si>
  <si>
    <t>瞿伟谊</t>
  </si>
  <si>
    <t>后勤管理部</t>
  </si>
  <si>
    <t>0130</t>
  </si>
  <si>
    <t>邵雅萍</t>
  </si>
  <si>
    <t>0131</t>
  </si>
  <si>
    <t>许才林</t>
  </si>
  <si>
    <t>0132</t>
  </si>
  <si>
    <t>李映贵</t>
  </si>
  <si>
    <t>0133</t>
  </si>
  <si>
    <t>鲁志程</t>
  </si>
  <si>
    <t>0134</t>
  </si>
  <si>
    <t>李咸富</t>
  </si>
  <si>
    <t>0135</t>
  </si>
  <si>
    <t>王旭</t>
  </si>
  <si>
    <t>0136</t>
  </si>
  <si>
    <t>鲍大宏</t>
  </si>
  <si>
    <t>0137</t>
  </si>
  <si>
    <t>许启安</t>
  </si>
  <si>
    <t>0138</t>
  </si>
  <si>
    <t>王文超</t>
  </si>
  <si>
    <t>0139</t>
  </si>
  <si>
    <t>卢家川</t>
  </si>
  <si>
    <t>0140</t>
  </si>
  <si>
    <t>翟明文</t>
  </si>
  <si>
    <t>0141</t>
  </si>
  <si>
    <t>王莉</t>
  </si>
  <si>
    <t>0142</t>
  </si>
  <si>
    <t>李杰</t>
  </si>
  <si>
    <t>0143</t>
  </si>
  <si>
    <t>刘亮</t>
  </si>
  <si>
    <t>0144</t>
  </si>
  <si>
    <t>郭占军</t>
  </si>
  <si>
    <t>0145</t>
  </si>
  <si>
    <t>刘鸿鹏</t>
  </si>
  <si>
    <t>0146</t>
  </si>
  <si>
    <t>谭小高</t>
  </si>
  <si>
    <t>0147</t>
  </si>
  <si>
    <t>曹敏</t>
  </si>
  <si>
    <t>0148</t>
  </si>
  <si>
    <t>季海臣</t>
  </si>
  <si>
    <t>采购部</t>
  </si>
  <si>
    <t>0149</t>
  </si>
  <si>
    <t>谢平</t>
  </si>
  <si>
    <t>0150</t>
  </si>
  <si>
    <t>张艳</t>
  </si>
  <si>
    <t>0151</t>
  </si>
  <si>
    <t>成立仲</t>
  </si>
  <si>
    <t>0152</t>
  </si>
  <si>
    <t>郭仕培</t>
  </si>
  <si>
    <t>人力资源部</t>
  </si>
  <si>
    <t>0153</t>
  </si>
  <si>
    <t>薛震陆</t>
  </si>
  <si>
    <t>仓库</t>
  </si>
  <si>
    <t>0154</t>
  </si>
  <si>
    <t>王军</t>
  </si>
  <si>
    <t>0155</t>
  </si>
  <si>
    <t>王小芹</t>
  </si>
  <si>
    <t>0156</t>
  </si>
  <si>
    <t>杜利亚</t>
  </si>
  <si>
    <t>食堂</t>
  </si>
  <si>
    <t>0157</t>
  </si>
  <si>
    <t>顾正仙</t>
  </si>
  <si>
    <t>0158</t>
  </si>
  <si>
    <t>倪忠文</t>
  </si>
  <si>
    <t>0159</t>
  </si>
  <si>
    <t>瞿光辉</t>
  </si>
  <si>
    <t>0160</t>
  </si>
  <si>
    <t>苏振</t>
  </si>
  <si>
    <t>0161</t>
  </si>
  <si>
    <t>陈德官</t>
  </si>
  <si>
    <t>0162</t>
  </si>
  <si>
    <t>倪建国</t>
  </si>
  <si>
    <t>0163</t>
  </si>
  <si>
    <t>冷笑</t>
  </si>
  <si>
    <t>资产财务部</t>
  </si>
  <si>
    <t>0164</t>
  </si>
  <si>
    <t>张国平</t>
  </si>
  <si>
    <t>0165</t>
  </si>
  <si>
    <t>生昌红</t>
  </si>
  <si>
    <t>0166</t>
  </si>
  <si>
    <t>瞿林仙</t>
  </si>
  <si>
    <t>0167</t>
  </si>
  <si>
    <t>郭玉惠</t>
  </si>
  <si>
    <t>总经理室</t>
  </si>
  <si>
    <t>0168</t>
  </si>
  <si>
    <t>刘良波</t>
  </si>
  <si>
    <t>0169</t>
  </si>
  <si>
    <t>马艳雪</t>
  </si>
  <si>
    <t>0170</t>
  </si>
  <si>
    <t>林华</t>
  </si>
  <si>
    <t>0171</t>
  </si>
  <si>
    <t>陈有库</t>
  </si>
  <si>
    <t>0172</t>
  </si>
  <si>
    <t>胥磊</t>
  </si>
  <si>
    <t>0173</t>
  </si>
  <si>
    <t>谭秀阳</t>
  </si>
  <si>
    <t>0174</t>
  </si>
  <si>
    <t>张峰</t>
  </si>
  <si>
    <t>0175</t>
  </si>
  <si>
    <t>闫妙灵</t>
  </si>
  <si>
    <t>0176</t>
  </si>
  <si>
    <t>张慧敏</t>
  </si>
  <si>
    <t>0177</t>
  </si>
  <si>
    <t>关喜英</t>
  </si>
  <si>
    <t>0178</t>
  </si>
  <si>
    <t>王萍</t>
  </si>
  <si>
    <t>0179</t>
  </si>
  <si>
    <t>杨锋坪</t>
  </si>
  <si>
    <t>0180</t>
  </si>
  <si>
    <t>张立泰</t>
  </si>
  <si>
    <t>0181</t>
  </si>
  <si>
    <t>罗忠万</t>
  </si>
  <si>
    <t>0182</t>
  </si>
  <si>
    <t>刘坤</t>
  </si>
  <si>
    <t>0183</t>
  </si>
  <si>
    <t>肖亚东</t>
  </si>
  <si>
    <t>0184</t>
  </si>
  <si>
    <t>李雨洲</t>
  </si>
  <si>
    <t>0185</t>
  </si>
  <si>
    <t>许利明</t>
  </si>
  <si>
    <t>0186</t>
  </si>
  <si>
    <t>陈雷</t>
  </si>
  <si>
    <t>0187</t>
  </si>
  <si>
    <t>唐丽萍</t>
  </si>
  <si>
    <t>0188</t>
  </si>
  <si>
    <t>曹源</t>
  </si>
  <si>
    <t>0189</t>
  </si>
  <si>
    <t>沈林华</t>
  </si>
  <si>
    <t>0190</t>
  </si>
  <si>
    <t>马军领</t>
  </si>
  <si>
    <t>0191</t>
  </si>
  <si>
    <t>杜伟</t>
  </si>
  <si>
    <t>0192</t>
  </si>
  <si>
    <t>王先位</t>
  </si>
  <si>
    <t>0193</t>
  </si>
  <si>
    <t>邢梦珂</t>
  </si>
  <si>
    <t>0194</t>
  </si>
  <si>
    <t>崔晓华</t>
  </si>
  <si>
    <t>0195</t>
  </si>
  <si>
    <t>熊猛</t>
  </si>
  <si>
    <t>0196</t>
  </si>
  <si>
    <t>李新红</t>
  </si>
  <si>
    <t>0197</t>
  </si>
  <si>
    <t>瞿雷</t>
  </si>
  <si>
    <t>0198</t>
  </si>
  <si>
    <t>王红军</t>
  </si>
  <si>
    <t>0199</t>
  </si>
  <si>
    <t>朱娜</t>
  </si>
  <si>
    <t>0200</t>
  </si>
  <si>
    <t>李先金</t>
  </si>
  <si>
    <t>0201</t>
  </si>
  <si>
    <t>朱如意</t>
  </si>
  <si>
    <t>0202</t>
  </si>
  <si>
    <t>贺毛娥</t>
  </si>
  <si>
    <t>0203</t>
  </si>
  <si>
    <t>梁朔映</t>
  </si>
  <si>
    <t>0204</t>
  </si>
  <si>
    <t>王玉双</t>
  </si>
  <si>
    <t>0205</t>
  </si>
  <si>
    <t>张林</t>
  </si>
  <si>
    <t>0206</t>
  </si>
  <si>
    <t>黄国平</t>
  </si>
  <si>
    <t>0207</t>
  </si>
  <si>
    <t>陶明芳</t>
  </si>
  <si>
    <t>0208</t>
  </si>
  <si>
    <t>唐成芳</t>
  </si>
  <si>
    <t>0209</t>
  </si>
  <si>
    <t>李义恒</t>
  </si>
  <si>
    <t>0210</t>
  </si>
  <si>
    <t>任海峰</t>
  </si>
  <si>
    <t>0211</t>
  </si>
  <si>
    <t>许贺</t>
  </si>
  <si>
    <t>0215</t>
  </si>
  <si>
    <t>朱伟涛</t>
  </si>
  <si>
    <t>0216</t>
  </si>
  <si>
    <t>杨开坂</t>
  </si>
  <si>
    <t>0217</t>
  </si>
  <si>
    <t>叶鑫_离职</t>
  </si>
  <si>
    <t>0218</t>
  </si>
  <si>
    <t>郁华</t>
  </si>
  <si>
    <t>0219</t>
  </si>
  <si>
    <t>耿宇宙</t>
  </si>
  <si>
    <t>0220</t>
  </si>
  <si>
    <t>王小蓉</t>
  </si>
  <si>
    <t>0221</t>
  </si>
  <si>
    <t>王东豫</t>
  </si>
  <si>
    <t>0222</t>
  </si>
  <si>
    <t>刘康</t>
  </si>
  <si>
    <t>0223</t>
  </si>
  <si>
    <t>武猛</t>
  </si>
  <si>
    <t>0224</t>
  </si>
  <si>
    <t>陈冲</t>
  </si>
  <si>
    <t>0225</t>
  </si>
  <si>
    <t>庄世明</t>
  </si>
  <si>
    <t>0226</t>
  </si>
  <si>
    <t>丁德</t>
  </si>
  <si>
    <t>0227</t>
  </si>
  <si>
    <t>吴国文</t>
  </si>
  <si>
    <t>0228</t>
  </si>
  <si>
    <t>刘占军</t>
  </si>
  <si>
    <t>0229</t>
  </si>
  <si>
    <t>张杰春</t>
  </si>
  <si>
    <t>0230</t>
  </si>
  <si>
    <t>朱波</t>
  </si>
  <si>
    <t>IT部</t>
  </si>
  <si>
    <t>0231</t>
  </si>
  <si>
    <t>席天军</t>
  </si>
  <si>
    <t>0232</t>
  </si>
  <si>
    <t>罗凤妹</t>
  </si>
  <si>
    <t>0233</t>
  </si>
  <si>
    <t>董晓波</t>
  </si>
  <si>
    <t>0234</t>
  </si>
  <si>
    <t>宋海付</t>
  </si>
  <si>
    <t>0235</t>
  </si>
  <si>
    <t>杨传举</t>
  </si>
  <si>
    <t>0236</t>
  </si>
  <si>
    <t>陆家才</t>
  </si>
  <si>
    <t>0237</t>
  </si>
  <si>
    <t>樊聪身</t>
  </si>
  <si>
    <t>0238</t>
  </si>
  <si>
    <t>王效露</t>
  </si>
  <si>
    <t>0239</t>
  </si>
  <si>
    <t>程训臣</t>
  </si>
  <si>
    <t>0240</t>
  </si>
  <si>
    <t>董欢欢</t>
  </si>
  <si>
    <t>0241</t>
  </si>
  <si>
    <t>程赛赛</t>
  </si>
  <si>
    <t>0242</t>
  </si>
  <si>
    <t>梁小二</t>
  </si>
  <si>
    <t>0243</t>
  </si>
  <si>
    <t>蔡可沛</t>
  </si>
  <si>
    <t>0244</t>
  </si>
  <si>
    <t>程峰</t>
  </si>
  <si>
    <t>0245</t>
  </si>
  <si>
    <t>苏何香</t>
  </si>
  <si>
    <t>0246</t>
  </si>
  <si>
    <t>丁民警</t>
  </si>
  <si>
    <t>0247</t>
  </si>
  <si>
    <t>牛德科</t>
  </si>
  <si>
    <t>0248</t>
  </si>
  <si>
    <t>刘彪</t>
  </si>
  <si>
    <t>0249</t>
  </si>
  <si>
    <t>刘勇</t>
  </si>
  <si>
    <t>0250</t>
  </si>
  <si>
    <t>李校飞</t>
  </si>
  <si>
    <t>0251</t>
  </si>
  <si>
    <t>李双林</t>
  </si>
  <si>
    <t>0252</t>
  </si>
  <si>
    <t>古彦礼</t>
  </si>
  <si>
    <t>0253</t>
  </si>
  <si>
    <t>黄亚军</t>
  </si>
  <si>
    <t>0254</t>
  </si>
  <si>
    <t>胡芳德</t>
  </si>
  <si>
    <t>0255</t>
  </si>
  <si>
    <t>倪其兵</t>
  </si>
  <si>
    <t>0256</t>
  </si>
  <si>
    <t>赵立宾</t>
  </si>
  <si>
    <t>0257</t>
  </si>
  <si>
    <t>温江波</t>
  </si>
  <si>
    <t>0258</t>
  </si>
  <si>
    <t>谢强</t>
  </si>
  <si>
    <t>0259</t>
  </si>
  <si>
    <t>刘彦林</t>
  </si>
  <si>
    <t>0260</t>
  </si>
  <si>
    <t>张连春</t>
  </si>
  <si>
    <t>0261</t>
  </si>
  <si>
    <t>石建庆</t>
  </si>
  <si>
    <t>0262</t>
  </si>
  <si>
    <t>杨文慧</t>
  </si>
  <si>
    <t>0263</t>
  </si>
  <si>
    <t>刘军凯</t>
  </si>
  <si>
    <t>0264</t>
  </si>
  <si>
    <t>张平</t>
  </si>
  <si>
    <t>0265</t>
  </si>
  <si>
    <t>刘斌</t>
  </si>
  <si>
    <t>0266</t>
  </si>
  <si>
    <t>吴光祥</t>
  </si>
  <si>
    <t>0267</t>
  </si>
  <si>
    <t>郑永佳</t>
  </si>
  <si>
    <t>0268</t>
  </si>
  <si>
    <t>叶海丹</t>
  </si>
  <si>
    <t>0269</t>
  </si>
  <si>
    <t>唐兵毅</t>
  </si>
  <si>
    <t>0270</t>
  </si>
  <si>
    <t>邹方政</t>
  </si>
  <si>
    <t>0271</t>
  </si>
  <si>
    <t>黄仕胜</t>
  </si>
  <si>
    <t>0272</t>
  </si>
  <si>
    <t>阮太宝</t>
  </si>
  <si>
    <t>0273</t>
  </si>
  <si>
    <t>段海水</t>
  </si>
  <si>
    <t>0274</t>
  </si>
  <si>
    <t>翟向会</t>
  </si>
  <si>
    <t>0275</t>
  </si>
  <si>
    <t>李政清</t>
  </si>
  <si>
    <t>0276</t>
  </si>
  <si>
    <t>高辉松</t>
  </si>
  <si>
    <t>0277</t>
  </si>
  <si>
    <t>范纯一</t>
  </si>
  <si>
    <t>0278</t>
  </si>
  <si>
    <t>何超</t>
  </si>
  <si>
    <t>0279</t>
  </si>
  <si>
    <t>杨宏</t>
  </si>
  <si>
    <t>0280</t>
  </si>
  <si>
    <t>陈明一</t>
  </si>
  <si>
    <t>0281</t>
  </si>
  <si>
    <t>杨妍昱</t>
  </si>
  <si>
    <t>0282</t>
  </si>
  <si>
    <t>柴利波</t>
  </si>
  <si>
    <t>0283</t>
  </si>
  <si>
    <t>夏巨昆</t>
  </si>
  <si>
    <t>0284</t>
  </si>
  <si>
    <t>严佳晨</t>
  </si>
  <si>
    <t>0285</t>
  </si>
  <si>
    <t>黄树强</t>
  </si>
  <si>
    <t>0286</t>
  </si>
  <si>
    <t>张灿灿</t>
  </si>
  <si>
    <t>0287</t>
  </si>
  <si>
    <t>朱中良</t>
  </si>
  <si>
    <t>0288</t>
  </si>
  <si>
    <t>吴祖先</t>
  </si>
  <si>
    <t>0289</t>
  </si>
  <si>
    <t>韩东东</t>
  </si>
  <si>
    <t>0290</t>
  </si>
  <si>
    <t>周红英</t>
  </si>
  <si>
    <t>0291</t>
  </si>
  <si>
    <t>范以超</t>
  </si>
  <si>
    <t>0292</t>
  </si>
  <si>
    <t>陈红波</t>
  </si>
  <si>
    <t>0293</t>
  </si>
  <si>
    <t>李应成</t>
  </si>
  <si>
    <t>0294</t>
  </si>
  <si>
    <t>郭峰1</t>
  </si>
  <si>
    <t>0295</t>
  </si>
  <si>
    <t>田金柱</t>
  </si>
  <si>
    <t>0296</t>
  </si>
  <si>
    <t>罗兵兵</t>
  </si>
  <si>
    <t>0297</t>
  </si>
  <si>
    <t>陆金根</t>
  </si>
  <si>
    <t>0298</t>
  </si>
  <si>
    <t>何双六</t>
  </si>
  <si>
    <t>0299</t>
  </si>
  <si>
    <t>赵伟</t>
  </si>
  <si>
    <t>0300</t>
  </si>
  <si>
    <t>范凤花</t>
  </si>
  <si>
    <t>0302</t>
  </si>
  <si>
    <t>薛荣昌</t>
  </si>
  <si>
    <t>0303</t>
  </si>
  <si>
    <t>梁三钢</t>
  </si>
  <si>
    <t>0304</t>
  </si>
  <si>
    <t>刘洋_离职</t>
  </si>
  <si>
    <t>0305</t>
  </si>
  <si>
    <t>郭晓雷</t>
  </si>
  <si>
    <t>0306</t>
  </si>
  <si>
    <t>熊力</t>
  </si>
  <si>
    <t>0307</t>
  </si>
  <si>
    <t>李朋朋</t>
  </si>
  <si>
    <t>0308</t>
  </si>
  <si>
    <t>何勇</t>
  </si>
  <si>
    <t>0309</t>
  </si>
  <si>
    <t>李胜杰</t>
  </si>
  <si>
    <t>0310</t>
  </si>
  <si>
    <t>何金祥</t>
  </si>
  <si>
    <t>0311</t>
  </si>
  <si>
    <t>瞿习平</t>
  </si>
  <si>
    <t>0312</t>
  </si>
  <si>
    <t>倪林庚</t>
  </si>
  <si>
    <t>0313</t>
  </si>
  <si>
    <t>翟新波</t>
  </si>
  <si>
    <t>0314</t>
  </si>
  <si>
    <t>高俊成</t>
  </si>
  <si>
    <t>0315</t>
  </si>
  <si>
    <t>鲁亮发</t>
  </si>
  <si>
    <t>0316</t>
  </si>
  <si>
    <t>梁昌杰</t>
  </si>
  <si>
    <t>0317</t>
  </si>
  <si>
    <t>杨旭郎</t>
  </si>
  <si>
    <t>0318</t>
  </si>
  <si>
    <t>秦波</t>
  </si>
  <si>
    <t>0319</t>
  </si>
  <si>
    <t>杨小国</t>
  </si>
  <si>
    <t>0320</t>
  </si>
  <si>
    <t>马杨青</t>
  </si>
  <si>
    <t>0321</t>
  </si>
  <si>
    <t>刘红卫</t>
  </si>
  <si>
    <t>0322</t>
  </si>
  <si>
    <t>石攀辉</t>
  </si>
  <si>
    <t>0323</t>
  </si>
  <si>
    <t>熊兵</t>
  </si>
  <si>
    <t>0324</t>
  </si>
  <si>
    <t>李祖应</t>
  </si>
  <si>
    <t>0325</t>
  </si>
  <si>
    <t>吴强</t>
  </si>
  <si>
    <t>0326</t>
  </si>
  <si>
    <t>熊龙章</t>
  </si>
  <si>
    <t>0327</t>
  </si>
  <si>
    <t>吴标</t>
  </si>
  <si>
    <t>0328</t>
  </si>
  <si>
    <t>杨辉</t>
  </si>
  <si>
    <t>0329</t>
  </si>
  <si>
    <t>杨新强</t>
  </si>
  <si>
    <t>0330</t>
  </si>
  <si>
    <t>彭火平</t>
  </si>
  <si>
    <t>0331</t>
  </si>
  <si>
    <t>张才发</t>
  </si>
  <si>
    <t>0332</t>
  </si>
  <si>
    <t>孙红平</t>
  </si>
  <si>
    <t>0333</t>
  </si>
  <si>
    <t>阮情方</t>
  </si>
  <si>
    <t>0334</t>
  </si>
  <si>
    <t>李卫国</t>
  </si>
  <si>
    <t>0335</t>
  </si>
  <si>
    <t>范新强</t>
  </si>
  <si>
    <t>0336</t>
  </si>
  <si>
    <t>冯宏胜</t>
  </si>
  <si>
    <t>0337</t>
  </si>
  <si>
    <t>郭泽端</t>
  </si>
  <si>
    <t>0338</t>
  </si>
  <si>
    <t>李新德</t>
  </si>
  <si>
    <t>0339</t>
  </si>
  <si>
    <t>刘其威</t>
  </si>
  <si>
    <t>0340</t>
  </si>
  <si>
    <t>凃龙强</t>
  </si>
  <si>
    <t>0341</t>
  </si>
  <si>
    <t>张志宏</t>
  </si>
  <si>
    <t>0342</t>
  </si>
  <si>
    <t>杨亮</t>
  </si>
  <si>
    <t>0343</t>
  </si>
  <si>
    <t>李亚</t>
  </si>
  <si>
    <t>销售部</t>
  </si>
  <si>
    <t>0344</t>
  </si>
  <si>
    <t>谢俊昆</t>
  </si>
  <si>
    <t>0345</t>
  </si>
  <si>
    <t>徐祖祥</t>
  </si>
  <si>
    <t>0346</t>
  </si>
  <si>
    <t>李红波</t>
  </si>
  <si>
    <t>0347</t>
  </si>
  <si>
    <t>唐酽</t>
  </si>
  <si>
    <t>0348</t>
  </si>
  <si>
    <t>王杰</t>
  </si>
  <si>
    <t>0349</t>
  </si>
  <si>
    <t>汪强</t>
  </si>
  <si>
    <t>0350</t>
  </si>
  <si>
    <t>孙晶晶</t>
  </si>
  <si>
    <t>0351</t>
  </si>
  <si>
    <t>任建通</t>
  </si>
  <si>
    <t>0352</t>
  </si>
  <si>
    <t>刘群</t>
  </si>
  <si>
    <t>0353</t>
  </si>
  <si>
    <t>何广</t>
  </si>
  <si>
    <t>0354</t>
  </si>
  <si>
    <t>韩玉</t>
  </si>
  <si>
    <t>0355</t>
  </si>
  <si>
    <t>帅世海</t>
  </si>
  <si>
    <t>0356</t>
  </si>
  <si>
    <t>李建国</t>
  </si>
  <si>
    <t>0357</t>
  </si>
  <si>
    <t>孟燕</t>
  </si>
  <si>
    <t>0358</t>
  </si>
  <si>
    <t>陈凯丽</t>
  </si>
  <si>
    <t>0359</t>
  </si>
  <si>
    <t>吴建</t>
  </si>
  <si>
    <t>0360</t>
  </si>
  <si>
    <t>王刘峰</t>
  </si>
  <si>
    <t>0361</t>
  </si>
  <si>
    <t>谭友法</t>
  </si>
  <si>
    <t>0362</t>
  </si>
  <si>
    <t>彭孝琼</t>
  </si>
  <si>
    <t>0363</t>
  </si>
  <si>
    <t>张月忠</t>
  </si>
  <si>
    <t>0364</t>
  </si>
  <si>
    <t>王芳</t>
  </si>
  <si>
    <t>0365</t>
  </si>
  <si>
    <t>高春艳</t>
  </si>
  <si>
    <t>0366</t>
  </si>
  <si>
    <t>谢良文</t>
  </si>
  <si>
    <t>0367</t>
  </si>
  <si>
    <t>母顺顺</t>
  </si>
  <si>
    <t>0368</t>
  </si>
  <si>
    <t>刘双江</t>
  </si>
  <si>
    <t>0369</t>
  </si>
  <si>
    <t>张威</t>
  </si>
  <si>
    <t>0370</t>
  </si>
  <si>
    <t>薛帅帅</t>
  </si>
  <si>
    <t>0371</t>
  </si>
  <si>
    <t>王传华</t>
  </si>
  <si>
    <t>0372</t>
  </si>
  <si>
    <t>邱言浩</t>
  </si>
  <si>
    <t>0373</t>
  </si>
  <si>
    <t>徐昭帆</t>
  </si>
  <si>
    <t>烟台办事处</t>
  </si>
  <si>
    <t>0374</t>
  </si>
  <si>
    <t>陈少恒</t>
  </si>
  <si>
    <t>0375</t>
  </si>
  <si>
    <t>陶祥季</t>
  </si>
  <si>
    <t>0376</t>
  </si>
  <si>
    <t>李强</t>
  </si>
  <si>
    <t>0377</t>
  </si>
  <si>
    <t>杨创</t>
  </si>
  <si>
    <t>0378</t>
  </si>
  <si>
    <t>郭雄文</t>
  </si>
  <si>
    <t>0379</t>
  </si>
  <si>
    <t>李翠红</t>
  </si>
  <si>
    <t>0381</t>
  </si>
  <si>
    <t>赵宇</t>
  </si>
  <si>
    <t>0382</t>
  </si>
  <si>
    <t>罗瑞</t>
  </si>
  <si>
    <t>0383</t>
  </si>
  <si>
    <t>禄旭园</t>
  </si>
  <si>
    <t>0384</t>
  </si>
  <si>
    <t>梁京凯</t>
  </si>
  <si>
    <t>0385</t>
  </si>
  <si>
    <t>陆亦斌</t>
  </si>
  <si>
    <t>0386</t>
  </si>
  <si>
    <t>闫璐伟</t>
  </si>
  <si>
    <t>0387</t>
  </si>
  <si>
    <t>王雷雨</t>
  </si>
  <si>
    <t>0388</t>
  </si>
  <si>
    <t>郭慧</t>
  </si>
  <si>
    <t>0389</t>
  </si>
  <si>
    <t>张艳丽</t>
  </si>
  <si>
    <t>0390</t>
  </si>
  <si>
    <t>刘晓庆</t>
  </si>
  <si>
    <t>0391</t>
  </si>
  <si>
    <t>刘刚</t>
  </si>
  <si>
    <t>0392</t>
  </si>
  <si>
    <t>董顺利</t>
  </si>
  <si>
    <t>0393</t>
  </si>
  <si>
    <t>吕倩</t>
  </si>
  <si>
    <t>0394</t>
  </si>
  <si>
    <t>张华来</t>
  </si>
  <si>
    <t>0395</t>
  </si>
  <si>
    <t>景海浪</t>
  </si>
  <si>
    <t>0396</t>
  </si>
  <si>
    <t>林克华</t>
  </si>
  <si>
    <t>0397</t>
  </si>
  <si>
    <t>张七妹</t>
  </si>
  <si>
    <t>0398</t>
  </si>
  <si>
    <t>赵凤仙</t>
  </si>
  <si>
    <t>0399</t>
  </si>
  <si>
    <t>瞿根妹</t>
  </si>
  <si>
    <t>0400</t>
  </si>
  <si>
    <t>王海旭</t>
  </si>
  <si>
    <t>0401</t>
  </si>
  <si>
    <t>祁昌虎</t>
  </si>
  <si>
    <t>0402</t>
  </si>
  <si>
    <t>娄维维</t>
  </si>
  <si>
    <t>0403</t>
  </si>
  <si>
    <t>屈爱国</t>
  </si>
  <si>
    <t>0404</t>
  </si>
  <si>
    <t>朱井中</t>
  </si>
  <si>
    <t>0405</t>
  </si>
  <si>
    <t>刘宗国</t>
  </si>
  <si>
    <t>0406</t>
  </si>
  <si>
    <t>安冬野</t>
  </si>
  <si>
    <t>0407</t>
  </si>
  <si>
    <t>张佩佩</t>
  </si>
  <si>
    <t>0408</t>
  </si>
  <si>
    <t>李新强</t>
  </si>
  <si>
    <t>0409</t>
  </si>
  <si>
    <t>刘国青</t>
  </si>
  <si>
    <t>0410</t>
  </si>
  <si>
    <t>李响</t>
  </si>
  <si>
    <t>0411</t>
  </si>
  <si>
    <t>温乃强</t>
  </si>
  <si>
    <t>0412</t>
  </si>
  <si>
    <t>蔡鹏飞</t>
  </si>
  <si>
    <t>0413</t>
  </si>
  <si>
    <t>孙梁宏</t>
  </si>
  <si>
    <t>0414</t>
  </si>
  <si>
    <t>何文好</t>
  </si>
  <si>
    <t>0415</t>
  </si>
  <si>
    <t>罗健华</t>
  </si>
  <si>
    <t>0416</t>
  </si>
  <si>
    <t>汤传明</t>
  </si>
  <si>
    <t>0417</t>
  </si>
  <si>
    <t>潘川</t>
  </si>
  <si>
    <t>0418</t>
  </si>
  <si>
    <t>夏福章</t>
  </si>
  <si>
    <t>0419</t>
  </si>
  <si>
    <t>许之文</t>
  </si>
  <si>
    <t>0420</t>
  </si>
  <si>
    <t>秦智力</t>
  </si>
  <si>
    <t>0421</t>
  </si>
  <si>
    <t>郭遵行</t>
  </si>
  <si>
    <t>0422</t>
  </si>
  <si>
    <t>张森华</t>
  </si>
  <si>
    <t>0423</t>
  </si>
  <si>
    <t>周冠东</t>
  </si>
  <si>
    <t>0424</t>
  </si>
  <si>
    <t>柯家平</t>
  </si>
  <si>
    <t>0425</t>
  </si>
  <si>
    <t>肖和平</t>
  </si>
  <si>
    <t>0426</t>
  </si>
  <si>
    <t>张霞</t>
  </si>
  <si>
    <t>0427</t>
  </si>
  <si>
    <t>张丰</t>
  </si>
  <si>
    <t>0428</t>
  </si>
  <si>
    <t>王银华</t>
  </si>
  <si>
    <t>0429</t>
  </si>
  <si>
    <t>李光金</t>
  </si>
  <si>
    <t>0430</t>
  </si>
  <si>
    <t>黄东旭重</t>
  </si>
  <si>
    <t>0431</t>
  </si>
  <si>
    <t>姚红卫</t>
  </si>
  <si>
    <t>0432</t>
  </si>
  <si>
    <t>项光辉</t>
  </si>
  <si>
    <t>0433</t>
  </si>
  <si>
    <t>陈林国</t>
  </si>
  <si>
    <t>0434</t>
  </si>
  <si>
    <t>金单单</t>
  </si>
  <si>
    <t>0435</t>
  </si>
  <si>
    <t>章小飞</t>
  </si>
  <si>
    <t>0436</t>
  </si>
  <si>
    <t>章小民</t>
  </si>
  <si>
    <t>0437</t>
  </si>
  <si>
    <t>何林蒙</t>
  </si>
  <si>
    <t>0438</t>
  </si>
  <si>
    <t>余灵永</t>
  </si>
  <si>
    <t>0439</t>
  </si>
  <si>
    <t>许哲强</t>
  </si>
  <si>
    <t>0440</t>
  </si>
  <si>
    <t>高军</t>
  </si>
  <si>
    <t>0441</t>
  </si>
  <si>
    <t>李先义</t>
  </si>
  <si>
    <t>0442</t>
  </si>
  <si>
    <t>余佳盛</t>
  </si>
  <si>
    <t>0443</t>
  </si>
  <si>
    <t>侯志辉</t>
  </si>
  <si>
    <t>0444</t>
  </si>
  <si>
    <t>王永益</t>
  </si>
  <si>
    <t>0446</t>
  </si>
  <si>
    <t>苏正书</t>
  </si>
  <si>
    <t>0447</t>
  </si>
  <si>
    <t>宋爱芳</t>
  </si>
  <si>
    <t>0448</t>
  </si>
  <si>
    <t>孙学奎</t>
  </si>
  <si>
    <t>0449</t>
  </si>
  <si>
    <t>孙贝贝</t>
  </si>
  <si>
    <t>0450</t>
  </si>
  <si>
    <t>孙兵兵</t>
  </si>
  <si>
    <t>0451</t>
  </si>
  <si>
    <t>安为民</t>
  </si>
  <si>
    <t>0452</t>
  </si>
  <si>
    <t>徐海英</t>
  </si>
  <si>
    <t>0453</t>
  </si>
  <si>
    <t>田正轩</t>
  </si>
  <si>
    <t>0454</t>
  </si>
  <si>
    <t>李雄</t>
  </si>
  <si>
    <t>0455</t>
  </si>
  <si>
    <t>温乃年</t>
  </si>
  <si>
    <t>0456</t>
  </si>
  <si>
    <t>王梦波</t>
  </si>
  <si>
    <t>0457</t>
  </si>
  <si>
    <t>丁诗萍</t>
  </si>
  <si>
    <t>0458</t>
  </si>
  <si>
    <t>王金智</t>
  </si>
  <si>
    <t>0459</t>
  </si>
  <si>
    <t>李先羲</t>
  </si>
  <si>
    <t>0460</t>
  </si>
  <si>
    <t>何新平</t>
  </si>
  <si>
    <t>0461</t>
  </si>
  <si>
    <t>刘衍志</t>
  </si>
  <si>
    <t>0462</t>
  </si>
  <si>
    <t>杨珍龙</t>
  </si>
  <si>
    <t>0463</t>
  </si>
  <si>
    <t>张印</t>
  </si>
  <si>
    <t>0464</t>
  </si>
  <si>
    <t>何生</t>
  </si>
  <si>
    <t>0465</t>
  </si>
  <si>
    <t>李栋良</t>
  </si>
  <si>
    <t>0466</t>
  </si>
  <si>
    <t>郭芝中</t>
  </si>
  <si>
    <t>0467</t>
  </si>
  <si>
    <t>吴超超</t>
  </si>
  <si>
    <t>0468</t>
  </si>
  <si>
    <t>李利波</t>
  </si>
  <si>
    <t>0469</t>
  </si>
  <si>
    <t>何芝平</t>
  </si>
  <si>
    <t>0470</t>
  </si>
  <si>
    <t>杨志勇</t>
  </si>
  <si>
    <t>0471</t>
  </si>
  <si>
    <t>时洪波</t>
  </si>
  <si>
    <t>0472</t>
  </si>
  <si>
    <t>乔中朋</t>
  </si>
  <si>
    <t>0473</t>
  </si>
  <si>
    <t>田俊领</t>
  </si>
  <si>
    <t>0474</t>
  </si>
  <si>
    <t>李漫辉</t>
  </si>
  <si>
    <t>0475</t>
  </si>
  <si>
    <t>涂春</t>
  </si>
  <si>
    <t>0476</t>
  </si>
  <si>
    <t>张昊</t>
  </si>
  <si>
    <t>0477</t>
  </si>
  <si>
    <t>吴明山</t>
  </si>
  <si>
    <t>0478</t>
  </si>
  <si>
    <t>李富胜</t>
  </si>
  <si>
    <t>0479</t>
  </si>
  <si>
    <t>张三</t>
  </si>
  <si>
    <t>0483</t>
  </si>
  <si>
    <t>张培民</t>
  </si>
  <si>
    <t>0484</t>
  </si>
  <si>
    <t>姚凤</t>
  </si>
  <si>
    <t>0485</t>
  </si>
  <si>
    <t>闫俊生</t>
  </si>
  <si>
    <t>0486</t>
  </si>
  <si>
    <t>游文博</t>
  </si>
  <si>
    <t>0487</t>
  </si>
  <si>
    <t>李老三</t>
  </si>
  <si>
    <t>0488</t>
  </si>
  <si>
    <t>佘中荣</t>
  </si>
  <si>
    <t>0489</t>
  </si>
  <si>
    <t>曹佳佳</t>
  </si>
  <si>
    <t>0490</t>
  </si>
  <si>
    <t>刘国云</t>
  </si>
  <si>
    <t>0491</t>
  </si>
  <si>
    <t>韩红正</t>
  </si>
  <si>
    <t>0492</t>
  </si>
  <si>
    <t>王贺炳</t>
  </si>
  <si>
    <t>0493</t>
  </si>
  <si>
    <t>贾双鹏</t>
  </si>
  <si>
    <t>0494</t>
  </si>
  <si>
    <t>刘强</t>
  </si>
  <si>
    <t>0495</t>
  </si>
  <si>
    <t>蔡生勤</t>
  </si>
  <si>
    <t>0496</t>
  </si>
  <si>
    <t>李洋</t>
  </si>
  <si>
    <t>0497</t>
  </si>
  <si>
    <t>孙振明</t>
  </si>
  <si>
    <t>0498</t>
  </si>
  <si>
    <t>王志刚</t>
  </si>
  <si>
    <t>0499</t>
  </si>
  <si>
    <t>徐成香</t>
  </si>
  <si>
    <t>0500</t>
  </si>
  <si>
    <t>奚秋镇</t>
  </si>
  <si>
    <t>0501</t>
  </si>
  <si>
    <t>罗林</t>
  </si>
  <si>
    <t>0502</t>
  </si>
  <si>
    <t>吴鹏</t>
  </si>
  <si>
    <t>0503</t>
  </si>
  <si>
    <t>崔帅军</t>
  </si>
  <si>
    <t>0504</t>
  </si>
  <si>
    <t>陈巧荣</t>
  </si>
  <si>
    <t>0505</t>
  </si>
  <si>
    <t>刘红俊</t>
  </si>
  <si>
    <t>0506</t>
  </si>
  <si>
    <t>刘昌帆</t>
  </si>
  <si>
    <t>0507</t>
  </si>
  <si>
    <t>朱友民</t>
  </si>
  <si>
    <t>0508</t>
  </si>
  <si>
    <t>彭潇旭</t>
  </si>
  <si>
    <t>0509</t>
  </si>
  <si>
    <t>宋华美</t>
  </si>
  <si>
    <t>0510</t>
  </si>
  <si>
    <t>李宁宁</t>
  </si>
  <si>
    <t>0511</t>
  </si>
  <si>
    <t>叶冬冬</t>
  </si>
  <si>
    <t>0512</t>
  </si>
  <si>
    <t>褚玲玲</t>
  </si>
  <si>
    <t>0513</t>
  </si>
  <si>
    <t>胡志华</t>
  </si>
  <si>
    <t>0514</t>
  </si>
  <si>
    <t>张磊</t>
  </si>
  <si>
    <t>0515</t>
  </si>
  <si>
    <t>姚丽莹</t>
  </si>
  <si>
    <t>0516</t>
  </si>
  <si>
    <t>冉茂全</t>
  </si>
  <si>
    <t>0517</t>
  </si>
  <si>
    <t>樊华兴</t>
  </si>
  <si>
    <t>0518</t>
  </si>
  <si>
    <t>刘航</t>
  </si>
  <si>
    <t>0519</t>
  </si>
  <si>
    <t>陶振</t>
  </si>
  <si>
    <t>0520</t>
  </si>
  <si>
    <t>田艳飞</t>
  </si>
  <si>
    <t>0521</t>
  </si>
  <si>
    <t>李中伟</t>
  </si>
  <si>
    <t>0522</t>
  </si>
  <si>
    <t>顾林林</t>
  </si>
  <si>
    <t>0523</t>
  </si>
  <si>
    <t>李燕菲</t>
  </si>
  <si>
    <t>0524</t>
  </si>
  <si>
    <t>张语晴</t>
  </si>
  <si>
    <t>0525</t>
  </si>
  <si>
    <t>顾晨</t>
  </si>
  <si>
    <t>0526</t>
  </si>
  <si>
    <t>周季</t>
  </si>
  <si>
    <t>0527</t>
  </si>
  <si>
    <t>0528</t>
  </si>
  <si>
    <t>赵逢</t>
  </si>
  <si>
    <t>0529</t>
  </si>
  <si>
    <t>熊雷</t>
  </si>
  <si>
    <t>0530</t>
  </si>
  <si>
    <t>尹文强</t>
  </si>
  <si>
    <t>0531</t>
  </si>
  <si>
    <t>顾峰</t>
  </si>
  <si>
    <t>0532</t>
  </si>
  <si>
    <t>魏萌</t>
  </si>
  <si>
    <t>0533</t>
  </si>
  <si>
    <t>宋阳</t>
  </si>
  <si>
    <t>0534</t>
  </si>
  <si>
    <t>戴新亮</t>
  </si>
  <si>
    <t>0535</t>
  </si>
  <si>
    <t>吴成龙</t>
  </si>
  <si>
    <t>0536</t>
  </si>
  <si>
    <t>吴华兵</t>
  </si>
  <si>
    <t>0537</t>
  </si>
  <si>
    <t>于常龙</t>
  </si>
  <si>
    <t>0538</t>
  </si>
  <si>
    <t>倪振</t>
  </si>
  <si>
    <t>0539</t>
  </si>
  <si>
    <t>郭智慧</t>
  </si>
  <si>
    <t>0540</t>
  </si>
  <si>
    <t>曹龙飞</t>
  </si>
  <si>
    <t>0541</t>
  </si>
  <si>
    <t>涂魁</t>
  </si>
  <si>
    <t>0542</t>
  </si>
  <si>
    <t>黄武平</t>
  </si>
  <si>
    <t>0543</t>
  </si>
  <si>
    <t>孔德宇</t>
  </si>
  <si>
    <t>0544</t>
  </si>
  <si>
    <t>王斌</t>
  </si>
  <si>
    <t>0545</t>
  </si>
  <si>
    <t>王洁伟</t>
  </si>
  <si>
    <t>0546</t>
  </si>
  <si>
    <t>黄凯晨</t>
  </si>
  <si>
    <t>0547</t>
  </si>
  <si>
    <t>朱平</t>
  </si>
  <si>
    <t>0548</t>
  </si>
  <si>
    <t>韩帆</t>
  </si>
  <si>
    <t>0549</t>
  </si>
  <si>
    <t>刘志鹏</t>
  </si>
  <si>
    <t>0550</t>
  </si>
  <si>
    <t>王洪武</t>
  </si>
  <si>
    <t>0551</t>
  </si>
  <si>
    <t>封静轩</t>
  </si>
  <si>
    <t>0552</t>
  </si>
  <si>
    <t>陈建荣</t>
  </si>
  <si>
    <t>0553</t>
  </si>
  <si>
    <t>曹进</t>
  </si>
  <si>
    <t>0554</t>
  </si>
  <si>
    <t>余雅丽</t>
  </si>
  <si>
    <t>0555</t>
  </si>
  <si>
    <t>李明贵</t>
  </si>
  <si>
    <t>0556</t>
  </si>
  <si>
    <t>冉星运</t>
  </si>
  <si>
    <t>0557</t>
  </si>
  <si>
    <t>许兴</t>
  </si>
  <si>
    <t>0558</t>
  </si>
  <si>
    <t>郭峰</t>
  </si>
  <si>
    <t>0559</t>
  </si>
  <si>
    <t>勾湃</t>
  </si>
  <si>
    <t>0560</t>
  </si>
  <si>
    <t>何磊</t>
  </si>
  <si>
    <t>0561</t>
  </si>
  <si>
    <t>陈科</t>
  </si>
  <si>
    <t>0562</t>
  </si>
  <si>
    <t>邓桂红</t>
  </si>
  <si>
    <t>0563</t>
  </si>
  <si>
    <t>郭化民</t>
  </si>
  <si>
    <t>0564</t>
  </si>
  <si>
    <t>张亚军</t>
  </si>
  <si>
    <t>0565</t>
  </si>
  <si>
    <t>冯康清</t>
  </si>
  <si>
    <t>0566</t>
  </si>
  <si>
    <t>刘高洋</t>
  </si>
  <si>
    <t>0567</t>
  </si>
  <si>
    <t>王修稳</t>
  </si>
  <si>
    <t>0568</t>
  </si>
  <si>
    <t>杜大刚</t>
  </si>
  <si>
    <t>0569</t>
  </si>
  <si>
    <t>彭小恩</t>
  </si>
  <si>
    <t>0570</t>
  </si>
  <si>
    <t>龚攀攀</t>
  </si>
  <si>
    <t>0571</t>
  </si>
  <si>
    <t>黄腾</t>
  </si>
  <si>
    <t>0572</t>
  </si>
  <si>
    <t>邹双</t>
  </si>
  <si>
    <t>0573</t>
  </si>
  <si>
    <t>瞿金明</t>
  </si>
  <si>
    <t>0574</t>
  </si>
  <si>
    <t>马艳梅</t>
  </si>
  <si>
    <t>0575</t>
  </si>
  <si>
    <t>范利献</t>
  </si>
  <si>
    <t>0576</t>
  </si>
  <si>
    <t>冯晨晨</t>
  </si>
  <si>
    <t>0577</t>
  </si>
  <si>
    <t>高杰</t>
  </si>
  <si>
    <t>0578</t>
  </si>
  <si>
    <t>张懿然</t>
  </si>
  <si>
    <t>0579</t>
  </si>
  <si>
    <t>王永成</t>
  </si>
  <si>
    <t>0580</t>
  </si>
  <si>
    <t>李华霖</t>
  </si>
  <si>
    <t>0581</t>
  </si>
  <si>
    <t>方清</t>
  </si>
  <si>
    <t>0582</t>
  </si>
  <si>
    <t>李方超</t>
  </si>
  <si>
    <t>0583</t>
  </si>
  <si>
    <t>商宠</t>
  </si>
  <si>
    <t>0584</t>
  </si>
  <si>
    <t>赵军</t>
  </si>
  <si>
    <t>0585</t>
  </si>
  <si>
    <t>杨飞</t>
  </si>
  <si>
    <t>0586</t>
  </si>
  <si>
    <t>刘芝全</t>
  </si>
  <si>
    <t>0587</t>
  </si>
  <si>
    <t>王强</t>
  </si>
  <si>
    <t>0588</t>
  </si>
  <si>
    <t>高祥</t>
  </si>
  <si>
    <t>0589</t>
  </si>
  <si>
    <t>卢伟</t>
  </si>
  <si>
    <t>0590</t>
  </si>
  <si>
    <t>唐权</t>
  </si>
  <si>
    <t>0591</t>
  </si>
  <si>
    <t>王小宝</t>
  </si>
  <si>
    <t>0592</t>
  </si>
  <si>
    <t>沈显庆</t>
  </si>
  <si>
    <t>0593</t>
  </si>
  <si>
    <t>杨涵</t>
  </si>
  <si>
    <t>0594</t>
  </si>
  <si>
    <t>侣沙平</t>
  </si>
  <si>
    <t>0595</t>
  </si>
  <si>
    <t>杜华奇</t>
  </si>
  <si>
    <t>0596</t>
  </si>
  <si>
    <t>刘艳</t>
  </si>
  <si>
    <t>0597</t>
  </si>
  <si>
    <t>夏少芸</t>
  </si>
  <si>
    <t>0598</t>
  </si>
  <si>
    <t>程小斌</t>
  </si>
  <si>
    <t>0599</t>
  </si>
  <si>
    <t>王建锋</t>
  </si>
  <si>
    <t>0600</t>
  </si>
  <si>
    <t>赵朋飞</t>
  </si>
  <si>
    <t>0601</t>
  </si>
  <si>
    <t>徐晓琳</t>
  </si>
  <si>
    <t>0602</t>
  </si>
  <si>
    <t>王顶</t>
  </si>
  <si>
    <t>0603</t>
  </si>
  <si>
    <t>李雷</t>
  </si>
  <si>
    <t>0604</t>
  </si>
  <si>
    <t>陈献光</t>
  </si>
  <si>
    <t>0605</t>
  </si>
  <si>
    <t>李映鸿</t>
  </si>
  <si>
    <t>0606</t>
  </si>
  <si>
    <t>陈昊佑</t>
  </si>
  <si>
    <t>0607</t>
  </si>
  <si>
    <t>李少宾</t>
  </si>
  <si>
    <t>0608</t>
  </si>
  <si>
    <t>谢明锋</t>
  </si>
  <si>
    <t>0609</t>
  </si>
  <si>
    <t>周国军</t>
  </si>
  <si>
    <t>0610</t>
  </si>
  <si>
    <t>勾吉</t>
  </si>
  <si>
    <t>0611</t>
  </si>
  <si>
    <t>苏茂源</t>
  </si>
  <si>
    <t>0612</t>
  </si>
  <si>
    <t>司庆海</t>
  </si>
  <si>
    <t>0613</t>
  </si>
  <si>
    <t>苏杨</t>
  </si>
  <si>
    <t>0614</t>
  </si>
  <si>
    <t>余建</t>
  </si>
  <si>
    <t>0615</t>
  </si>
  <si>
    <t>王韶峰</t>
  </si>
  <si>
    <t>0616</t>
  </si>
  <si>
    <t>孙超</t>
  </si>
  <si>
    <t>0617</t>
  </si>
  <si>
    <t>曾辉</t>
  </si>
  <si>
    <t>0618</t>
  </si>
  <si>
    <t>姜鑫</t>
  </si>
  <si>
    <t>0619</t>
  </si>
  <si>
    <t>张宏健</t>
  </si>
  <si>
    <t>0620</t>
  </si>
  <si>
    <t>李丹</t>
  </si>
  <si>
    <t>0621</t>
  </si>
  <si>
    <t>唐剑飞</t>
  </si>
  <si>
    <t>制造质量部</t>
  </si>
  <si>
    <t>0622</t>
  </si>
  <si>
    <t>贾德志</t>
  </si>
  <si>
    <t>0623</t>
  </si>
  <si>
    <t>王佳旭</t>
  </si>
  <si>
    <t>0624</t>
  </si>
  <si>
    <t>孙鹤</t>
  </si>
  <si>
    <t>0625</t>
  </si>
  <si>
    <t>李国华</t>
  </si>
  <si>
    <t>0626</t>
  </si>
  <si>
    <t>何远阳</t>
  </si>
  <si>
    <t>0627</t>
  </si>
  <si>
    <t>何远文</t>
  </si>
  <si>
    <t>0628</t>
  </si>
  <si>
    <t>苏燕芳</t>
  </si>
  <si>
    <t>0629</t>
  </si>
  <si>
    <t>郭李平</t>
  </si>
  <si>
    <t>0632</t>
  </si>
  <si>
    <t>戴鹏飞</t>
  </si>
  <si>
    <t>0633</t>
  </si>
  <si>
    <t>王婷婷</t>
  </si>
  <si>
    <t>0634</t>
  </si>
  <si>
    <t>朱晓明</t>
  </si>
  <si>
    <t>0636</t>
  </si>
  <si>
    <t>金焰</t>
  </si>
  <si>
    <t>0637</t>
  </si>
  <si>
    <t>金爱华</t>
  </si>
  <si>
    <t>0638</t>
  </si>
  <si>
    <t>陈小克</t>
  </si>
  <si>
    <t>0639</t>
  </si>
  <si>
    <t>耿文涛</t>
  </si>
  <si>
    <t>0640</t>
  </si>
  <si>
    <t>江游</t>
  </si>
  <si>
    <t>0641</t>
  </si>
  <si>
    <t>林佳威</t>
  </si>
  <si>
    <t>0642</t>
  </si>
  <si>
    <t>刘伟</t>
  </si>
  <si>
    <t>0643</t>
  </si>
  <si>
    <t>尚东亮</t>
  </si>
  <si>
    <t>0644</t>
  </si>
  <si>
    <t>潘金刚</t>
  </si>
  <si>
    <t>0645</t>
  </si>
  <si>
    <t>彭映彩</t>
  </si>
  <si>
    <t>0646</t>
  </si>
  <si>
    <t>耿桂升</t>
  </si>
  <si>
    <t>0647</t>
  </si>
  <si>
    <t>孙红军</t>
  </si>
  <si>
    <t>0648</t>
  </si>
  <si>
    <t>冯剑英</t>
  </si>
  <si>
    <t>0649</t>
  </si>
  <si>
    <t>刘建芳</t>
  </si>
  <si>
    <t>0650</t>
  </si>
  <si>
    <t>时健</t>
  </si>
  <si>
    <t>0651</t>
  </si>
  <si>
    <t>陆建忠</t>
  </si>
  <si>
    <t>0652</t>
  </si>
  <si>
    <t>沈巍</t>
  </si>
  <si>
    <t>0653</t>
  </si>
  <si>
    <t>陈珍珠</t>
  </si>
  <si>
    <t>0654</t>
  </si>
  <si>
    <t>文燕</t>
  </si>
  <si>
    <t>0655</t>
  </si>
  <si>
    <t>徐嘉元</t>
  </si>
  <si>
    <t>0656</t>
  </si>
  <si>
    <t>曹辉清</t>
  </si>
  <si>
    <t>0657</t>
  </si>
  <si>
    <t>胡巍巍</t>
  </si>
  <si>
    <t>0658</t>
  </si>
  <si>
    <t>詹士增</t>
  </si>
  <si>
    <t>0659</t>
  </si>
  <si>
    <t>牛进文</t>
  </si>
  <si>
    <t>0660</t>
  </si>
  <si>
    <t>翟世强</t>
  </si>
  <si>
    <t>0661</t>
  </si>
  <si>
    <t>李一宸</t>
  </si>
  <si>
    <t>0662</t>
  </si>
  <si>
    <t>陆剑皓</t>
  </si>
  <si>
    <t>0663</t>
  </si>
  <si>
    <t>周艳华</t>
  </si>
  <si>
    <t>0664</t>
  </si>
  <si>
    <t>方港</t>
  </si>
  <si>
    <t>0665</t>
  </si>
  <si>
    <t>刘路遥</t>
  </si>
  <si>
    <t>0666</t>
  </si>
  <si>
    <t>位志波</t>
  </si>
  <si>
    <t>0667</t>
  </si>
  <si>
    <t>张高举</t>
  </si>
  <si>
    <t>0668</t>
  </si>
  <si>
    <t>蔡凤军</t>
  </si>
  <si>
    <t>0669</t>
  </si>
  <si>
    <t>何小琼</t>
  </si>
  <si>
    <t>0670</t>
  </si>
  <si>
    <t>贺毅飞</t>
  </si>
  <si>
    <t>0671</t>
  </si>
  <si>
    <t>张琼华</t>
  </si>
  <si>
    <t>0672</t>
  </si>
  <si>
    <t>胡东升</t>
  </si>
  <si>
    <t>0673</t>
  </si>
  <si>
    <t>杨静</t>
  </si>
  <si>
    <t>0674</t>
  </si>
  <si>
    <t>陈治国</t>
  </si>
  <si>
    <t>0675</t>
  </si>
  <si>
    <t>张红伟</t>
  </si>
  <si>
    <t>0676</t>
  </si>
  <si>
    <t>何双霞</t>
  </si>
  <si>
    <t>0677</t>
  </si>
  <si>
    <t>孙红霞</t>
  </si>
  <si>
    <t>0678</t>
  </si>
  <si>
    <t>蔡国飞</t>
  </si>
  <si>
    <t>0679</t>
  </si>
  <si>
    <t>段先凯</t>
  </si>
  <si>
    <t>0680</t>
  </si>
  <si>
    <t>刘庆飞</t>
  </si>
  <si>
    <t>0681</t>
  </si>
  <si>
    <t>张站松</t>
  </si>
  <si>
    <t>0682</t>
  </si>
  <si>
    <t>杨利洋</t>
  </si>
  <si>
    <t>0683</t>
  </si>
  <si>
    <t>朱志豪</t>
  </si>
  <si>
    <t>0684</t>
  </si>
  <si>
    <t>王贵成</t>
  </si>
  <si>
    <t>0685</t>
  </si>
  <si>
    <t>刘莲</t>
  </si>
  <si>
    <t>0686</t>
  </si>
  <si>
    <t>雷勇</t>
  </si>
  <si>
    <t>0687</t>
  </si>
  <si>
    <t>王冬冬</t>
  </si>
  <si>
    <t>0688</t>
  </si>
  <si>
    <t>曹猛</t>
  </si>
  <si>
    <t>0689</t>
  </si>
  <si>
    <t>付世冰</t>
  </si>
  <si>
    <t>0690</t>
  </si>
  <si>
    <t>杨科</t>
  </si>
  <si>
    <t>0691</t>
  </si>
  <si>
    <t>黄士章</t>
  </si>
  <si>
    <t>0692</t>
  </si>
  <si>
    <t>李顺</t>
  </si>
  <si>
    <t>0693</t>
  </si>
  <si>
    <t>岳克精</t>
  </si>
  <si>
    <t>0694</t>
  </si>
  <si>
    <t>于欢欢</t>
  </si>
  <si>
    <t>0695</t>
  </si>
  <si>
    <t>刘飞</t>
  </si>
  <si>
    <t>0696</t>
  </si>
  <si>
    <t>沈明浩</t>
  </si>
  <si>
    <t>0697</t>
  </si>
  <si>
    <t>潘燕</t>
  </si>
  <si>
    <t>0698</t>
  </si>
  <si>
    <t>杨爱琴</t>
  </si>
  <si>
    <t>0699</t>
  </si>
  <si>
    <t>史松松</t>
  </si>
  <si>
    <t>0700</t>
  </si>
  <si>
    <t>李刚</t>
  </si>
  <si>
    <t>0701</t>
  </si>
  <si>
    <t>何发章</t>
  </si>
  <si>
    <t>0702</t>
  </si>
  <si>
    <t>韩明宇</t>
  </si>
  <si>
    <t>0703</t>
  </si>
  <si>
    <t>陶磊</t>
  </si>
  <si>
    <t>0704</t>
  </si>
  <si>
    <t>刘万香</t>
  </si>
  <si>
    <t>0705</t>
  </si>
  <si>
    <t>郭振春</t>
  </si>
  <si>
    <t>0706</t>
  </si>
  <si>
    <t>苏斌</t>
  </si>
  <si>
    <t>0707</t>
  </si>
  <si>
    <t>刘秀岭</t>
  </si>
  <si>
    <t>0708</t>
  </si>
  <si>
    <t>韩明轩</t>
  </si>
  <si>
    <t>0709</t>
  </si>
  <si>
    <t>刘云</t>
  </si>
  <si>
    <t>0710</t>
  </si>
  <si>
    <t>谢伟</t>
  </si>
  <si>
    <t>0711</t>
  </si>
  <si>
    <t>林青</t>
  </si>
  <si>
    <t>0712</t>
  </si>
  <si>
    <t>王一帆</t>
  </si>
  <si>
    <t>0713</t>
  </si>
  <si>
    <t>何勇芳</t>
  </si>
  <si>
    <t>0714</t>
  </si>
  <si>
    <t>王春洪</t>
  </si>
  <si>
    <t>0715</t>
  </si>
  <si>
    <t>王昀</t>
  </si>
  <si>
    <t>0716</t>
  </si>
  <si>
    <t>倪军</t>
  </si>
  <si>
    <t>0717</t>
  </si>
  <si>
    <t>周熙玲</t>
  </si>
  <si>
    <t>0718</t>
  </si>
  <si>
    <t>齐亚梦</t>
  </si>
  <si>
    <t>0719</t>
  </si>
  <si>
    <t>孙高阳</t>
  </si>
  <si>
    <t>0720</t>
  </si>
  <si>
    <t>冯季林</t>
  </si>
  <si>
    <t>0721</t>
  </si>
  <si>
    <t>马登雄</t>
  </si>
  <si>
    <t>0722</t>
  </si>
  <si>
    <t>刘文兴</t>
  </si>
  <si>
    <t>0723</t>
  </si>
  <si>
    <t>曾祥油</t>
  </si>
  <si>
    <t>0724</t>
  </si>
  <si>
    <t>陈东风</t>
  </si>
  <si>
    <t>0725</t>
  </si>
  <si>
    <t>郭凤得</t>
  </si>
  <si>
    <t>0726</t>
  </si>
  <si>
    <t>李阳杰</t>
  </si>
  <si>
    <t>0727</t>
  </si>
  <si>
    <t>高磊</t>
  </si>
  <si>
    <t>0728</t>
  </si>
  <si>
    <t>朱冬明</t>
  </si>
  <si>
    <t>0729</t>
  </si>
  <si>
    <t>陆永全</t>
  </si>
  <si>
    <t>0730</t>
  </si>
  <si>
    <t>朱成</t>
  </si>
  <si>
    <t>0731</t>
  </si>
  <si>
    <t>梁朝容</t>
  </si>
  <si>
    <t>0732</t>
  </si>
  <si>
    <t>万宇环</t>
  </si>
  <si>
    <t>0733</t>
  </si>
  <si>
    <t>郭亚伟</t>
  </si>
  <si>
    <t>0734</t>
  </si>
  <si>
    <t>蔡育成</t>
  </si>
  <si>
    <t>0735</t>
  </si>
  <si>
    <t>侯彦青</t>
  </si>
  <si>
    <t>0736</t>
  </si>
  <si>
    <t>王鹏</t>
  </si>
  <si>
    <t>0737</t>
  </si>
  <si>
    <t>陈文峰</t>
  </si>
  <si>
    <t>0738</t>
  </si>
  <si>
    <t>徐元明</t>
  </si>
  <si>
    <t>0739</t>
  </si>
  <si>
    <t>廖少怀</t>
  </si>
  <si>
    <t>0740</t>
  </si>
  <si>
    <t>何世雄</t>
  </si>
  <si>
    <t>0741</t>
  </si>
  <si>
    <t>何瑞强</t>
  </si>
  <si>
    <t>0742</t>
  </si>
  <si>
    <t>王亚军</t>
  </si>
  <si>
    <t>0743</t>
  </si>
  <si>
    <t>雷修民</t>
  </si>
  <si>
    <t>0744</t>
  </si>
  <si>
    <t>王小标</t>
  </si>
  <si>
    <t>0745</t>
  </si>
  <si>
    <t>张武</t>
  </si>
  <si>
    <t>0746</t>
  </si>
  <si>
    <t>何芝红</t>
  </si>
  <si>
    <t>0747</t>
  </si>
  <si>
    <t>孙猛</t>
  </si>
  <si>
    <t>0748</t>
  </si>
  <si>
    <t>冉海荣</t>
  </si>
  <si>
    <t>0749</t>
  </si>
  <si>
    <t>何文祥</t>
  </si>
  <si>
    <t>0750</t>
  </si>
  <si>
    <t>陈虎</t>
  </si>
  <si>
    <t>0751</t>
  </si>
  <si>
    <t>程武</t>
  </si>
  <si>
    <t>0752</t>
  </si>
  <si>
    <t>任小钢</t>
  </si>
  <si>
    <t>0753</t>
  </si>
  <si>
    <t>江虎</t>
  </si>
  <si>
    <t>0754</t>
  </si>
  <si>
    <t>宋羽翼</t>
  </si>
  <si>
    <t>0755</t>
  </si>
  <si>
    <t>郑星飞</t>
  </si>
  <si>
    <t>0756</t>
  </si>
  <si>
    <t>王成兵</t>
  </si>
  <si>
    <t>0758</t>
  </si>
  <si>
    <t>郑艳明</t>
  </si>
  <si>
    <t>0760</t>
  </si>
  <si>
    <t>赵义俊</t>
  </si>
  <si>
    <t>0761</t>
  </si>
  <si>
    <t>张叶</t>
  </si>
  <si>
    <t>0762</t>
  </si>
  <si>
    <t>李敬山</t>
  </si>
  <si>
    <t>0763</t>
  </si>
  <si>
    <t>卜电业</t>
  </si>
  <si>
    <t>0764</t>
  </si>
  <si>
    <t>毕诗翔</t>
  </si>
  <si>
    <t>0765</t>
  </si>
  <si>
    <t>蔡丽楠</t>
  </si>
  <si>
    <t>0766</t>
  </si>
  <si>
    <t>姬健</t>
  </si>
  <si>
    <t>0767</t>
  </si>
  <si>
    <t>方天全</t>
  </si>
  <si>
    <t>0768</t>
  </si>
  <si>
    <t>余旭东</t>
  </si>
  <si>
    <t>0769</t>
  </si>
  <si>
    <t>张洪源</t>
  </si>
  <si>
    <t>0770</t>
  </si>
  <si>
    <t>朱健</t>
  </si>
  <si>
    <t>0771</t>
  </si>
  <si>
    <t>王少钦</t>
  </si>
  <si>
    <t>0772</t>
  </si>
  <si>
    <t>0773</t>
  </si>
  <si>
    <t>王圣松</t>
  </si>
  <si>
    <t>0774</t>
  </si>
  <si>
    <t>李生宽</t>
  </si>
  <si>
    <t>0775</t>
  </si>
  <si>
    <t>彭群辉</t>
  </si>
  <si>
    <t>0776</t>
  </si>
  <si>
    <t>林鑫-离职</t>
  </si>
  <si>
    <t>0777</t>
  </si>
  <si>
    <t>义志和</t>
  </si>
  <si>
    <t>0778</t>
  </si>
  <si>
    <t>黄智勇</t>
  </si>
  <si>
    <t>0779</t>
  </si>
  <si>
    <t>刘成云</t>
  </si>
  <si>
    <t>0780</t>
  </si>
  <si>
    <t>陈维国</t>
  </si>
  <si>
    <t>0781</t>
  </si>
  <si>
    <t>李树德</t>
  </si>
  <si>
    <t>0782</t>
  </si>
  <si>
    <t>袁洪平</t>
  </si>
  <si>
    <t>0783</t>
  </si>
  <si>
    <t>义智君</t>
  </si>
  <si>
    <t>0784</t>
  </si>
  <si>
    <t>李维领</t>
  </si>
  <si>
    <t>0785</t>
  </si>
  <si>
    <t>王俊俊</t>
  </si>
  <si>
    <t>0786</t>
  </si>
  <si>
    <t>陈红新</t>
  </si>
  <si>
    <t>0787</t>
  </si>
  <si>
    <t>陈怀东</t>
  </si>
  <si>
    <t>0788</t>
  </si>
  <si>
    <t>陈祥伟</t>
  </si>
  <si>
    <t>0789</t>
  </si>
  <si>
    <t>单乾坤</t>
  </si>
  <si>
    <t>0790</t>
  </si>
  <si>
    <t>王明</t>
  </si>
  <si>
    <t>0791</t>
  </si>
  <si>
    <t>0792</t>
  </si>
  <si>
    <t>王晓飞</t>
  </si>
  <si>
    <t>0793</t>
  </si>
  <si>
    <t>苏沈华</t>
  </si>
  <si>
    <t>0794</t>
  </si>
  <si>
    <t>李正青</t>
  </si>
  <si>
    <t>0795</t>
  </si>
  <si>
    <t>郭瑞奇</t>
  </si>
  <si>
    <t>0796</t>
  </si>
  <si>
    <t>周韧</t>
  </si>
  <si>
    <t>0797</t>
  </si>
  <si>
    <t>顾宇杰</t>
  </si>
  <si>
    <t>0798</t>
  </si>
  <si>
    <t>彭小雨</t>
  </si>
  <si>
    <t>0799</t>
  </si>
  <si>
    <t>金磊</t>
  </si>
  <si>
    <t>0800</t>
  </si>
  <si>
    <t>化新友</t>
  </si>
  <si>
    <t>0801</t>
  </si>
  <si>
    <t>柳丹宇</t>
  </si>
  <si>
    <t>0802</t>
  </si>
  <si>
    <t>马财春</t>
  </si>
  <si>
    <t>0803</t>
  </si>
  <si>
    <t>晏闯</t>
  </si>
  <si>
    <t>0804</t>
  </si>
  <si>
    <t>庄壮</t>
  </si>
  <si>
    <t>0805</t>
  </si>
  <si>
    <t>孙广旭</t>
  </si>
  <si>
    <t>0806</t>
  </si>
  <si>
    <t>徐宝成</t>
  </si>
  <si>
    <t>0807</t>
  </si>
  <si>
    <t>毛驰航</t>
  </si>
  <si>
    <t>0808</t>
  </si>
  <si>
    <t>孙遨</t>
  </si>
  <si>
    <t>0809</t>
  </si>
  <si>
    <t>田发旭</t>
  </si>
  <si>
    <t>0810</t>
  </si>
  <si>
    <t>周泽</t>
  </si>
  <si>
    <t>0811</t>
  </si>
  <si>
    <t>黎海波</t>
  </si>
  <si>
    <t>0812</t>
  </si>
  <si>
    <t>高波</t>
  </si>
  <si>
    <t>0813</t>
  </si>
  <si>
    <t>杨春雨</t>
  </si>
  <si>
    <t>0814</t>
  </si>
  <si>
    <t>常振敏</t>
  </si>
  <si>
    <t>0815</t>
  </si>
  <si>
    <t>罗维祯</t>
  </si>
  <si>
    <t>0816</t>
  </si>
  <si>
    <t>吴冰</t>
  </si>
  <si>
    <t>0817</t>
  </si>
  <si>
    <t>杜丹</t>
  </si>
  <si>
    <t>0818</t>
  </si>
  <si>
    <t>陈丹</t>
  </si>
  <si>
    <t>0819</t>
  </si>
  <si>
    <t>赫连晓倩</t>
  </si>
  <si>
    <t>0820</t>
  </si>
  <si>
    <t>过佩文</t>
  </si>
  <si>
    <t>0821</t>
  </si>
  <si>
    <t>周忠明</t>
  </si>
  <si>
    <t>0822</t>
  </si>
  <si>
    <t>周边炜</t>
  </si>
  <si>
    <t>0823</t>
  </si>
  <si>
    <t>吕智刚</t>
  </si>
  <si>
    <t>0824</t>
  </si>
  <si>
    <t>蔡中刚</t>
  </si>
  <si>
    <t>0825</t>
  </si>
  <si>
    <t>张慈顺</t>
  </si>
  <si>
    <t>0826</t>
  </si>
  <si>
    <t>刘钢强</t>
  </si>
  <si>
    <t>0827</t>
  </si>
  <si>
    <t>邵贺朋</t>
  </si>
  <si>
    <t>0828</t>
  </si>
  <si>
    <t>李晓沛</t>
  </si>
  <si>
    <t>0829</t>
  </si>
  <si>
    <t>袁野</t>
  </si>
  <si>
    <t>0830</t>
  </si>
  <si>
    <t>刘继豪</t>
  </si>
  <si>
    <t>0831</t>
  </si>
  <si>
    <t>范同云</t>
  </si>
  <si>
    <t>0832</t>
  </si>
  <si>
    <t>董磊</t>
  </si>
  <si>
    <t>0833</t>
  </si>
  <si>
    <t>陈开勇</t>
  </si>
  <si>
    <t>0834</t>
  </si>
  <si>
    <t>义海青</t>
  </si>
  <si>
    <t>0835</t>
  </si>
  <si>
    <t>廉鹏</t>
  </si>
  <si>
    <t>0836</t>
  </si>
  <si>
    <t>张金顺</t>
  </si>
  <si>
    <t>0837</t>
  </si>
  <si>
    <t>张克胜</t>
  </si>
  <si>
    <t>0838</t>
  </si>
  <si>
    <t>石勇要</t>
  </si>
  <si>
    <t>0839</t>
  </si>
  <si>
    <t>耿朋</t>
  </si>
  <si>
    <t>0840</t>
  </si>
  <si>
    <t>李肖俊</t>
  </si>
  <si>
    <t>0841</t>
  </si>
  <si>
    <t>智荣坤</t>
  </si>
  <si>
    <t>0842</t>
  </si>
  <si>
    <t>韩龙平</t>
  </si>
  <si>
    <t>0843</t>
  </si>
  <si>
    <t>何如华</t>
  </si>
  <si>
    <t>0844</t>
  </si>
  <si>
    <t>邱智民</t>
  </si>
  <si>
    <t>0845</t>
  </si>
  <si>
    <t>张付龙</t>
  </si>
  <si>
    <t>0846</t>
  </si>
  <si>
    <t>周云龙</t>
  </si>
  <si>
    <t>0847</t>
  </si>
  <si>
    <t>莫燕玲</t>
  </si>
  <si>
    <t>0848</t>
  </si>
  <si>
    <t>钱光锦</t>
  </si>
  <si>
    <t>0849</t>
  </si>
  <si>
    <t>刘恩志</t>
  </si>
  <si>
    <t>0850</t>
  </si>
  <si>
    <t>石恒胜</t>
  </si>
  <si>
    <t>0851</t>
  </si>
  <si>
    <t>李凤祥</t>
  </si>
  <si>
    <t>0852</t>
  </si>
  <si>
    <t>叶小伟</t>
  </si>
  <si>
    <t>0853</t>
  </si>
  <si>
    <t>吉东升</t>
  </si>
  <si>
    <t>0854</t>
  </si>
  <si>
    <t>李峰</t>
  </si>
  <si>
    <t>0855</t>
  </si>
  <si>
    <t>徐顺阳</t>
  </si>
  <si>
    <t>0856</t>
  </si>
  <si>
    <t>叶鑫</t>
  </si>
  <si>
    <t>0857</t>
  </si>
  <si>
    <t>高俊</t>
  </si>
  <si>
    <t>0858</t>
  </si>
  <si>
    <t>万孝远</t>
  </si>
  <si>
    <t>0859</t>
  </si>
  <si>
    <t>曹磊</t>
  </si>
  <si>
    <t>0860</t>
  </si>
  <si>
    <t>李宝军</t>
  </si>
  <si>
    <t>0861</t>
  </si>
  <si>
    <t>王大东</t>
  </si>
  <si>
    <t>0862</t>
  </si>
  <si>
    <t>王许伟</t>
  </si>
  <si>
    <t>0863</t>
  </si>
  <si>
    <t>王海峰</t>
  </si>
  <si>
    <t>0864</t>
  </si>
  <si>
    <t>刘志</t>
  </si>
  <si>
    <t>0865</t>
  </si>
  <si>
    <t>刘艳华</t>
  </si>
  <si>
    <t>0866</t>
  </si>
  <si>
    <t>赵晓光</t>
  </si>
  <si>
    <t>0867</t>
  </si>
  <si>
    <t>霍爱兰</t>
  </si>
  <si>
    <t>0868</t>
  </si>
  <si>
    <t>范光全</t>
  </si>
  <si>
    <t>0869</t>
  </si>
  <si>
    <t>段青</t>
  </si>
  <si>
    <t>0870</t>
  </si>
  <si>
    <t>刘宗伍</t>
  </si>
  <si>
    <t>0871</t>
  </si>
  <si>
    <t>孙标标</t>
  </si>
  <si>
    <t>0872</t>
  </si>
  <si>
    <t>苏仕强</t>
  </si>
  <si>
    <t>0873</t>
  </si>
  <si>
    <t>母元超</t>
  </si>
  <si>
    <t>0874</t>
  </si>
  <si>
    <t>赵欢欢</t>
  </si>
  <si>
    <t>0875</t>
  </si>
  <si>
    <t>刘洋</t>
  </si>
  <si>
    <t>0876</t>
  </si>
  <si>
    <t>杨建华</t>
  </si>
  <si>
    <t>0877</t>
  </si>
  <si>
    <t>才晓莉</t>
  </si>
  <si>
    <t>0878</t>
  </si>
  <si>
    <t>张英豪</t>
  </si>
  <si>
    <t>0879</t>
  </si>
  <si>
    <t>文鹏</t>
  </si>
  <si>
    <t>0880</t>
  </si>
  <si>
    <t>熊彬</t>
  </si>
  <si>
    <t>0881</t>
  </si>
  <si>
    <t>孙培</t>
  </si>
  <si>
    <t>0882</t>
  </si>
  <si>
    <t>王建</t>
  </si>
  <si>
    <t>0883</t>
  </si>
  <si>
    <t>陶烨</t>
  </si>
  <si>
    <t>0884</t>
  </si>
  <si>
    <t>李先进</t>
  </si>
  <si>
    <t>0885</t>
  </si>
  <si>
    <t>康洹铨</t>
  </si>
  <si>
    <t>0886</t>
  </si>
  <si>
    <t>涂龙兵</t>
  </si>
  <si>
    <t>0887</t>
  </si>
  <si>
    <t>邵先付</t>
  </si>
  <si>
    <t>0888</t>
  </si>
  <si>
    <t>王盛</t>
  </si>
  <si>
    <t>0889</t>
  </si>
  <si>
    <t>0890</t>
  </si>
  <si>
    <t>陈凌峰</t>
  </si>
  <si>
    <t>0891</t>
  </si>
  <si>
    <t>于长坤</t>
  </si>
  <si>
    <t>0892</t>
  </si>
  <si>
    <t>孙浩</t>
  </si>
  <si>
    <t>0893</t>
  </si>
  <si>
    <t>唐德循</t>
  </si>
  <si>
    <t>0894</t>
  </si>
  <si>
    <t>侯振博</t>
  </si>
  <si>
    <t>0895</t>
  </si>
  <si>
    <t>顾洋</t>
  </si>
  <si>
    <t>0896</t>
  </si>
  <si>
    <t>刘亚</t>
  </si>
  <si>
    <t>0897</t>
  </si>
  <si>
    <t>朱晓鹏</t>
  </si>
  <si>
    <t>0898</t>
  </si>
  <si>
    <t>倪军之</t>
  </si>
  <si>
    <t>0899</t>
  </si>
  <si>
    <t>夏伟明</t>
  </si>
  <si>
    <t>0900</t>
  </si>
  <si>
    <t>申兰贵</t>
  </si>
  <si>
    <t>0901</t>
  </si>
  <si>
    <t>何志伟</t>
  </si>
  <si>
    <t>0902</t>
  </si>
  <si>
    <t>吴梦杰</t>
  </si>
  <si>
    <t>0903</t>
  </si>
  <si>
    <t>张李宏</t>
  </si>
  <si>
    <t>0904</t>
  </si>
  <si>
    <t>王小斌</t>
  </si>
  <si>
    <t>0905</t>
  </si>
  <si>
    <t>任军</t>
  </si>
  <si>
    <t>0906</t>
  </si>
  <si>
    <t>黄名文</t>
  </si>
  <si>
    <t>0907</t>
  </si>
  <si>
    <t>李金龙</t>
  </si>
  <si>
    <t>0908</t>
  </si>
  <si>
    <t>魏昊</t>
  </si>
  <si>
    <t>0909</t>
  </si>
  <si>
    <t>张明辉</t>
  </si>
  <si>
    <t>0910</t>
  </si>
  <si>
    <t>关鹏飞</t>
  </si>
  <si>
    <t>0911</t>
  </si>
  <si>
    <t>何力明</t>
  </si>
  <si>
    <t>0912</t>
  </si>
  <si>
    <t>龙勇亮</t>
  </si>
  <si>
    <t>0913</t>
  </si>
  <si>
    <t>朱文锋</t>
  </si>
  <si>
    <t>0914</t>
  </si>
  <si>
    <t>赵志情</t>
  </si>
  <si>
    <t>0915</t>
  </si>
  <si>
    <t>李见锋</t>
  </si>
  <si>
    <t>0916</t>
  </si>
  <si>
    <t>季凌雨</t>
  </si>
  <si>
    <t>0917</t>
  </si>
  <si>
    <t>张家铭</t>
  </si>
  <si>
    <t>0918</t>
  </si>
  <si>
    <t>桂丽萍</t>
  </si>
  <si>
    <t>0919</t>
  </si>
  <si>
    <t>石立伟</t>
  </si>
  <si>
    <t>0920</t>
  </si>
  <si>
    <t>余清云</t>
  </si>
  <si>
    <t>0921</t>
  </si>
  <si>
    <t>李魁</t>
  </si>
  <si>
    <t>0922</t>
  </si>
  <si>
    <t>肖辉</t>
  </si>
  <si>
    <t>0923</t>
  </si>
  <si>
    <t>顾靖中</t>
  </si>
  <si>
    <t>0924</t>
  </si>
  <si>
    <t>张金周</t>
  </si>
  <si>
    <t>0925</t>
  </si>
  <si>
    <t>陈书峰</t>
  </si>
  <si>
    <t>0926</t>
  </si>
  <si>
    <t>熊亚柳</t>
  </si>
  <si>
    <t>0927</t>
  </si>
  <si>
    <t>赵宏巍</t>
  </si>
  <si>
    <t>0928</t>
  </si>
  <si>
    <t>庄浩伟</t>
  </si>
  <si>
    <t>0929</t>
  </si>
  <si>
    <t>常伟超</t>
  </si>
  <si>
    <t>0930</t>
  </si>
  <si>
    <t>张菊华</t>
  </si>
  <si>
    <t>0931</t>
  </si>
  <si>
    <t>雷玉</t>
  </si>
  <si>
    <t>0932</t>
  </si>
  <si>
    <t>向海洋</t>
  </si>
  <si>
    <t>0933</t>
  </si>
  <si>
    <t>高明新</t>
  </si>
  <si>
    <t>0934</t>
  </si>
  <si>
    <t>周骏</t>
  </si>
  <si>
    <t>0935</t>
  </si>
  <si>
    <t>昝家锡</t>
  </si>
  <si>
    <t>0936</t>
  </si>
  <si>
    <t>周立峰重复撤掉</t>
  </si>
  <si>
    <t>0937</t>
  </si>
  <si>
    <t>李婉娣</t>
  </si>
  <si>
    <t>0938</t>
  </si>
  <si>
    <t>徐军伟</t>
  </si>
  <si>
    <t>0939</t>
  </si>
  <si>
    <t>顾峰燕</t>
  </si>
  <si>
    <t>0940</t>
  </si>
  <si>
    <t>王永念</t>
  </si>
  <si>
    <t>0941</t>
  </si>
  <si>
    <t>刘永强</t>
  </si>
  <si>
    <t>0942</t>
  </si>
  <si>
    <t>冯金凯</t>
  </si>
  <si>
    <t>0943</t>
  </si>
  <si>
    <t>文高锋</t>
  </si>
  <si>
    <t>0944</t>
  </si>
  <si>
    <t>曹子震</t>
  </si>
  <si>
    <t>0945</t>
  </si>
  <si>
    <t>陆震宇</t>
  </si>
  <si>
    <t>0946</t>
  </si>
  <si>
    <t>岳杰</t>
  </si>
  <si>
    <t>0947</t>
  </si>
  <si>
    <t>刘建富</t>
  </si>
  <si>
    <t>0948</t>
  </si>
  <si>
    <t>王松庆</t>
  </si>
  <si>
    <t>0949</t>
  </si>
  <si>
    <t>计纯玉</t>
  </si>
  <si>
    <t>0950</t>
  </si>
  <si>
    <t>王振清</t>
  </si>
  <si>
    <t>0951</t>
  </si>
  <si>
    <t>刘秀博</t>
  </si>
  <si>
    <t>0952</t>
  </si>
  <si>
    <t>朱纯</t>
  </si>
  <si>
    <t>0953</t>
  </si>
  <si>
    <t>吴远仁</t>
  </si>
  <si>
    <t>0954</t>
  </si>
  <si>
    <t>骆守斌</t>
  </si>
  <si>
    <t>0955</t>
  </si>
  <si>
    <t>罗明亮</t>
  </si>
  <si>
    <t>0956</t>
  </si>
  <si>
    <t>汪建红</t>
  </si>
  <si>
    <t>0957</t>
  </si>
  <si>
    <t>张月华</t>
  </si>
  <si>
    <t>0958</t>
  </si>
  <si>
    <t>吴思豪</t>
  </si>
  <si>
    <t>0959</t>
  </si>
  <si>
    <t>赵金刚</t>
  </si>
  <si>
    <t>0960</t>
  </si>
  <si>
    <t>孙鹏</t>
  </si>
  <si>
    <t>0961</t>
  </si>
  <si>
    <t>岳玉林</t>
  </si>
  <si>
    <t>0962</t>
  </si>
  <si>
    <t>严凤根</t>
  </si>
  <si>
    <t>0963</t>
  </si>
  <si>
    <t>杨斌</t>
  </si>
  <si>
    <t>0964</t>
  </si>
  <si>
    <t>石团</t>
  </si>
  <si>
    <t>0965</t>
  </si>
  <si>
    <t>林鹏</t>
  </si>
  <si>
    <t>0966</t>
  </si>
  <si>
    <t>吴宗勇</t>
  </si>
  <si>
    <t>0967</t>
  </si>
  <si>
    <t>周家良</t>
  </si>
  <si>
    <t>0968</t>
  </si>
  <si>
    <t>朱艳波</t>
  </si>
  <si>
    <t>0969</t>
  </si>
  <si>
    <t>田乐</t>
  </si>
  <si>
    <t>0970</t>
  </si>
  <si>
    <t>王鹏瑞</t>
  </si>
  <si>
    <t>0971</t>
  </si>
  <si>
    <t>侯忠奇</t>
  </si>
  <si>
    <t>0972</t>
  </si>
  <si>
    <t>徐祖军</t>
  </si>
  <si>
    <t>0973</t>
  </si>
  <si>
    <t>李壮</t>
  </si>
  <si>
    <t>0974</t>
  </si>
  <si>
    <t>岳春</t>
  </si>
  <si>
    <t>0975</t>
  </si>
  <si>
    <t>岳长江</t>
  </si>
  <si>
    <t>0976</t>
  </si>
  <si>
    <t>鲁小挑</t>
  </si>
  <si>
    <t>0977</t>
  </si>
  <si>
    <t>王超</t>
  </si>
  <si>
    <t>0978</t>
  </si>
  <si>
    <t>鲁省委</t>
  </si>
  <si>
    <t>0979</t>
  </si>
  <si>
    <t>陈庆</t>
  </si>
  <si>
    <t>0980</t>
  </si>
  <si>
    <t>卢宇坤</t>
  </si>
  <si>
    <t>0981</t>
  </si>
  <si>
    <t>史秀海</t>
  </si>
  <si>
    <t>0982</t>
  </si>
  <si>
    <t>贾帅</t>
  </si>
  <si>
    <t>0983</t>
  </si>
  <si>
    <t>袁和平</t>
  </si>
  <si>
    <t>0984</t>
  </si>
  <si>
    <t>雷娜娜</t>
  </si>
  <si>
    <t>0985</t>
  </si>
  <si>
    <t>刘洁</t>
  </si>
  <si>
    <t>0986</t>
  </si>
  <si>
    <t>曹赛赛</t>
  </si>
  <si>
    <t>0987</t>
  </si>
  <si>
    <t>郭本月</t>
  </si>
  <si>
    <t>0988</t>
  </si>
  <si>
    <t>朱玉琴</t>
  </si>
  <si>
    <t>0989</t>
  </si>
  <si>
    <t>韩淑苹</t>
  </si>
  <si>
    <t>0990</t>
  </si>
  <si>
    <t>孙显武</t>
  </si>
  <si>
    <t>0991</t>
  </si>
  <si>
    <t>刘福青</t>
  </si>
  <si>
    <t>0992</t>
  </si>
  <si>
    <t>徐金球</t>
  </si>
  <si>
    <t>0993</t>
  </si>
  <si>
    <t>严丽霞</t>
  </si>
  <si>
    <t>0994</t>
  </si>
  <si>
    <t>宋昱辰</t>
  </si>
  <si>
    <t>0995</t>
  </si>
  <si>
    <t>陈进和</t>
  </si>
  <si>
    <t>0996</t>
  </si>
  <si>
    <t>庄文杰</t>
  </si>
  <si>
    <t>0997</t>
  </si>
  <si>
    <t>陆兴华</t>
  </si>
  <si>
    <t>0998</t>
  </si>
  <si>
    <t>俞志平</t>
  </si>
  <si>
    <t>0999</t>
  </si>
  <si>
    <t>王凯</t>
  </si>
  <si>
    <t>1000</t>
  </si>
  <si>
    <t>何康</t>
  </si>
  <si>
    <t>1001</t>
  </si>
  <si>
    <t>王晓明</t>
  </si>
  <si>
    <t>1002</t>
  </si>
  <si>
    <t>郭占锋</t>
  </si>
  <si>
    <t>1003</t>
  </si>
  <si>
    <t>张建</t>
  </si>
  <si>
    <t>1004</t>
  </si>
  <si>
    <t>臧春之</t>
  </si>
  <si>
    <t>1005</t>
  </si>
  <si>
    <t>刘波</t>
  </si>
  <si>
    <t>1006</t>
  </si>
  <si>
    <t>施华怡</t>
  </si>
  <si>
    <t>1007</t>
  </si>
  <si>
    <t>谭贵华</t>
  </si>
  <si>
    <t>1008</t>
  </si>
  <si>
    <t>舒思凡</t>
  </si>
  <si>
    <t>1009</t>
  </si>
  <si>
    <t>石文辉</t>
  </si>
  <si>
    <t>1010</t>
  </si>
  <si>
    <t>于孔帅</t>
  </si>
  <si>
    <t>1011</t>
  </si>
  <si>
    <t>李梁</t>
  </si>
  <si>
    <t>1012</t>
  </si>
  <si>
    <t>周金花</t>
  </si>
  <si>
    <t>1013</t>
  </si>
  <si>
    <t>唐培位</t>
  </si>
  <si>
    <t>1014</t>
  </si>
  <si>
    <t>夏明阳</t>
  </si>
  <si>
    <t>1015</t>
  </si>
  <si>
    <t>朱庆智</t>
  </si>
  <si>
    <t>1016</t>
  </si>
  <si>
    <t>吕才志</t>
  </si>
  <si>
    <t>1017</t>
  </si>
  <si>
    <t>郭彬</t>
  </si>
  <si>
    <t>1018</t>
  </si>
  <si>
    <t>李超振</t>
  </si>
  <si>
    <t>1019</t>
  </si>
  <si>
    <t>刘新明</t>
  </si>
  <si>
    <t>1020</t>
  </si>
  <si>
    <t>吴丹</t>
  </si>
  <si>
    <t>1021</t>
  </si>
  <si>
    <t>张玉奇</t>
  </si>
  <si>
    <t>1022</t>
  </si>
  <si>
    <t>刘宇晴</t>
  </si>
  <si>
    <t>1023</t>
  </si>
  <si>
    <t>张欠</t>
  </si>
  <si>
    <t>1024</t>
  </si>
  <si>
    <t>王雷</t>
  </si>
  <si>
    <t>1025</t>
  </si>
  <si>
    <t>申海生</t>
  </si>
  <si>
    <t>1026</t>
  </si>
  <si>
    <t>王亭亭</t>
  </si>
  <si>
    <t>1027</t>
  </si>
  <si>
    <t>宫青伟</t>
  </si>
  <si>
    <t>1028</t>
  </si>
  <si>
    <t>赵勇</t>
  </si>
  <si>
    <t>1029</t>
  </si>
  <si>
    <t>张景阳</t>
  </si>
  <si>
    <t>1030</t>
  </si>
  <si>
    <t>朱家伟</t>
  </si>
  <si>
    <t>1031</t>
  </si>
  <si>
    <t>李风风</t>
  </si>
  <si>
    <t>1032</t>
  </si>
  <si>
    <t>陈真</t>
  </si>
  <si>
    <t>1033</t>
  </si>
  <si>
    <t>孙创</t>
  </si>
  <si>
    <t>1034</t>
  </si>
  <si>
    <t>代亮珍</t>
  </si>
  <si>
    <t>1035</t>
  </si>
  <si>
    <t>王祥帅</t>
  </si>
  <si>
    <t>1037</t>
  </si>
  <si>
    <t>李韬</t>
  </si>
  <si>
    <t>1038</t>
  </si>
  <si>
    <t>陈巍</t>
  </si>
  <si>
    <t>1039</t>
  </si>
  <si>
    <t>1040</t>
  </si>
  <si>
    <t>刘春</t>
  </si>
  <si>
    <t>1041</t>
  </si>
  <si>
    <t>朱继兵</t>
  </si>
  <si>
    <t>1042</t>
  </si>
  <si>
    <t>尹芯茹</t>
  </si>
  <si>
    <t>1043</t>
  </si>
  <si>
    <t>胡丹楠</t>
  </si>
  <si>
    <t>1044</t>
  </si>
  <si>
    <t>付文明</t>
  </si>
  <si>
    <t>1045</t>
  </si>
  <si>
    <t>龚磊</t>
  </si>
  <si>
    <t>1046</t>
  </si>
  <si>
    <t>汪红军</t>
  </si>
  <si>
    <t>1047</t>
  </si>
  <si>
    <t>张伟志</t>
  </si>
  <si>
    <t>1048</t>
  </si>
  <si>
    <t>费德奎</t>
  </si>
  <si>
    <t>1049</t>
  </si>
  <si>
    <t>1050</t>
  </si>
  <si>
    <t>王志国</t>
  </si>
  <si>
    <t>1051</t>
  </si>
  <si>
    <t>沈夏丽</t>
  </si>
  <si>
    <t>1052</t>
  </si>
  <si>
    <t>阎力</t>
  </si>
  <si>
    <t>1053</t>
  </si>
  <si>
    <t>王洪吉</t>
  </si>
  <si>
    <t>1054</t>
  </si>
  <si>
    <t>李兴雨</t>
  </si>
  <si>
    <t>1055</t>
  </si>
  <si>
    <t>孙乐乐</t>
  </si>
  <si>
    <t>1056</t>
  </si>
  <si>
    <t>刘翔</t>
  </si>
  <si>
    <t>1057</t>
  </si>
  <si>
    <t>谭涛</t>
  </si>
  <si>
    <t>1058</t>
  </si>
  <si>
    <t>李伟</t>
  </si>
  <si>
    <t>1059</t>
  </si>
  <si>
    <t>薛宇</t>
  </si>
  <si>
    <t>1060</t>
  </si>
  <si>
    <t>雷瀚</t>
  </si>
  <si>
    <t>1061</t>
  </si>
  <si>
    <t>张博</t>
  </si>
  <si>
    <t>1062</t>
  </si>
  <si>
    <t>石雨</t>
  </si>
  <si>
    <t>1063</t>
  </si>
  <si>
    <t>王俊超</t>
  </si>
  <si>
    <t>1064</t>
  </si>
  <si>
    <t>陈尧</t>
  </si>
  <si>
    <t>1065</t>
  </si>
  <si>
    <t>刘思思</t>
  </si>
  <si>
    <t>1066</t>
  </si>
  <si>
    <t>吴俊杰</t>
  </si>
  <si>
    <t>1067</t>
  </si>
  <si>
    <t>张舒</t>
  </si>
  <si>
    <t>1068</t>
  </si>
  <si>
    <t>薛俊荣</t>
  </si>
  <si>
    <t>1069</t>
  </si>
  <si>
    <t>赵国栋</t>
  </si>
  <si>
    <t>1070</t>
  </si>
  <si>
    <t>孙锐</t>
  </si>
  <si>
    <t>1071</t>
  </si>
  <si>
    <t>刘军</t>
  </si>
  <si>
    <t>1072</t>
  </si>
  <si>
    <t>李有强</t>
  </si>
  <si>
    <t>1073</t>
  </si>
  <si>
    <t>曹建峰</t>
  </si>
  <si>
    <t>1074</t>
  </si>
  <si>
    <t>杨鑫华</t>
  </si>
  <si>
    <t>1075</t>
  </si>
  <si>
    <t>王兴</t>
  </si>
  <si>
    <t>1076</t>
  </si>
  <si>
    <t>张志文</t>
  </si>
  <si>
    <t>1077</t>
  </si>
  <si>
    <t>刘通</t>
  </si>
  <si>
    <t>1078</t>
  </si>
  <si>
    <t>钱煜炜</t>
  </si>
  <si>
    <t>1079</t>
  </si>
  <si>
    <t>朱建楠</t>
  </si>
  <si>
    <t>1080</t>
  </si>
  <si>
    <t>魏国龙</t>
  </si>
  <si>
    <t>1081</t>
  </si>
  <si>
    <t>刘少勇</t>
  </si>
  <si>
    <t>1082</t>
  </si>
  <si>
    <t>王德银</t>
  </si>
  <si>
    <t>1083</t>
  </si>
  <si>
    <t>刘锐</t>
  </si>
  <si>
    <t>1084</t>
  </si>
  <si>
    <t>周振威</t>
  </si>
  <si>
    <t>1085</t>
  </si>
  <si>
    <t>董亚卓</t>
  </si>
  <si>
    <t>1086</t>
  </si>
  <si>
    <t>沈大威</t>
  </si>
  <si>
    <t>1087</t>
  </si>
  <si>
    <t>李董颉</t>
  </si>
  <si>
    <t>1088</t>
  </si>
  <si>
    <t>韩雷</t>
  </si>
  <si>
    <t>1089</t>
  </si>
  <si>
    <t>何建章</t>
  </si>
  <si>
    <t>1090</t>
  </si>
  <si>
    <t>刘成勋</t>
  </si>
  <si>
    <t>1091</t>
  </si>
  <si>
    <t>邓文平</t>
  </si>
  <si>
    <t>1092</t>
  </si>
  <si>
    <t>庞旭选</t>
  </si>
  <si>
    <t>1093</t>
  </si>
  <si>
    <t>智涛</t>
  </si>
  <si>
    <t>1094</t>
  </si>
  <si>
    <t>胡百灵</t>
  </si>
  <si>
    <t>1095</t>
  </si>
  <si>
    <t>张辉</t>
  </si>
  <si>
    <t>1096</t>
  </si>
  <si>
    <t>蔡定坤</t>
  </si>
  <si>
    <t>1097</t>
  </si>
  <si>
    <t>舒春梅</t>
  </si>
  <si>
    <t>1098</t>
  </si>
  <si>
    <t>孙刚</t>
  </si>
  <si>
    <t>1099</t>
  </si>
  <si>
    <t>弓凯</t>
  </si>
  <si>
    <t>1100</t>
  </si>
  <si>
    <t>王联军</t>
  </si>
  <si>
    <t>1101</t>
  </si>
  <si>
    <t>何平辉</t>
  </si>
  <si>
    <t>1102</t>
  </si>
  <si>
    <t>何云民</t>
  </si>
  <si>
    <t>1103</t>
  </si>
  <si>
    <t>谢秋</t>
  </si>
  <si>
    <t>1104</t>
  </si>
  <si>
    <t>岳进武</t>
  </si>
  <si>
    <t>1105</t>
  </si>
  <si>
    <t>许诺</t>
  </si>
  <si>
    <t>1106</t>
  </si>
  <si>
    <t>刘玉宽</t>
  </si>
  <si>
    <t>1107</t>
  </si>
  <si>
    <t>孙孝庆</t>
  </si>
  <si>
    <t>1108</t>
  </si>
  <si>
    <t>黄军</t>
  </si>
  <si>
    <t>1109</t>
  </si>
  <si>
    <t>黄代剑</t>
  </si>
  <si>
    <t>1110</t>
  </si>
  <si>
    <t>杨贺</t>
  </si>
  <si>
    <t>1111</t>
  </si>
  <si>
    <t>刘诗婷</t>
  </si>
  <si>
    <t>1112</t>
  </si>
  <si>
    <t>曹明</t>
  </si>
  <si>
    <t>1113</t>
  </si>
  <si>
    <t>王仕雄</t>
  </si>
  <si>
    <t>1114</t>
  </si>
  <si>
    <t>陈硕</t>
  </si>
  <si>
    <t>1115</t>
  </si>
  <si>
    <t>陈志权</t>
  </si>
  <si>
    <t>1116</t>
  </si>
  <si>
    <t>陆翔飞</t>
  </si>
  <si>
    <t>1118</t>
  </si>
  <si>
    <t>李恩全</t>
  </si>
  <si>
    <t>1119</t>
  </si>
  <si>
    <t>付国顺</t>
  </si>
  <si>
    <t>1120</t>
  </si>
  <si>
    <t>蔡康</t>
  </si>
  <si>
    <t>1121</t>
  </si>
  <si>
    <t>罗先锋</t>
  </si>
  <si>
    <t>1122</t>
  </si>
  <si>
    <t>邵小明</t>
  </si>
  <si>
    <t>1123</t>
  </si>
  <si>
    <t>严丕</t>
  </si>
  <si>
    <t>1124</t>
  </si>
  <si>
    <t>孙阳润</t>
  </si>
  <si>
    <t>1125</t>
  </si>
  <si>
    <t>熊飞</t>
  </si>
  <si>
    <t>1126</t>
  </si>
  <si>
    <t>雷喜金</t>
  </si>
  <si>
    <t>1127</t>
  </si>
  <si>
    <t>孙龙伟</t>
  </si>
  <si>
    <t>1128</t>
  </si>
  <si>
    <t>陈庚</t>
  </si>
  <si>
    <t>1129</t>
  </si>
  <si>
    <t>杜海磊</t>
  </si>
  <si>
    <t>1130</t>
  </si>
  <si>
    <t>张红权</t>
  </si>
  <si>
    <t>1131</t>
  </si>
  <si>
    <t>张君维</t>
  </si>
  <si>
    <t>1132</t>
  </si>
  <si>
    <t>李映昌</t>
  </si>
  <si>
    <t>1133</t>
  </si>
  <si>
    <t>黄璐</t>
  </si>
  <si>
    <t>1134</t>
  </si>
  <si>
    <t>杜广海</t>
  </si>
  <si>
    <t>1135</t>
  </si>
  <si>
    <t>方卫斌</t>
  </si>
  <si>
    <t>1136</t>
  </si>
  <si>
    <t>黄艳玲</t>
  </si>
  <si>
    <t>1137</t>
  </si>
  <si>
    <t>谢良威</t>
  </si>
  <si>
    <t>1138</t>
  </si>
  <si>
    <t>孙渊</t>
  </si>
  <si>
    <t>1139</t>
  </si>
  <si>
    <t>邵志刚</t>
  </si>
  <si>
    <t>1140</t>
  </si>
  <si>
    <t>金程晨</t>
  </si>
  <si>
    <t>1141</t>
  </si>
  <si>
    <t>黄莎</t>
  </si>
  <si>
    <t>1142</t>
  </si>
  <si>
    <t>徐磊</t>
  </si>
  <si>
    <t>1143</t>
  </si>
  <si>
    <t>沈雪峰</t>
  </si>
  <si>
    <t>1144</t>
  </si>
  <si>
    <t>桑仁政</t>
  </si>
  <si>
    <t>1145</t>
  </si>
  <si>
    <t>郑蕊蕊</t>
  </si>
  <si>
    <t>1146</t>
  </si>
  <si>
    <t>曾丽兰</t>
  </si>
  <si>
    <t>1147</t>
  </si>
  <si>
    <t>杨维</t>
  </si>
  <si>
    <t>1148</t>
  </si>
  <si>
    <t>韩巍巍</t>
  </si>
  <si>
    <t>1149</t>
  </si>
  <si>
    <t>郁恺辰</t>
  </si>
  <si>
    <t>1150</t>
  </si>
  <si>
    <t>于传虎</t>
  </si>
  <si>
    <t>1151</t>
  </si>
  <si>
    <t>付君</t>
  </si>
  <si>
    <t>1153</t>
  </si>
  <si>
    <t>闵海燕</t>
  </si>
  <si>
    <t>1154</t>
  </si>
  <si>
    <t>钟泽群</t>
  </si>
  <si>
    <t>1155</t>
  </si>
  <si>
    <t>倪茂林</t>
  </si>
  <si>
    <t>1156</t>
  </si>
  <si>
    <t>王欢</t>
  </si>
  <si>
    <t>1157</t>
  </si>
  <si>
    <t>袁建鹏</t>
  </si>
  <si>
    <t>1158</t>
  </si>
  <si>
    <t>周丹</t>
  </si>
  <si>
    <t>1159</t>
  </si>
  <si>
    <t>李炤宇</t>
  </si>
  <si>
    <t>1160</t>
  </si>
  <si>
    <t>潘云</t>
  </si>
  <si>
    <t>1161</t>
  </si>
  <si>
    <t>黄久皋</t>
  </si>
  <si>
    <t>1162</t>
  </si>
  <si>
    <t>沈阅洲</t>
  </si>
  <si>
    <t>1163</t>
  </si>
  <si>
    <t>马磊</t>
  </si>
  <si>
    <t>1164</t>
  </si>
  <si>
    <t>张文</t>
  </si>
  <si>
    <t>1165</t>
  </si>
  <si>
    <t>徐靖瑞</t>
  </si>
  <si>
    <t>1166</t>
  </si>
  <si>
    <t>赵文博</t>
  </si>
  <si>
    <t>1167</t>
  </si>
  <si>
    <t>沈政</t>
  </si>
  <si>
    <t>1168</t>
  </si>
  <si>
    <t>孙凯</t>
  </si>
  <si>
    <t>1169</t>
  </si>
  <si>
    <t>付庆明</t>
  </si>
  <si>
    <t>1170</t>
  </si>
  <si>
    <t>汪健</t>
  </si>
  <si>
    <t>1171</t>
  </si>
  <si>
    <t>杨宏淼</t>
  </si>
  <si>
    <t>1172</t>
  </si>
  <si>
    <t>孙培龙</t>
  </si>
  <si>
    <t>1173</t>
  </si>
  <si>
    <t>吴嘉元</t>
  </si>
  <si>
    <t>1175</t>
  </si>
  <si>
    <t>孙振罡</t>
  </si>
  <si>
    <t>1176</t>
  </si>
  <si>
    <t>夏清太</t>
  </si>
  <si>
    <t>1177</t>
  </si>
  <si>
    <t>李玉琦</t>
  </si>
  <si>
    <t>1178</t>
  </si>
  <si>
    <t>王玉松</t>
  </si>
  <si>
    <t>1179</t>
  </si>
  <si>
    <t>张飞</t>
  </si>
  <si>
    <t>1180</t>
  </si>
  <si>
    <t>黄河</t>
  </si>
  <si>
    <t>1181</t>
  </si>
  <si>
    <t>孔晨</t>
  </si>
  <si>
    <t>1182</t>
  </si>
  <si>
    <t>刘晓莉</t>
  </si>
  <si>
    <t>1183</t>
  </si>
  <si>
    <t>齐韧</t>
  </si>
  <si>
    <t>1184</t>
  </si>
  <si>
    <t>陆昕婷</t>
  </si>
  <si>
    <t>1185</t>
  </si>
  <si>
    <t>胡元亮</t>
  </si>
  <si>
    <t>1186</t>
  </si>
  <si>
    <t>张义</t>
  </si>
  <si>
    <t>1187</t>
  </si>
  <si>
    <t>袁家权</t>
  </si>
  <si>
    <t>1188</t>
  </si>
  <si>
    <t>高根党</t>
  </si>
  <si>
    <t>1189</t>
  </si>
  <si>
    <t>何桂华</t>
  </si>
  <si>
    <t>1190</t>
  </si>
  <si>
    <t>陈军</t>
  </si>
  <si>
    <t>1191</t>
  </si>
  <si>
    <t>孙洋</t>
  </si>
  <si>
    <t>1192</t>
  </si>
  <si>
    <t>吉睿升</t>
  </si>
  <si>
    <t>1193</t>
  </si>
  <si>
    <t>石大力</t>
  </si>
  <si>
    <t>1194</t>
  </si>
  <si>
    <t>杨印贤</t>
  </si>
  <si>
    <t>1195</t>
  </si>
  <si>
    <t>卢旭</t>
  </si>
  <si>
    <t>1196</t>
  </si>
  <si>
    <t>黄伟</t>
  </si>
  <si>
    <t>1197</t>
  </si>
  <si>
    <t>张显柱</t>
  </si>
  <si>
    <t>1198</t>
  </si>
  <si>
    <t>陶如勇</t>
  </si>
  <si>
    <t>1199</t>
  </si>
  <si>
    <t>陈雄</t>
  </si>
  <si>
    <t>1200</t>
  </si>
  <si>
    <t>宋志杰</t>
  </si>
  <si>
    <t>1201</t>
  </si>
  <si>
    <t>胡建旺</t>
  </si>
  <si>
    <t>1202</t>
  </si>
  <si>
    <t>张国胜</t>
  </si>
  <si>
    <t>1203</t>
  </si>
  <si>
    <t>施翠刚</t>
  </si>
  <si>
    <t>1204</t>
  </si>
  <si>
    <t>季媛媛</t>
  </si>
  <si>
    <t>1205</t>
  </si>
  <si>
    <t>高升</t>
  </si>
  <si>
    <t>1206</t>
  </si>
  <si>
    <t>李清华</t>
  </si>
  <si>
    <t>1207</t>
  </si>
  <si>
    <t>李召金</t>
  </si>
  <si>
    <t>1208</t>
  </si>
  <si>
    <t>王军策</t>
  </si>
  <si>
    <t>1209</t>
  </si>
  <si>
    <t>齐建军</t>
  </si>
  <si>
    <t>1210</t>
  </si>
  <si>
    <t>王春月</t>
  </si>
  <si>
    <t>1211</t>
  </si>
  <si>
    <t>孙明星</t>
  </si>
  <si>
    <t>1212</t>
  </si>
  <si>
    <t>张晓良</t>
  </si>
  <si>
    <t>1213</t>
  </si>
  <si>
    <t>谭效贞</t>
  </si>
  <si>
    <t>1214</t>
  </si>
  <si>
    <t>陈万江</t>
  </si>
  <si>
    <t>1215</t>
  </si>
  <si>
    <t>陈荣波</t>
  </si>
  <si>
    <t>1218</t>
  </si>
  <si>
    <t>潘勇</t>
  </si>
  <si>
    <t>1219</t>
  </si>
  <si>
    <t>胡昆</t>
  </si>
  <si>
    <t>1220</t>
  </si>
  <si>
    <t>魏杰</t>
  </si>
  <si>
    <t>1221</t>
  </si>
  <si>
    <t>张鹏</t>
  </si>
  <si>
    <t>1222</t>
  </si>
  <si>
    <t>姜涛</t>
  </si>
  <si>
    <t>1223</t>
  </si>
  <si>
    <t>李俊</t>
  </si>
  <si>
    <t>1224</t>
  </si>
  <si>
    <t>文光强</t>
  </si>
  <si>
    <t>1225</t>
  </si>
  <si>
    <t>赵益良</t>
  </si>
  <si>
    <t>1226</t>
  </si>
  <si>
    <t>陈南南</t>
  </si>
  <si>
    <t>1227</t>
  </si>
  <si>
    <t>纪昌鑫</t>
  </si>
  <si>
    <t>1228</t>
  </si>
  <si>
    <t>何号</t>
  </si>
  <si>
    <t>1229</t>
  </si>
  <si>
    <t>何蛟</t>
  </si>
  <si>
    <t>1230</t>
  </si>
  <si>
    <t>孙慧</t>
  </si>
  <si>
    <t>1231</t>
  </si>
  <si>
    <t>万超</t>
  </si>
  <si>
    <t>1232</t>
  </si>
  <si>
    <t>高园快</t>
  </si>
  <si>
    <t>1233</t>
  </si>
  <si>
    <t>杨帅</t>
  </si>
  <si>
    <t>1234</t>
  </si>
  <si>
    <t>刘杨</t>
  </si>
  <si>
    <t>1235</t>
  </si>
  <si>
    <t>李喜柱</t>
  </si>
  <si>
    <t>1236</t>
  </si>
  <si>
    <t>陈晶晶</t>
  </si>
  <si>
    <t>1237</t>
  </si>
  <si>
    <t>刘青松</t>
  </si>
  <si>
    <t>1238</t>
  </si>
  <si>
    <t>高传华</t>
  </si>
  <si>
    <t>1239</t>
  </si>
  <si>
    <t>王比强</t>
  </si>
  <si>
    <t>1240</t>
  </si>
  <si>
    <t>林鑫</t>
  </si>
  <si>
    <t>1241</t>
  </si>
  <si>
    <t>王凤学</t>
  </si>
  <si>
    <t>1242</t>
  </si>
  <si>
    <t>黄金发</t>
  </si>
  <si>
    <t>1243</t>
  </si>
  <si>
    <t>何小光</t>
  </si>
  <si>
    <t>1244</t>
  </si>
  <si>
    <t>顾友钊</t>
  </si>
  <si>
    <t>1245</t>
  </si>
  <si>
    <t>刘高领</t>
  </si>
  <si>
    <t>1246</t>
  </si>
  <si>
    <t>龚联均</t>
  </si>
  <si>
    <t>1247</t>
  </si>
  <si>
    <t>杨林</t>
  </si>
  <si>
    <t>1248</t>
  </si>
  <si>
    <t>朱睛</t>
  </si>
  <si>
    <t>1249</t>
  </si>
  <si>
    <t>陈义春</t>
  </si>
  <si>
    <t>1250</t>
  </si>
  <si>
    <t>郭瑞光</t>
  </si>
  <si>
    <t>1251</t>
  </si>
  <si>
    <t>李先辉</t>
  </si>
  <si>
    <t>1252</t>
  </si>
  <si>
    <t>何大红</t>
  </si>
  <si>
    <t>1253</t>
  </si>
  <si>
    <t>李生联</t>
  </si>
  <si>
    <t>1254</t>
  </si>
  <si>
    <t>张玉昌</t>
  </si>
  <si>
    <t>1255</t>
  </si>
  <si>
    <t>周鹏</t>
  </si>
  <si>
    <t>1256</t>
  </si>
  <si>
    <t>马文峻</t>
  </si>
  <si>
    <t>1257</t>
  </si>
  <si>
    <t>瞿煌新</t>
  </si>
  <si>
    <t>1258</t>
  </si>
  <si>
    <t>庞旭辉</t>
  </si>
  <si>
    <t>1259</t>
  </si>
  <si>
    <t>李雄博</t>
  </si>
  <si>
    <t>1260</t>
  </si>
  <si>
    <t>黄静</t>
  </si>
  <si>
    <t>1261</t>
  </si>
  <si>
    <t>杨阳</t>
  </si>
  <si>
    <t>1262</t>
  </si>
  <si>
    <t>王函</t>
  </si>
  <si>
    <t>1263</t>
  </si>
  <si>
    <t>杨雪峰</t>
  </si>
  <si>
    <t>1264</t>
  </si>
  <si>
    <t>王桂林</t>
  </si>
  <si>
    <t>1265</t>
  </si>
  <si>
    <t>张满满</t>
  </si>
  <si>
    <t>1266</t>
  </si>
  <si>
    <t>胡海斌</t>
  </si>
  <si>
    <t>1267</t>
  </si>
  <si>
    <t>舒杰</t>
  </si>
  <si>
    <t>1268</t>
  </si>
  <si>
    <t>刘毅</t>
  </si>
  <si>
    <t>1269</t>
  </si>
  <si>
    <t>鲍勇</t>
  </si>
  <si>
    <t>1270</t>
  </si>
  <si>
    <t>郑子扬</t>
  </si>
  <si>
    <t>1271</t>
  </si>
  <si>
    <t>杨秀芬</t>
  </si>
  <si>
    <t>1272</t>
  </si>
  <si>
    <t>唐伟</t>
  </si>
  <si>
    <t>1273</t>
  </si>
  <si>
    <t>米东东</t>
  </si>
  <si>
    <t>1274</t>
  </si>
  <si>
    <t>王士龙</t>
  </si>
  <si>
    <t>1275</t>
  </si>
  <si>
    <t>米海峰</t>
  </si>
  <si>
    <t>1276</t>
  </si>
  <si>
    <t>李亮</t>
  </si>
  <si>
    <t>1277</t>
  </si>
  <si>
    <t>曹乐乐</t>
  </si>
  <si>
    <t>1278</t>
  </si>
  <si>
    <t>池启鹏</t>
  </si>
  <si>
    <t>1279</t>
  </si>
  <si>
    <t>宋红振</t>
  </si>
  <si>
    <t>1280</t>
  </si>
  <si>
    <t>李业庆</t>
  </si>
  <si>
    <t>1281</t>
  </si>
  <si>
    <t>王春松</t>
  </si>
  <si>
    <t>1282</t>
  </si>
  <si>
    <t>陈自强</t>
  </si>
  <si>
    <t>1283</t>
  </si>
  <si>
    <t>张杰</t>
  </si>
  <si>
    <t>1284</t>
  </si>
  <si>
    <t>成天红</t>
  </si>
  <si>
    <t>1285</t>
  </si>
  <si>
    <t>罗超</t>
  </si>
  <si>
    <t>1286</t>
  </si>
  <si>
    <t>黄代学</t>
  </si>
  <si>
    <t>1287</t>
  </si>
  <si>
    <t>杨泽宇</t>
  </si>
  <si>
    <t>1288</t>
  </si>
  <si>
    <t>宋中恒</t>
  </si>
  <si>
    <t>1289</t>
  </si>
  <si>
    <t>王士保</t>
  </si>
  <si>
    <t>1290</t>
  </si>
  <si>
    <t>万冲</t>
  </si>
  <si>
    <t>1291</t>
  </si>
  <si>
    <t>张伟</t>
  </si>
  <si>
    <t>1292</t>
  </si>
  <si>
    <t>李博文</t>
  </si>
  <si>
    <t>1293</t>
  </si>
  <si>
    <t>李清平</t>
  </si>
  <si>
    <t>1294</t>
  </si>
  <si>
    <t>周昭昭</t>
  </si>
  <si>
    <t>1295</t>
  </si>
  <si>
    <t>陈林期</t>
  </si>
  <si>
    <t>1296</t>
  </si>
  <si>
    <t>谢新澄</t>
  </si>
  <si>
    <t>1297</t>
  </si>
  <si>
    <t>谢妮</t>
  </si>
  <si>
    <t>1298</t>
  </si>
  <si>
    <t>丁冬</t>
  </si>
  <si>
    <t>1299</t>
  </si>
  <si>
    <t>毕进宝</t>
  </si>
  <si>
    <t>1300</t>
  </si>
  <si>
    <t>姚伟冬</t>
  </si>
  <si>
    <t>1301</t>
  </si>
  <si>
    <t>黎桃红</t>
  </si>
  <si>
    <t>1302</t>
  </si>
  <si>
    <t>李超</t>
  </si>
  <si>
    <t>1303</t>
  </si>
  <si>
    <t>郭立敏</t>
  </si>
  <si>
    <t>1304</t>
  </si>
  <si>
    <t>何健</t>
  </si>
  <si>
    <t>1305</t>
  </si>
  <si>
    <t>1306</t>
  </si>
  <si>
    <t>周勤</t>
  </si>
  <si>
    <t>1307</t>
  </si>
  <si>
    <t>陆诗怡</t>
  </si>
  <si>
    <t>1308</t>
  </si>
  <si>
    <t>俞二涛</t>
  </si>
  <si>
    <t>1309</t>
  </si>
  <si>
    <t>张亚周</t>
  </si>
  <si>
    <t>1310</t>
  </si>
  <si>
    <t>1311</t>
  </si>
  <si>
    <t>时静波</t>
  </si>
  <si>
    <t>1312</t>
  </si>
  <si>
    <t>白娥</t>
  </si>
  <si>
    <t>1313</t>
  </si>
  <si>
    <t>杨柳柳</t>
  </si>
  <si>
    <t>1314</t>
  </si>
  <si>
    <t>朱万祥</t>
  </si>
  <si>
    <t>1315</t>
  </si>
  <si>
    <t>黄锐</t>
  </si>
  <si>
    <t>1316</t>
  </si>
  <si>
    <t>唐成玉</t>
  </si>
  <si>
    <t>1317</t>
  </si>
  <si>
    <t>陈东</t>
  </si>
  <si>
    <t>1318</t>
  </si>
  <si>
    <t>杨茂</t>
  </si>
  <si>
    <t>1319</t>
  </si>
  <si>
    <t>程宇康</t>
  </si>
  <si>
    <t>1320</t>
  </si>
  <si>
    <t>姜再信</t>
  </si>
  <si>
    <t>1321</t>
  </si>
  <si>
    <t>董亚奇</t>
  </si>
  <si>
    <t>1322</t>
  </si>
  <si>
    <t>章杰</t>
  </si>
  <si>
    <t>1323</t>
  </si>
  <si>
    <t>周波</t>
  </si>
  <si>
    <t>1324</t>
  </si>
  <si>
    <t>朱帅</t>
  </si>
  <si>
    <t>1325</t>
  </si>
  <si>
    <t>霍金强</t>
  </si>
  <si>
    <t>1326</t>
  </si>
  <si>
    <t>王炎</t>
  </si>
  <si>
    <t>1327</t>
  </si>
  <si>
    <t>杨宗广</t>
  </si>
  <si>
    <t>1328</t>
  </si>
  <si>
    <t>黄建</t>
  </si>
  <si>
    <t>1329</t>
  </si>
  <si>
    <t>卓识</t>
  </si>
  <si>
    <t>1330</t>
  </si>
  <si>
    <t>粟昱</t>
  </si>
  <si>
    <t>1331</t>
  </si>
  <si>
    <t>吕云峰</t>
  </si>
  <si>
    <t>1332</t>
  </si>
  <si>
    <t>邵曙光</t>
  </si>
  <si>
    <t>1333</t>
  </si>
  <si>
    <t>卢武亿</t>
  </si>
  <si>
    <t>1334</t>
  </si>
  <si>
    <t>刘博</t>
  </si>
  <si>
    <t>1335</t>
  </si>
  <si>
    <t>喻虎</t>
  </si>
  <si>
    <t>1336</t>
  </si>
  <si>
    <t>姜富文</t>
  </si>
  <si>
    <t>1337</t>
  </si>
  <si>
    <t>朱乾胜</t>
  </si>
  <si>
    <t>1338</t>
  </si>
  <si>
    <t>魏浩然</t>
  </si>
  <si>
    <t>1339</t>
  </si>
  <si>
    <t>吴盛山</t>
  </si>
  <si>
    <t>1340</t>
  </si>
  <si>
    <t>程雄才</t>
  </si>
  <si>
    <t>1341</t>
  </si>
  <si>
    <t>钟超</t>
  </si>
  <si>
    <t>1342</t>
  </si>
  <si>
    <t>杜喆</t>
  </si>
  <si>
    <t>1343</t>
  </si>
  <si>
    <t>凌立东</t>
  </si>
  <si>
    <t>1344</t>
  </si>
  <si>
    <t>杨涛</t>
  </si>
  <si>
    <t>1345</t>
  </si>
  <si>
    <t>胡晓东</t>
  </si>
  <si>
    <t>1346</t>
  </si>
  <si>
    <t>付本豪</t>
  </si>
  <si>
    <t>1347</t>
  </si>
  <si>
    <t>谭宝明</t>
  </si>
  <si>
    <t>1348</t>
  </si>
  <si>
    <t>朱芳棋</t>
  </si>
  <si>
    <t>1349</t>
  </si>
  <si>
    <t>卢浩</t>
  </si>
  <si>
    <t>1350</t>
  </si>
  <si>
    <t>崔达</t>
  </si>
  <si>
    <t>1351</t>
  </si>
  <si>
    <t>林贵</t>
  </si>
  <si>
    <t>1352</t>
  </si>
  <si>
    <t>张金阁</t>
  </si>
  <si>
    <t>1353</t>
  </si>
  <si>
    <t>蒋建军</t>
  </si>
  <si>
    <t>1354</t>
  </si>
  <si>
    <t>邵帅</t>
  </si>
  <si>
    <t>1355</t>
  </si>
  <si>
    <t>朱亚东</t>
  </si>
  <si>
    <t>1356</t>
  </si>
  <si>
    <t>王佳环</t>
  </si>
  <si>
    <t>1357</t>
  </si>
  <si>
    <t>陆宏广</t>
  </si>
  <si>
    <t>1358</t>
  </si>
  <si>
    <t>朱吉安</t>
  </si>
  <si>
    <t>1359</t>
  </si>
  <si>
    <t>郭立鹏</t>
  </si>
  <si>
    <t>1360</t>
  </si>
  <si>
    <t>庄智敏</t>
  </si>
  <si>
    <t>1361</t>
  </si>
  <si>
    <t>胡均辉</t>
  </si>
  <si>
    <t>1362</t>
  </si>
  <si>
    <t>胡荻</t>
  </si>
  <si>
    <t>1363</t>
  </si>
  <si>
    <t>1364</t>
  </si>
  <si>
    <t>童创</t>
  </si>
  <si>
    <t>1365</t>
  </si>
  <si>
    <t>赵志男</t>
  </si>
  <si>
    <t>1366</t>
  </si>
  <si>
    <t>张建华</t>
  </si>
  <si>
    <t>1367</t>
  </si>
  <si>
    <t>郑二永</t>
  </si>
  <si>
    <t>1368</t>
  </si>
  <si>
    <t>杨孜威</t>
  </si>
  <si>
    <t>1369</t>
  </si>
  <si>
    <t>龚书生</t>
  </si>
  <si>
    <t>1370</t>
  </si>
  <si>
    <t>王保强</t>
  </si>
  <si>
    <t>1371</t>
  </si>
  <si>
    <t>何修应</t>
  </si>
  <si>
    <t>1372</t>
  </si>
  <si>
    <t>吴兴好</t>
  </si>
  <si>
    <t>1373</t>
  </si>
  <si>
    <t>刘源</t>
  </si>
  <si>
    <t>1374</t>
  </si>
  <si>
    <t>聂国洲</t>
  </si>
  <si>
    <t>1375</t>
  </si>
  <si>
    <t>李华莉</t>
  </si>
  <si>
    <t>1376</t>
  </si>
  <si>
    <t>胡西伟</t>
  </si>
  <si>
    <t>1377</t>
  </si>
  <si>
    <t>王振</t>
  </si>
  <si>
    <t>1378</t>
  </si>
  <si>
    <t>黄珂</t>
  </si>
  <si>
    <t>1379</t>
  </si>
  <si>
    <t>钱旺</t>
  </si>
  <si>
    <t>1380</t>
  </si>
  <si>
    <t>李旭达</t>
  </si>
  <si>
    <t>1381</t>
  </si>
  <si>
    <t>王继刚</t>
  </si>
  <si>
    <t>1382</t>
  </si>
  <si>
    <t>曲启超</t>
  </si>
  <si>
    <t>1383</t>
  </si>
  <si>
    <t>丛超</t>
  </si>
  <si>
    <t>1384</t>
  </si>
  <si>
    <t>黄俊鹏</t>
  </si>
  <si>
    <t>1385</t>
  </si>
  <si>
    <t>仇改革</t>
  </si>
  <si>
    <t>1386</t>
  </si>
  <si>
    <t>陈有路</t>
  </si>
  <si>
    <t>1387</t>
  </si>
  <si>
    <t>方澳灵</t>
  </si>
  <si>
    <t>1388</t>
  </si>
  <si>
    <t>楚家林</t>
  </si>
  <si>
    <t>1389</t>
  </si>
  <si>
    <t>高灿灿</t>
  </si>
  <si>
    <t>1390</t>
  </si>
  <si>
    <t>岳川</t>
  </si>
  <si>
    <t>1391</t>
  </si>
  <si>
    <t>胡俊为</t>
  </si>
  <si>
    <t>1392</t>
  </si>
  <si>
    <t>周昌华</t>
  </si>
  <si>
    <t>1393</t>
  </si>
  <si>
    <t>郭福强</t>
  </si>
  <si>
    <t>1394</t>
  </si>
  <si>
    <t>马元政</t>
  </si>
  <si>
    <t>1395</t>
  </si>
  <si>
    <t>谭晓波</t>
  </si>
  <si>
    <t>1396</t>
  </si>
  <si>
    <t>赵文</t>
  </si>
  <si>
    <t>1397</t>
  </si>
  <si>
    <t>訚遥</t>
  </si>
  <si>
    <t>1398</t>
  </si>
  <si>
    <t>周海</t>
  </si>
  <si>
    <t>1399</t>
  </si>
  <si>
    <t>姜广宇</t>
  </si>
  <si>
    <t>1400</t>
  </si>
  <si>
    <t>何永远</t>
  </si>
  <si>
    <t>1401</t>
  </si>
  <si>
    <t>张铸</t>
  </si>
  <si>
    <t>1402</t>
  </si>
  <si>
    <t>饶练奕</t>
  </si>
  <si>
    <t>1403</t>
  </si>
  <si>
    <t>周长胜</t>
  </si>
  <si>
    <t>1404</t>
  </si>
  <si>
    <t>王磊</t>
  </si>
  <si>
    <t>1405</t>
  </si>
  <si>
    <t>1406</t>
  </si>
  <si>
    <t>仇向前</t>
  </si>
  <si>
    <t>1407</t>
  </si>
  <si>
    <t>王瑞邦</t>
  </si>
  <si>
    <t>1408</t>
  </si>
  <si>
    <t>章友权</t>
  </si>
  <si>
    <t>1409</t>
  </si>
  <si>
    <t>王志</t>
  </si>
  <si>
    <t>1410</t>
  </si>
  <si>
    <t>徐强</t>
  </si>
  <si>
    <t>1411</t>
  </si>
  <si>
    <t>邱云霞</t>
  </si>
  <si>
    <t>1412</t>
  </si>
  <si>
    <t>瞿定国</t>
  </si>
  <si>
    <t>1413</t>
  </si>
  <si>
    <t>杨小平</t>
  </si>
  <si>
    <t>1414</t>
  </si>
  <si>
    <t>杨光</t>
  </si>
  <si>
    <t>1415</t>
  </si>
  <si>
    <t>何平</t>
  </si>
  <si>
    <t>1416</t>
  </si>
  <si>
    <t>邹翔</t>
  </si>
  <si>
    <t>1417</t>
  </si>
  <si>
    <t>王星</t>
  </si>
  <si>
    <t>1418</t>
  </si>
  <si>
    <t>凌松</t>
  </si>
  <si>
    <t>1419</t>
  </si>
  <si>
    <t>徐宝杰</t>
  </si>
  <si>
    <t>1420</t>
  </si>
  <si>
    <t>王振业</t>
  </si>
  <si>
    <t>1421</t>
  </si>
  <si>
    <t>刘松胜</t>
  </si>
  <si>
    <t>1422</t>
  </si>
  <si>
    <t>郝仕坤</t>
  </si>
  <si>
    <t>1423</t>
  </si>
  <si>
    <t>范以成</t>
  </si>
  <si>
    <t>1424</t>
  </si>
  <si>
    <t>殷晓丽</t>
  </si>
  <si>
    <t>1425</t>
  </si>
  <si>
    <t>黄超</t>
  </si>
  <si>
    <t>1426</t>
  </si>
  <si>
    <t>郭飞</t>
  </si>
  <si>
    <t>1427</t>
  </si>
  <si>
    <t>胡云峰</t>
  </si>
  <si>
    <t>1428</t>
  </si>
  <si>
    <t>陶静</t>
  </si>
  <si>
    <t>1429</t>
  </si>
  <si>
    <t>何倩雯</t>
  </si>
  <si>
    <t>1430</t>
  </si>
  <si>
    <t>夏文浩</t>
  </si>
  <si>
    <t>1431</t>
  </si>
  <si>
    <t>曾章靖</t>
  </si>
  <si>
    <t>1432</t>
  </si>
  <si>
    <t>姜程瀚</t>
  </si>
  <si>
    <t>1433</t>
  </si>
  <si>
    <t>古亚莉</t>
  </si>
  <si>
    <t>1434</t>
  </si>
  <si>
    <t>叶慰琦</t>
  </si>
  <si>
    <t>1435</t>
  </si>
  <si>
    <t>韦海营</t>
  </si>
  <si>
    <t>1436</t>
  </si>
  <si>
    <t>占蕾</t>
  </si>
  <si>
    <t>1437</t>
  </si>
  <si>
    <t>刘邦兰</t>
  </si>
  <si>
    <t>1438</t>
  </si>
  <si>
    <t>毛强强</t>
  </si>
  <si>
    <t>1439</t>
  </si>
  <si>
    <t>1440</t>
  </si>
  <si>
    <t>吴睿</t>
  </si>
  <si>
    <t>1441</t>
  </si>
  <si>
    <t>尹丛志</t>
  </si>
  <si>
    <t>1442</t>
  </si>
  <si>
    <t>魏鹏辉</t>
  </si>
  <si>
    <t>1443</t>
  </si>
  <si>
    <t>孙家文</t>
  </si>
  <si>
    <t>1444</t>
  </si>
  <si>
    <t>钱志超</t>
  </si>
  <si>
    <t>1445</t>
  </si>
  <si>
    <t>1446</t>
  </si>
  <si>
    <t>朱锦扬</t>
  </si>
  <si>
    <t>1447</t>
  </si>
  <si>
    <t>于庆军</t>
  </si>
  <si>
    <t>1448</t>
  </si>
  <si>
    <t>朱振辉</t>
  </si>
  <si>
    <t>1449</t>
  </si>
  <si>
    <t>张冉冉</t>
  </si>
  <si>
    <t>1450</t>
  </si>
  <si>
    <t>黄智芳</t>
  </si>
  <si>
    <t>1451</t>
  </si>
  <si>
    <t>初欢</t>
  </si>
  <si>
    <t>1452</t>
  </si>
  <si>
    <t>张洪涛</t>
  </si>
  <si>
    <t>1453</t>
  </si>
  <si>
    <t>于庆</t>
  </si>
  <si>
    <t>1454</t>
  </si>
  <si>
    <t>王利红</t>
  </si>
  <si>
    <t>1455</t>
  </si>
  <si>
    <t>于天宇</t>
  </si>
  <si>
    <t>1456</t>
  </si>
  <si>
    <t>韩志红</t>
  </si>
  <si>
    <t>1457</t>
  </si>
  <si>
    <t>李文浩</t>
  </si>
  <si>
    <t>1458</t>
  </si>
  <si>
    <t>张晓彬</t>
  </si>
  <si>
    <t>1459</t>
  </si>
  <si>
    <t>林秀熹</t>
  </si>
  <si>
    <t>1460</t>
  </si>
  <si>
    <t>颜学超</t>
  </si>
  <si>
    <t>1461</t>
  </si>
  <si>
    <t>李长波</t>
  </si>
  <si>
    <t>1462</t>
  </si>
  <si>
    <t>杜树辉</t>
  </si>
  <si>
    <t>1463</t>
  </si>
  <si>
    <t>周舒洁</t>
  </si>
  <si>
    <t>1464</t>
  </si>
  <si>
    <t>张倩</t>
  </si>
  <si>
    <t>1465</t>
  </si>
  <si>
    <t>刘鑫</t>
  </si>
  <si>
    <t>1466</t>
  </si>
  <si>
    <t>武琳惠</t>
  </si>
  <si>
    <t>1467</t>
  </si>
  <si>
    <t>徐苏艳</t>
  </si>
  <si>
    <t>1468</t>
  </si>
  <si>
    <t>于宏伟</t>
  </si>
  <si>
    <t>1469</t>
  </si>
  <si>
    <t>张可娃</t>
  </si>
  <si>
    <t>1470</t>
  </si>
  <si>
    <t>彭莞芹</t>
  </si>
  <si>
    <t>1471</t>
  </si>
  <si>
    <t>曹冠群</t>
  </si>
  <si>
    <t>1472</t>
  </si>
  <si>
    <t>尹璋</t>
  </si>
  <si>
    <t>1473</t>
  </si>
  <si>
    <t>杜康</t>
  </si>
  <si>
    <t>1474</t>
  </si>
  <si>
    <t>阚广慧</t>
  </si>
  <si>
    <t>1475</t>
  </si>
  <si>
    <t>林浩</t>
  </si>
  <si>
    <t>1476</t>
  </si>
  <si>
    <t>段桂荣</t>
  </si>
  <si>
    <t>1477</t>
  </si>
  <si>
    <t>杨鹏彦</t>
  </si>
  <si>
    <t>1478</t>
  </si>
  <si>
    <t>王涛</t>
  </si>
  <si>
    <t>1479</t>
  </si>
  <si>
    <t>李鹏</t>
  </si>
  <si>
    <t>1480</t>
  </si>
  <si>
    <t>陈义</t>
  </si>
  <si>
    <t>1481</t>
  </si>
  <si>
    <t>邓付平</t>
  </si>
  <si>
    <t>1482</t>
  </si>
  <si>
    <t>王佳杰</t>
  </si>
  <si>
    <t>1483</t>
  </si>
  <si>
    <t>王康</t>
  </si>
  <si>
    <t>1484</t>
  </si>
  <si>
    <t>金宇飞</t>
  </si>
  <si>
    <t>1485</t>
  </si>
  <si>
    <t>樊坤</t>
  </si>
  <si>
    <t>1486</t>
  </si>
  <si>
    <t>谭昊</t>
  </si>
  <si>
    <t>1487</t>
  </si>
  <si>
    <t>1488</t>
  </si>
  <si>
    <t>1489</t>
  </si>
  <si>
    <t>蔡鹏</t>
  </si>
  <si>
    <t>1490</t>
  </si>
  <si>
    <t>林佳欣</t>
  </si>
  <si>
    <t>1491</t>
  </si>
  <si>
    <t>杨周文</t>
  </si>
  <si>
    <t>1492</t>
  </si>
  <si>
    <t>薛汉阳</t>
  </si>
  <si>
    <t>1493</t>
  </si>
  <si>
    <t>涂杰</t>
  </si>
  <si>
    <t>1494</t>
  </si>
  <si>
    <t>余龙</t>
  </si>
  <si>
    <t>1495</t>
  </si>
  <si>
    <t>段福</t>
  </si>
  <si>
    <t>1496</t>
  </si>
  <si>
    <t>涂哲云</t>
  </si>
  <si>
    <t>1497</t>
  </si>
  <si>
    <t>熊辉</t>
  </si>
  <si>
    <t>1498</t>
  </si>
  <si>
    <t>赵志松</t>
  </si>
  <si>
    <t>1499</t>
  </si>
  <si>
    <t>汪国波</t>
  </si>
  <si>
    <t>1500</t>
  </si>
  <si>
    <t>张东明</t>
  </si>
  <si>
    <t>1501</t>
  </si>
  <si>
    <t>陈官文</t>
  </si>
  <si>
    <t>1502</t>
  </si>
  <si>
    <t>李冬辉</t>
  </si>
  <si>
    <t>1503</t>
  </si>
  <si>
    <t>刘驰</t>
  </si>
  <si>
    <t>1504</t>
  </si>
  <si>
    <t>吴健</t>
  </si>
  <si>
    <t>1505</t>
  </si>
  <si>
    <t>郭宏灿</t>
  </si>
  <si>
    <t>1506</t>
  </si>
  <si>
    <t>张帅帅</t>
  </si>
  <si>
    <t>1507</t>
  </si>
  <si>
    <t>陈振宇</t>
  </si>
  <si>
    <t>1508</t>
  </si>
  <si>
    <t>张之阳</t>
  </si>
  <si>
    <t>1509</t>
  </si>
  <si>
    <t>王秋静</t>
  </si>
  <si>
    <t>1510</t>
  </si>
  <si>
    <t>张伟伟</t>
  </si>
  <si>
    <t>1511</t>
  </si>
  <si>
    <t>龚宣召</t>
  </si>
  <si>
    <t>1512</t>
  </si>
  <si>
    <t>曾锐</t>
  </si>
  <si>
    <t>1513</t>
  </si>
  <si>
    <t>丁光涛</t>
  </si>
  <si>
    <t>1514</t>
  </si>
  <si>
    <t>汪小平</t>
  </si>
  <si>
    <t>1515</t>
  </si>
  <si>
    <t>全元华</t>
  </si>
  <si>
    <t>1516</t>
  </si>
  <si>
    <t>肖建阳</t>
  </si>
  <si>
    <t>1517</t>
  </si>
  <si>
    <t>董逍虹</t>
  </si>
  <si>
    <t>1518</t>
  </si>
  <si>
    <t>马明印</t>
  </si>
  <si>
    <t>1519</t>
  </si>
  <si>
    <t>苗丽</t>
  </si>
  <si>
    <t>1520</t>
  </si>
  <si>
    <t>张保林</t>
  </si>
  <si>
    <t>1521</t>
  </si>
  <si>
    <t>王柯舣</t>
  </si>
  <si>
    <t>1522</t>
  </si>
  <si>
    <t>陈利</t>
  </si>
  <si>
    <t>1523</t>
  </si>
  <si>
    <t>岳森</t>
  </si>
  <si>
    <t>1524</t>
  </si>
  <si>
    <t>郭健华</t>
  </si>
  <si>
    <t>1525</t>
  </si>
  <si>
    <t>刘进飞</t>
  </si>
  <si>
    <t>1526</t>
  </si>
  <si>
    <t>鲁蒙原</t>
  </si>
  <si>
    <t>1527</t>
  </si>
  <si>
    <t>陆跃江</t>
  </si>
  <si>
    <t>1528</t>
  </si>
  <si>
    <t>李浩</t>
  </si>
  <si>
    <t>1529</t>
  </si>
  <si>
    <t>董新奇</t>
  </si>
  <si>
    <t>1530</t>
  </si>
  <si>
    <t>王中</t>
  </si>
  <si>
    <t>1531</t>
  </si>
  <si>
    <t>莫周城</t>
  </si>
  <si>
    <t>1532</t>
  </si>
  <si>
    <t>宁磊艇</t>
  </si>
  <si>
    <t>1533</t>
  </si>
  <si>
    <t>姚乐宇</t>
  </si>
  <si>
    <t>1534</t>
  </si>
  <si>
    <t>李开超</t>
  </si>
  <si>
    <t>1535</t>
  </si>
  <si>
    <t>马益群</t>
  </si>
  <si>
    <t>1536</t>
  </si>
  <si>
    <t>崔志栋</t>
  </si>
  <si>
    <t>1537</t>
  </si>
  <si>
    <t>王呈</t>
  </si>
  <si>
    <t>1538</t>
  </si>
  <si>
    <t>谭文川</t>
  </si>
  <si>
    <t>1539</t>
  </si>
  <si>
    <t>徐欢</t>
  </si>
  <si>
    <t>1540</t>
  </si>
  <si>
    <t>徐鹏</t>
  </si>
  <si>
    <t>1541</t>
  </si>
  <si>
    <t>姚孟舟</t>
  </si>
  <si>
    <t>1542</t>
  </si>
  <si>
    <t>史泽中</t>
  </si>
  <si>
    <t>1543</t>
  </si>
  <si>
    <t>蒋玥</t>
  </si>
  <si>
    <t>1544</t>
  </si>
  <si>
    <t>周丰</t>
  </si>
  <si>
    <t>1545</t>
  </si>
  <si>
    <t>张雄</t>
  </si>
  <si>
    <t>1546</t>
  </si>
  <si>
    <t>石钢</t>
  </si>
  <si>
    <t>1547</t>
  </si>
  <si>
    <t>李旭</t>
  </si>
  <si>
    <t>1548</t>
  </si>
  <si>
    <t>施永林</t>
  </si>
  <si>
    <t>1549</t>
  </si>
  <si>
    <t>张鹏伟</t>
  </si>
  <si>
    <t>1550</t>
  </si>
  <si>
    <t>王云</t>
  </si>
  <si>
    <t>1551</t>
  </si>
  <si>
    <t>王瑞伟</t>
  </si>
  <si>
    <t>1552</t>
  </si>
  <si>
    <t>曹庆宇</t>
  </si>
  <si>
    <t>1553</t>
  </si>
  <si>
    <t>孙娟</t>
  </si>
  <si>
    <t>1554</t>
  </si>
  <si>
    <t>林志国</t>
  </si>
  <si>
    <t>1555</t>
  </si>
  <si>
    <t>张雨新</t>
  </si>
  <si>
    <t>1556</t>
  </si>
  <si>
    <t>李静</t>
  </si>
  <si>
    <t>1557</t>
  </si>
  <si>
    <t>李玉</t>
  </si>
  <si>
    <t>1558</t>
  </si>
  <si>
    <t>邹超群</t>
  </si>
  <si>
    <t>1559</t>
  </si>
  <si>
    <t>程思华</t>
  </si>
  <si>
    <t>1560</t>
  </si>
  <si>
    <t>洪帆</t>
  </si>
  <si>
    <t>1561</t>
  </si>
  <si>
    <t>陈思安</t>
  </si>
  <si>
    <t>1562</t>
  </si>
  <si>
    <t>成勇钢</t>
  </si>
  <si>
    <t>1563</t>
  </si>
  <si>
    <t>郭栋栋</t>
  </si>
  <si>
    <t>1564</t>
  </si>
  <si>
    <t>董会芝</t>
  </si>
  <si>
    <t>1565</t>
  </si>
  <si>
    <t>刘旺</t>
  </si>
  <si>
    <t>1566</t>
  </si>
  <si>
    <t>秦小康</t>
  </si>
  <si>
    <t>1567</t>
  </si>
  <si>
    <t>丁鹏</t>
  </si>
  <si>
    <t>1568</t>
  </si>
  <si>
    <t>王东健</t>
  </si>
  <si>
    <t>1569</t>
  </si>
  <si>
    <t>张兴</t>
  </si>
  <si>
    <t>1570</t>
  </si>
  <si>
    <t>邢强</t>
  </si>
  <si>
    <t>1571</t>
  </si>
  <si>
    <t>邓林冲</t>
  </si>
  <si>
    <t>1572</t>
  </si>
  <si>
    <t>孙丽</t>
  </si>
  <si>
    <t>1573</t>
  </si>
  <si>
    <t>郭璇</t>
  </si>
  <si>
    <t>1574</t>
  </si>
  <si>
    <t>龚高华</t>
  </si>
  <si>
    <t>1575</t>
  </si>
  <si>
    <t>李岩</t>
  </si>
  <si>
    <t>1576</t>
  </si>
  <si>
    <t>孙立顺</t>
  </si>
  <si>
    <t>1577</t>
  </si>
  <si>
    <t>杜昌德</t>
  </si>
  <si>
    <t>1578</t>
  </si>
  <si>
    <t>岳猛</t>
  </si>
  <si>
    <t>1579</t>
  </si>
  <si>
    <t>任翔翔</t>
  </si>
  <si>
    <t>1580</t>
  </si>
  <si>
    <t>游锦席</t>
  </si>
  <si>
    <t>1581</t>
  </si>
  <si>
    <t>周洋</t>
  </si>
  <si>
    <t>1582</t>
  </si>
  <si>
    <t>王健聪</t>
  </si>
  <si>
    <t>1583</t>
  </si>
  <si>
    <t>郭明明</t>
  </si>
  <si>
    <t>1584</t>
  </si>
  <si>
    <t>张明</t>
  </si>
  <si>
    <t>1585</t>
  </si>
  <si>
    <t>陈国华</t>
  </si>
  <si>
    <t>1586</t>
  </si>
  <si>
    <t>吴天恒</t>
  </si>
  <si>
    <t>1587</t>
  </si>
  <si>
    <t>盖少芳</t>
  </si>
  <si>
    <t>1588</t>
  </si>
  <si>
    <t>毛君</t>
  </si>
  <si>
    <t>1589</t>
  </si>
  <si>
    <t>王彦丽</t>
  </si>
  <si>
    <t>1590</t>
  </si>
  <si>
    <t>董文勇</t>
  </si>
  <si>
    <t>1591</t>
  </si>
  <si>
    <t>叶胜</t>
  </si>
  <si>
    <t>1592</t>
  </si>
  <si>
    <t>李光鑫</t>
  </si>
  <si>
    <t>1593</t>
  </si>
  <si>
    <t>冯永庆</t>
  </si>
  <si>
    <t>1594</t>
  </si>
  <si>
    <t>谢艺山</t>
  </si>
  <si>
    <t>1595</t>
  </si>
  <si>
    <t>刘玲玲</t>
  </si>
  <si>
    <t>1596</t>
  </si>
  <si>
    <t>王羽</t>
  </si>
  <si>
    <t>1597</t>
  </si>
  <si>
    <t>易冯</t>
  </si>
  <si>
    <t>1598</t>
  </si>
  <si>
    <t>王延超</t>
  </si>
  <si>
    <t>1599</t>
  </si>
  <si>
    <t>蔡伟荣</t>
  </si>
  <si>
    <t>1600</t>
  </si>
  <si>
    <t>魏志英</t>
  </si>
  <si>
    <t>1601</t>
  </si>
  <si>
    <t>刘宇超</t>
  </si>
  <si>
    <t>1602</t>
  </si>
  <si>
    <t>杨康康</t>
  </si>
  <si>
    <t>1603</t>
  </si>
  <si>
    <t>申仕奇</t>
  </si>
  <si>
    <t>1604</t>
  </si>
  <si>
    <t>吴娇玲</t>
  </si>
  <si>
    <t>1605</t>
  </si>
  <si>
    <t>朱淼</t>
  </si>
  <si>
    <t>1606</t>
  </si>
  <si>
    <t>徐铭</t>
  </si>
  <si>
    <t>1607</t>
  </si>
  <si>
    <t>汪千超</t>
  </si>
  <si>
    <t>1608</t>
  </si>
  <si>
    <t>李磊</t>
  </si>
  <si>
    <t>1609</t>
  </si>
  <si>
    <t>1610</t>
  </si>
  <si>
    <t>唐甲峰</t>
  </si>
  <si>
    <t>1611</t>
  </si>
  <si>
    <t>张爱雪</t>
  </si>
  <si>
    <t>1612</t>
  </si>
  <si>
    <t>龚伟华</t>
  </si>
  <si>
    <t>1613</t>
  </si>
  <si>
    <t>梁燕菲</t>
  </si>
  <si>
    <t>1614</t>
  </si>
  <si>
    <t>李志兵</t>
  </si>
  <si>
    <t>1615</t>
  </si>
  <si>
    <t>华进龙</t>
  </si>
  <si>
    <t>1616</t>
  </si>
  <si>
    <t>任苗</t>
  </si>
  <si>
    <t>1617</t>
  </si>
  <si>
    <t>张元超</t>
  </si>
  <si>
    <t>1618</t>
  </si>
  <si>
    <t>赵志龙</t>
  </si>
  <si>
    <t>1619</t>
  </si>
  <si>
    <t>陈继峰</t>
  </si>
  <si>
    <t>1620</t>
  </si>
  <si>
    <t>刘真真</t>
  </si>
  <si>
    <t>1621</t>
  </si>
  <si>
    <t>苏冠瑛</t>
  </si>
  <si>
    <t>1622</t>
  </si>
  <si>
    <t>周代领</t>
  </si>
  <si>
    <t>1623</t>
  </si>
  <si>
    <t>张杨勇</t>
  </si>
  <si>
    <t>1624</t>
  </si>
  <si>
    <t>罗尚松</t>
  </si>
  <si>
    <t>1625</t>
  </si>
  <si>
    <t>陈毅</t>
  </si>
  <si>
    <t>1626</t>
  </si>
  <si>
    <t>张宏</t>
  </si>
  <si>
    <t>1627</t>
  </si>
  <si>
    <t>许晓雨</t>
  </si>
  <si>
    <t>1628</t>
  </si>
  <si>
    <t>熊杰</t>
  </si>
  <si>
    <t>1629</t>
  </si>
  <si>
    <t>陈艺丹</t>
  </si>
  <si>
    <t>1630</t>
  </si>
  <si>
    <t>谭钊炜</t>
  </si>
  <si>
    <t>1631</t>
  </si>
  <si>
    <t>卢铮</t>
  </si>
  <si>
    <t>1632</t>
  </si>
  <si>
    <t>王维</t>
  </si>
  <si>
    <t>1633</t>
  </si>
  <si>
    <t>周洪普</t>
  </si>
  <si>
    <t>1634</t>
  </si>
  <si>
    <t>张金森</t>
  </si>
  <si>
    <t>1635</t>
  </si>
  <si>
    <t>任志鹏</t>
  </si>
  <si>
    <t>1636</t>
  </si>
  <si>
    <t>王明远</t>
  </si>
  <si>
    <t>1637</t>
  </si>
  <si>
    <t>吴章银</t>
  </si>
  <si>
    <t>1638</t>
  </si>
  <si>
    <t>张凯</t>
  </si>
  <si>
    <t>1639</t>
  </si>
  <si>
    <t>白小龙</t>
  </si>
  <si>
    <t>1640</t>
  </si>
  <si>
    <t>陆春</t>
  </si>
  <si>
    <t>1641</t>
  </si>
  <si>
    <t>王士伟</t>
  </si>
  <si>
    <t>1642</t>
  </si>
  <si>
    <t>陈新平</t>
  </si>
  <si>
    <t>1643</t>
  </si>
  <si>
    <t>刘青</t>
  </si>
  <si>
    <t>1644</t>
  </si>
  <si>
    <t>王鑫</t>
  </si>
  <si>
    <t>1645</t>
  </si>
  <si>
    <t>袁晓峰</t>
  </si>
  <si>
    <t>1646</t>
  </si>
  <si>
    <t>曹彦彦</t>
  </si>
  <si>
    <t>1647</t>
  </si>
  <si>
    <t>董江波</t>
  </si>
  <si>
    <t>1648</t>
  </si>
  <si>
    <t>雷元波</t>
  </si>
  <si>
    <t>1649</t>
  </si>
  <si>
    <t>王德民</t>
  </si>
  <si>
    <t>1650</t>
  </si>
  <si>
    <t>王游剑</t>
  </si>
  <si>
    <t>1651</t>
  </si>
  <si>
    <t>陈俊强</t>
  </si>
  <si>
    <t>1652</t>
  </si>
  <si>
    <t>何芝群</t>
  </si>
  <si>
    <t>1653</t>
  </si>
  <si>
    <t>刘红伟</t>
  </si>
  <si>
    <t>1654</t>
  </si>
  <si>
    <t>丁革新</t>
  </si>
  <si>
    <t>1655</t>
  </si>
  <si>
    <t>曹俊强</t>
  </si>
  <si>
    <t>1656</t>
  </si>
  <si>
    <t>徐赛峰</t>
  </si>
  <si>
    <t>1657</t>
  </si>
  <si>
    <t>郭建</t>
  </si>
  <si>
    <t>1658</t>
  </si>
  <si>
    <t>徐昱臻</t>
  </si>
  <si>
    <t>1659</t>
  </si>
  <si>
    <t>杜勇</t>
  </si>
  <si>
    <t>1660</t>
  </si>
  <si>
    <t>高锦</t>
  </si>
  <si>
    <t>1661</t>
  </si>
  <si>
    <t>冉杰</t>
  </si>
  <si>
    <t>1662</t>
  </si>
  <si>
    <t>陈大龙</t>
  </si>
  <si>
    <t>1663</t>
  </si>
  <si>
    <t>黎淼清</t>
  </si>
  <si>
    <t>1664</t>
  </si>
  <si>
    <t>黄萌</t>
  </si>
  <si>
    <t>1665</t>
  </si>
  <si>
    <t>朱宝庆</t>
  </si>
  <si>
    <t>1666</t>
  </si>
  <si>
    <t>刘威</t>
  </si>
  <si>
    <t>1667</t>
  </si>
  <si>
    <t>李朋</t>
  </si>
  <si>
    <t>1668</t>
  </si>
  <si>
    <t>何卫红</t>
  </si>
  <si>
    <t>1669</t>
  </si>
  <si>
    <t>姜毅</t>
  </si>
  <si>
    <t>1670</t>
  </si>
  <si>
    <t>蒲勇</t>
  </si>
  <si>
    <t>1671</t>
  </si>
  <si>
    <t>刘坦</t>
  </si>
  <si>
    <t>1672</t>
  </si>
  <si>
    <t>潘运泰</t>
  </si>
  <si>
    <t>1673</t>
  </si>
  <si>
    <t>戚忠德</t>
  </si>
  <si>
    <t>1674</t>
  </si>
  <si>
    <t>程涛</t>
  </si>
  <si>
    <t>1675</t>
  </si>
  <si>
    <t>吴大伟</t>
  </si>
  <si>
    <t>1676</t>
  </si>
  <si>
    <t>王文博</t>
  </si>
  <si>
    <t>1677</t>
  </si>
  <si>
    <t>周元国</t>
  </si>
  <si>
    <t>1678</t>
  </si>
  <si>
    <t>1679</t>
  </si>
  <si>
    <t>林超</t>
  </si>
  <si>
    <t>1680</t>
  </si>
  <si>
    <t>邹盛华</t>
  </si>
  <si>
    <t>1681</t>
  </si>
  <si>
    <t>程杰</t>
  </si>
  <si>
    <t>1682</t>
  </si>
  <si>
    <t>丁天柱</t>
  </si>
  <si>
    <t>1683</t>
  </si>
  <si>
    <t>陈浩瀚</t>
  </si>
  <si>
    <t>1684</t>
  </si>
  <si>
    <t>赵陆</t>
  </si>
  <si>
    <t>1685</t>
  </si>
  <si>
    <t>1686</t>
  </si>
  <si>
    <t>王帅</t>
  </si>
  <si>
    <t>1687</t>
  </si>
  <si>
    <t>王祥</t>
  </si>
  <si>
    <t>1688</t>
  </si>
  <si>
    <t>张耀文</t>
  </si>
  <si>
    <t>1689</t>
  </si>
  <si>
    <t>李江龙</t>
  </si>
  <si>
    <t>1690</t>
  </si>
  <si>
    <t>周小双</t>
  </si>
  <si>
    <t>1691</t>
  </si>
  <si>
    <t>张信政</t>
  </si>
  <si>
    <t>1692</t>
  </si>
  <si>
    <t>李书涛</t>
  </si>
  <si>
    <t>1693</t>
  </si>
  <si>
    <t>袁雄</t>
  </si>
  <si>
    <t>1694</t>
  </si>
  <si>
    <t>徐波</t>
  </si>
  <si>
    <t>1695</t>
  </si>
  <si>
    <t>王世新</t>
  </si>
  <si>
    <t>1696</t>
  </si>
  <si>
    <t>龚伟锋</t>
  </si>
  <si>
    <t>1697</t>
  </si>
  <si>
    <t>邹立</t>
  </si>
  <si>
    <t>1698</t>
  </si>
  <si>
    <t>汪蒙</t>
  </si>
  <si>
    <t>1699</t>
  </si>
  <si>
    <t>1700</t>
  </si>
  <si>
    <t>孙义斐</t>
  </si>
  <si>
    <t>1701</t>
  </si>
  <si>
    <t>吴刚</t>
  </si>
  <si>
    <t>1702</t>
  </si>
  <si>
    <t>陈旭博</t>
  </si>
  <si>
    <t>1703</t>
  </si>
  <si>
    <t>王玉龙</t>
  </si>
  <si>
    <t>1704</t>
  </si>
  <si>
    <t>郭磊</t>
  </si>
  <si>
    <t>1705</t>
  </si>
  <si>
    <t>牛利平</t>
  </si>
  <si>
    <t>1706</t>
  </si>
  <si>
    <t>罗杨兴</t>
  </si>
  <si>
    <t>1707</t>
  </si>
  <si>
    <t>靳冀川</t>
  </si>
  <si>
    <t>1708</t>
  </si>
  <si>
    <t>朱丽兰</t>
  </si>
  <si>
    <t>1709</t>
  </si>
  <si>
    <t>1710</t>
  </si>
  <si>
    <t>孙三喜</t>
  </si>
  <si>
    <t>1711</t>
  </si>
  <si>
    <t>徐帅</t>
  </si>
  <si>
    <t>1712</t>
  </si>
  <si>
    <t>王玉深</t>
  </si>
  <si>
    <t>1713</t>
  </si>
  <si>
    <t>黄小敏</t>
  </si>
  <si>
    <t>1714</t>
  </si>
  <si>
    <t>钟勇</t>
  </si>
  <si>
    <t>1715</t>
  </si>
  <si>
    <t>张晓剑</t>
  </si>
  <si>
    <t>1716</t>
  </si>
  <si>
    <t>宋康安</t>
  </si>
  <si>
    <t>1717</t>
  </si>
  <si>
    <t>杨法锦</t>
  </si>
  <si>
    <t>1718</t>
  </si>
  <si>
    <t>洪宽智</t>
  </si>
  <si>
    <t>1719</t>
  </si>
  <si>
    <t>王齐</t>
  </si>
  <si>
    <t>1720</t>
  </si>
  <si>
    <t>王亮卿</t>
  </si>
  <si>
    <t>1721</t>
  </si>
  <si>
    <t>鲍新华</t>
  </si>
  <si>
    <t>1722</t>
  </si>
  <si>
    <t>何子凌</t>
  </si>
  <si>
    <t>1723</t>
  </si>
  <si>
    <t>王旺旺</t>
  </si>
  <si>
    <t>1724</t>
  </si>
  <si>
    <t>谭飞雄</t>
  </si>
  <si>
    <t>1725</t>
  </si>
  <si>
    <t>刘晓盟</t>
  </si>
  <si>
    <t>1726</t>
  </si>
  <si>
    <t>罗远航</t>
  </si>
  <si>
    <t>1727</t>
  </si>
  <si>
    <t>1728</t>
  </si>
  <si>
    <t>成忠能</t>
  </si>
  <si>
    <t>1729</t>
  </si>
  <si>
    <t>李汉成</t>
  </si>
  <si>
    <t>1730</t>
  </si>
  <si>
    <t>刘进国</t>
  </si>
  <si>
    <t>1731</t>
  </si>
  <si>
    <t>蔡昌鉴</t>
  </si>
  <si>
    <t>1732</t>
  </si>
  <si>
    <t>周昂</t>
  </si>
  <si>
    <t>1733</t>
  </si>
  <si>
    <t>汤林波</t>
  </si>
  <si>
    <t>1734</t>
  </si>
  <si>
    <t>丁诗靖</t>
  </si>
  <si>
    <t>1735</t>
  </si>
  <si>
    <t>邓文杰</t>
  </si>
  <si>
    <t>1736</t>
  </si>
  <si>
    <t>王攀</t>
  </si>
  <si>
    <t>1737</t>
  </si>
  <si>
    <t>方飞</t>
  </si>
  <si>
    <t>1738</t>
  </si>
  <si>
    <t>郑永房</t>
  </si>
  <si>
    <t>1739</t>
  </si>
  <si>
    <t>陈春华</t>
  </si>
  <si>
    <t>1740</t>
  </si>
  <si>
    <t>李映丰</t>
  </si>
  <si>
    <t>1741</t>
  </si>
  <si>
    <t>李映盛</t>
  </si>
  <si>
    <t>1742</t>
  </si>
  <si>
    <t>张鹏鹏</t>
  </si>
  <si>
    <t>1743</t>
  </si>
  <si>
    <t>李咸勇</t>
  </si>
  <si>
    <t>1744</t>
  </si>
  <si>
    <t>朱杰</t>
  </si>
  <si>
    <t>1745</t>
  </si>
  <si>
    <t>徐申界</t>
  </si>
  <si>
    <t>1746</t>
  </si>
  <si>
    <t>郑海兵</t>
  </si>
  <si>
    <t>1747</t>
  </si>
  <si>
    <t>夏鹏程</t>
  </si>
  <si>
    <t>1748</t>
  </si>
  <si>
    <t>李培</t>
  </si>
  <si>
    <t>1749</t>
  </si>
  <si>
    <t>王景才</t>
  </si>
  <si>
    <t>1750</t>
  </si>
  <si>
    <t>卢前锋</t>
  </si>
  <si>
    <t>1751</t>
  </si>
  <si>
    <t>李艳</t>
  </si>
  <si>
    <t>1752</t>
  </si>
  <si>
    <t>叶方顺</t>
  </si>
  <si>
    <t>1753</t>
  </si>
  <si>
    <t>何祥威</t>
  </si>
  <si>
    <t>1754</t>
  </si>
  <si>
    <t>李桂杰</t>
  </si>
  <si>
    <t>1755</t>
  </si>
  <si>
    <t>张天宇</t>
  </si>
  <si>
    <t>1756</t>
  </si>
  <si>
    <t>陈长华</t>
  </si>
  <si>
    <t>1757</t>
  </si>
  <si>
    <t>陈励志</t>
  </si>
  <si>
    <t>1758</t>
  </si>
  <si>
    <t>梁永贵</t>
  </si>
  <si>
    <t>1759</t>
  </si>
  <si>
    <t>1760</t>
  </si>
  <si>
    <t>徐勇</t>
  </si>
  <si>
    <t>1761</t>
  </si>
  <si>
    <t>李春强</t>
  </si>
  <si>
    <t>1762</t>
  </si>
  <si>
    <t>陈庭亮</t>
  </si>
  <si>
    <t>1763</t>
  </si>
  <si>
    <t>司昊昕</t>
  </si>
  <si>
    <t>1764</t>
  </si>
  <si>
    <t>杨朝</t>
  </si>
  <si>
    <t>1765</t>
  </si>
  <si>
    <t>周炎炎</t>
  </si>
  <si>
    <t>1766</t>
  </si>
  <si>
    <t>陈佳杉</t>
  </si>
  <si>
    <t>1767</t>
  </si>
  <si>
    <t>郑天彪</t>
  </si>
  <si>
    <t>1768</t>
  </si>
  <si>
    <t>李洪宇</t>
  </si>
  <si>
    <t>1769</t>
  </si>
  <si>
    <t>王玉新</t>
  </si>
  <si>
    <t>1770</t>
  </si>
  <si>
    <t>王龙</t>
  </si>
  <si>
    <t>1771</t>
  </si>
  <si>
    <t>孙勇毅</t>
  </si>
  <si>
    <t>1772</t>
  </si>
  <si>
    <t>陈帅</t>
  </si>
  <si>
    <t>1773</t>
  </si>
  <si>
    <t>丁文祥</t>
  </si>
  <si>
    <t>1774</t>
  </si>
  <si>
    <t>候振南</t>
  </si>
  <si>
    <t>1775</t>
  </si>
  <si>
    <t>田博浩</t>
  </si>
  <si>
    <t>1776</t>
  </si>
  <si>
    <t>黄德港</t>
  </si>
  <si>
    <t>1777</t>
  </si>
  <si>
    <t>徐婷婷</t>
  </si>
  <si>
    <t>1778</t>
  </si>
  <si>
    <t>岳相阳</t>
  </si>
  <si>
    <t>1779</t>
  </si>
  <si>
    <t>李明逊</t>
  </si>
  <si>
    <t>1780</t>
  </si>
  <si>
    <t>代启凡</t>
  </si>
  <si>
    <t>1781</t>
  </si>
  <si>
    <t>杨政</t>
  </si>
  <si>
    <t>1782</t>
  </si>
  <si>
    <t>何伟</t>
  </si>
  <si>
    <t>1783</t>
  </si>
  <si>
    <t>刘方元</t>
  </si>
  <si>
    <t>1784</t>
  </si>
  <si>
    <t>马起鹏</t>
  </si>
  <si>
    <t>1785</t>
  </si>
  <si>
    <t>陈世琨</t>
  </si>
  <si>
    <t>1786</t>
  </si>
  <si>
    <t>李海全</t>
  </si>
  <si>
    <t>1787</t>
  </si>
  <si>
    <t>严路路</t>
  </si>
  <si>
    <t>1788</t>
  </si>
  <si>
    <t>蒋鹏</t>
  </si>
  <si>
    <t>1789</t>
  </si>
  <si>
    <t>朱一飞</t>
  </si>
  <si>
    <t>1790</t>
  </si>
  <si>
    <t>杨绪清</t>
  </si>
  <si>
    <t>1792</t>
  </si>
  <si>
    <t>袁浩然</t>
  </si>
  <si>
    <t>1793</t>
  </si>
  <si>
    <t>徐文</t>
  </si>
  <si>
    <t>1794</t>
  </si>
  <si>
    <t>陈伟雄</t>
  </si>
  <si>
    <t>1795</t>
  </si>
  <si>
    <t>曲小科</t>
  </si>
  <si>
    <t>1796</t>
  </si>
  <si>
    <t>董雷博</t>
  </si>
  <si>
    <t>1797</t>
  </si>
  <si>
    <t>苏杰</t>
  </si>
  <si>
    <t>1798</t>
  </si>
  <si>
    <t>马家和</t>
  </si>
  <si>
    <t>1799</t>
  </si>
  <si>
    <t>谢明星</t>
  </si>
  <si>
    <t>1800</t>
  </si>
  <si>
    <t>吕超</t>
  </si>
  <si>
    <t>1801</t>
  </si>
  <si>
    <t>邢宪勇</t>
  </si>
  <si>
    <t>1802</t>
  </si>
  <si>
    <t>林行雨</t>
  </si>
  <si>
    <t>1804</t>
  </si>
  <si>
    <t>贺祥荣</t>
  </si>
  <si>
    <t>1805</t>
  </si>
  <si>
    <t>李建之</t>
  </si>
  <si>
    <t>1806</t>
  </si>
  <si>
    <t>1807</t>
  </si>
  <si>
    <t>包雪军</t>
  </si>
  <si>
    <t>1808</t>
  </si>
  <si>
    <t>岳琦松</t>
  </si>
  <si>
    <t>1809</t>
  </si>
  <si>
    <t>须鸣豪</t>
  </si>
  <si>
    <t>1810</t>
  </si>
  <si>
    <t>刘洪秀</t>
  </si>
  <si>
    <t>1811</t>
  </si>
  <si>
    <t>1812</t>
  </si>
  <si>
    <t>白天</t>
  </si>
  <si>
    <t>1813</t>
  </si>
  <si>
    <t>汤喆</t>
  </si>
  <si>
    <t>1814</t>
  </si>
  <si>
    <t>顾玉哲</t>
  </si>
  <si>
    <t>1815</t>
  </si>
  <si>
    <t>张忠生</t>
  </si>
  <si>
    <t>1816</t>
  </si>
  <si>
    <t>王青松</t>
  </si>
  <si>
    <t>1817</t>
  </si>
  <si>
    <t>董剑</t>
  </si>
  <si>
    <t>1818</t>
  </si>
  <si>
    <t>张新页</t>
  </si>
  <si>
    <t>1819</t>
  </si>
  <si>
    <t>许茂松</t>
  </si>
  <si>
    <t>1820</t>
  </si>
  <si>
    <t>李仕翰</t>
  </si>
  <si>
    <t>1821</t>
  </si>
  <si>
    <t>金伟健</t>
  </si>
  <si>
    <t>1822</t>
  </si>
  <si>
    <t>杨赛楠</t>
  </si>
  <si>
    <t>1823</t>
  </si>
  <si>
    <t>崔沈阳</t>
  </si>
  <si>
    <t>1824</t>
  </si>
  <si>
    <t>代彬</t>
  </si>
  <si>
    <t>1825</t>
  </si>
  <si>
    <t>付东平</t>
  </si>
  <si>
    <t>1826</t>
  </si>
  <si>
    <t>曾莹</t>
  </si>
  <si>
    <t>1827</t>
  </si>
  <si>
    <t>王锦辉</t>
  </si>
  <si>
    <t>1828</t>
  </si>
  <si>
    <t>陈春柳</t>
  </si>
  <si>
    <t>1829</t>
  </si>
  <si>
    <t>朱伟伟</t>
  </si>
  <si>
    <t>1830</t>
  </si>
  <si>
    <t>1831</t>
  </si>
  <si>
    <t>肖乔</t>
  </si>
  <si>
    <t>1832</t>
  </si>
  <si>
    <t>赵浩</t>
  </si>
  <si>
    <t>1833</t>
  </si>
  <si>
    <t>张文棋</t>
  </si>
  <si>
    <t>1834</t>
  </si>
  <si>
    <t>温臣丽</t>
  </si>
  <si>
    <t>1835</t>
  </si>
  <si>
    <t>万珍珍</t>
  </si>
  <si>
    <t>1836</t>
  </si>
  <si>
    <t>韩昌春</t>
  </si>
  <si>
    <t>1837</t>
  </si>
  <si>
    <t>陈佳炜</t>
  </si>
  <si>
    <t>1838</t>
  </si>
  <si>
    <t>孙文章</t>
  </si>
  <si>
    <t>1839</t>
  </si>
  <si>
    <t>冯霄</t>
  </si>
  <si>
    <t>1840</t>
  </si>
  <si>
    <t>尹路</t>
  </si>
  <si>
    <t>1841</t>
  </si>
  <si>
    <t>1842</t>
  </si>
  <si>
    <t>夏俊</t>
  </si>
  <si>
    <t>1843</t>
  </si>
  <si>
    <t>王超超</t>
  </si>
  <si>
    <t>1844</t>
  </si>
  <si>
    <t>黄立阳</t>
  </si>
  <si>
    <t>1845</t>
  </si>
  <si>
    <t>陈佳丽</t>
  </si>
  <si>
    <t>1846</t>
  </si>
  <si>
    <t>陈思宇</t>
  </si>
  <si>
    <t>1847</t>
  </si>
  <si>
    <t>张军辉</t>
  </si>
  <si>
    <t>1848</t>
  </si>
  <si>
    <t>李琦</t>
  </si>
  <si>
    <t>1849</t>
  </si>
  <si>
    <t>詹子超</t>
  </si>
  <si>
    <t>1850</t>
  </si>
  <si>
    <t>夏小舒</t>
  </si>
  <si>
    <t>1851</t>
  </si>
  <si>
    <t>王翱翔</t>
  </si>
  <si>
    <t>1852</t>
  </si>
  <si>
    <t>1853</t>
  </si>
  <si>
    <t>闫九吉</t>
  </si>
  <si>
    <t>1854</t>
  </si>
  <si>
    <t>杨自奋</t>
  </si>
  <si>
    <t>1855</t>
  </si>
  <si>
    <t>许志恒</t>
  </si>
  <si>
    <t>1856</t>
  </si>
  <si>
    <t>王健</t>
  </si>
  <si>
    <t>1857</t>
  </si>
  <si>
    <t>李因琪</t>
  </si>
  <si>
    <t>1858</t>
  </si>
  <si>
    <t>李中甫</t>
  </si>
  <si>
    <t>1859</t>
  </si>
  <si>
    <t>熊光明</t>
  </si>
  <si>
    <t>1860</t>
  </si>
  <si>
    <t>易文聪</t>
  </si>
  <si>
    <t>1861</t>
  </si>
  <si>
    <t>张蕊</t>
  </si>
  <si>
    <t>1862</t>
  </si>
  <si>
    <t>王亚龙</t>
  </si>
  <si>
    <t>1863</t>
  </si>
  <si>
    <t>刘鹏飞</t>
  </si>
  <si>
    <t>1864</t>
  </si>
  <si>
    <t>朱兆东</t>
  </si>
  <si>
    <t>1865</t>
  </si>
  <si>
    <t>孙立祥</t>
  </si>
  <si>
    <t>1866</t>
  </si>
  <si>
    <t>苏国兵</t>
  </si>
  <si>
    <t>1867</t>
  </si>
  <si>
    <t>李红新</t>
  </si>
  <si>
    <t>1868</t>
  </si>
  <si>
    <t>曹昊</t>
  </si>
  <si>
    <t>1869</t>
  </si>
  <si>
    <t>韩贝贝</t>
  </si>
  <si>
    <t>1870</t>
  </si>
  <si>
    <t>杜光毅</t>
  </si>
  <si>
    <t>1871</t>
  </si>
  <si>
    <t>任宏润</t>
  </si>
  <si>
    <t>1872</t>
  </si>
  <si>
    <t>米金亮</t>
  </si>
  <si>
    <t>1873</t>
  </si>
  <si>
    <t>刘全响</t>
  </si>
  <si>
    <t>1874</t>
  </si>
  <si>
    <t>徐俊帅</t>
  </si>
  <si>
    <t>1875</t>
  </si>
  <si>
    <t>许奥奥</t>
  </si>
  <si>
    <t>1876</t>
  </si>
  <si>
    <t>李想</t>
  </si>
  <si>
    <t>1877</t>
  </si>
  <si>
    <t>贺志翔</t>
  </si>
  <si>
    <t>1878</t>
  </si>
  <si>
    <t>王鲁豫</t>
  </si>
  <si>
    <t>1879</t>
  </si>
  <si>
    <t>范博文</t>
  </si>
  <si>
    <t>1880</t>
  </si>
  <si>
    <t>沈方逸</t>
  </si>
  <si>
    <t>1881</t>
  </si>
  <si>
    <t>孙亚超</t>
  </si>
  <si>
    <t>1882</t>
  </si>
  <si>
    <t>周子祥</t>
  </si>
  <si>
    <t>1883</t>
  </si>
  <si>
    <t>1884</t>
  </si>
  <si>
    <t>刘威波</t>
  </si>
  <si>
    <t>1885</t>
  </si>
  <si>
    <t>董颖杰</t>
  </si>
  <si>
    <t>1886</t>
  </si>
  <si>
    <t>黄洋</t>
  </si>
  <si>
    <t>1887</t>
  </si>
  <si>
    <t>梁议友</t>
  </si>
  <si>
    <t>1888</t>
  </si>
  <si>
    <t>王康利</t>
  </si>
  <si>
    <t>1889</t>
  </si>
  <si>
    <t>刘灿</t>
  </si>
  <si>
    <t>1890</t>
  </si>
  <si>
    <t>王长久</t>
  </si>
  <si>
    <t>1891</t>
  </si>
  <si>
    <t>刘瑞祥</t>
  </si>
  <si>
    <t>1892</t>
  </si>
  <si>
    <t>刘立元</t>
  </si>
  <si>
    <t>1893</t>
  </si>
  <si>
    <t>刘家威</t>
  </si>
  <si>
    <t>1894</t>
  </si>
  <si>
    <t>郭笑天</t>
  </si>
  <si>
    <t>1895</t>
  </si>
  <si>
    <t>韩鑫</t>
  </si>
  <si>
    <t>1896</t>
  </si>
  <si>
    <t>孔凡信</t>
  </si>
  <si>
    <t>1897</t>
  </si>
  <si>
    <t>任智建</t>
  </si>
  <si>
    <t>1898</t>
  </si>
  <si>
    <t>张腾飞</t>
  </si>
  <si>
    <t>1899</t>
  </si>
  <si>
    <t>任旭</t>
  </si>
  <si>
    <t>1900</t>
  </si>
  <si>
    <t>黄嘉成</t>
  </si>
  <si>
    <t>1901</t>
  </si>
  <si>
    <t>盛前</t>
  </si>
  <si>
    <t>1902</t>
  </si>
  <si>
    <t>葛祥雨</t>
  </si>
  <si>
    <t>1903</t>
  </si>
  <si>
    <t>刘金良</t>
  </si>
  <si>
    <t>1904</t>
  </si>
  <si>
    <t>刘祖玺</t>
  </si>
  <si>
    <t>1905</t>
  </si>
  <si>
    <t>卢邵鸣</t>
  </si>
  <si>
    <t>1906</t>
  </si>
  <si>
    <t>赵引涛</t>
  </si>
  <si>
    <t>1907</t>
  </si>
  <si>
    <t>李贺</t>
  </si>
  <si>
    <t>1908</t>
  </si>
  <si>
    <t>丁毅</t>
  </si>
  <si>
    <t>1909</t>
  </si>
  <si>
    <t>冯壮</t>
  </si>
  <si>
    <t>1910</t>
  </si>
  <si>
    <t>郑建</t>
  </si>
  <si>
    <t>1911</t>
  </si>
  <si>
    <t>包睿</t>
  </si>
  <si>
    <t>1912</t>
  </si>
  <si>
    <t>李欢</t>
  </si>
  <si>
    <t>1913</t>
  </si>
  <si>
    <t>江传斌</t>
  </si>
  <si>
    <t>1914</t>
  </si>
  <si>
    <t>李明星</t>
  </si>
  <si>
    <t>1915</t>
  </si>
  <si>
    <t>徐连青</t>
  </si>
  <si>
    <t>1916</t>
  </si>
  <si>
    <t>王兴斌</t>
  </si>
  <si>
    <t>1917</t>
  </si>
  <si>
    <t>卢耀辉</t>
  </si>
  <si>
    <t>1918</t>
  </si>
  <si>
    <t>张兆骞</t>
  </si>
  <si>
    <t>1919</t>
  </si>
  <si>
    <t>赵鹏聪</t>
  </si>
  <si>
    <t>1920</t>
  </si>
  <si>
    <t>黄亮</t>
  </si>
  <si>
    <t>1921</t>
  </si>
  <si>
    <t>涂胜</t>
  </si>
  <si>
    <t>1922</t>
  </si>
  <si>
    <t>刘保力</t>
  </si>
  <si>
    <t>1923</t>
  </si>
  <si>
    <t>张智辉</t>
  </si>
  <si>
    <t>1924</t>
  </si>
  <si>
    <t>陈宜华</t>
  </si>
  <si>
    <t>1925</t>
  </si>
  <si>
    <t>徐鹏文</t>
  </si>
  <si>
    <t>1926</t>
  </si>
  <si>
    <t>王洋</t>
  </si>
  <si>
    <t>1927</t>
  </si>
  <si>
    <t>刘昊帛</t>
  </si>
  <si>
    <t>1928</t>
  </si>
  <si>
    <t>尹伟成</t>
  </si>
  <si>
    <t>1929</t>
  </si>
  <si>
    <t>孔程成</t>
  </si>
  <si>
    <t>1930</t>
  </si>
  <si>
    <t>刘光显</t>
  </si>
  <si>
    <t>1931</t>
  </si>
  <si>
    <t>周一</t>
  </si>
  <si>
    <t>1932</t>
  </si>
  <si>
    <t>陈佳硕</t>
  </si>
  <si>
    <t>1933</t>
  </si>
  <si>
    <t>韦振</t>
  </si>
  <si>
    <t>1934</t>
  </si>
  <si>
    <t>孟春节</t>
  </si>
  <si>
    <t>1935</t>
  </si>
  <si>
    <t>万永强</t>
  </si>
  <si>
    <t>1936</t>
  </si>
  <si>
    <t>马秦林</t>
  </si>
  <si>
    <t>1937</t>
  </si>
  <si>
    <t>倪德鑫</t>
  </si>
  <si>
    <t>1938</t>
  </si>
  <si>
    <t>余清虎</t>
  </si>
  <si>
    <t>1939</t>
  </si>
  <si>
    <t>申端成</t>
  </si>
  <si>
    <t>1940</t>
  </si>
  <si>
    <t>滕科良</t>
  </si>
  <si>
    <t>1941</t>
  </si>
  <si>
    <t>陈州</t>
  </si>
  <si>
    <t>1943</t>
  </si>
  <si>
    <t>李金涛</t>
  </si>
  <si>
    <t>1944</t>
  </si>
  <si>
    <t>千超飞</t>
  </si>
  <si>
    <t>1945</t>
  </si>
  <si>
    <t>王浩</t>
  </si>
  <si>
    <t>1946</t>
  </si>
  <si>
    <t>邹峰</t>
  </si>
  <si>
    <t>1947</t>
  </si>
  <si>
    <t>何松林</t>
  </si>
  <si>
    <t>1948</t>
  </si>
  <si>
    <t>邵欣</t>
  </si>
  <si>
    <t>1949</t>
  </si>
  <si>
    <t>王程民</t>
  </si>
  <si>
    <t>1950</t>
  </si>
  <si>
    <t>米海洋</t>
  </si>
  <si>
    <t>1951</t>
  </si>
  <si>
    <t>谭超</t>
  </si>
  <si>
    <t>1952</t>
  </si>
  <si>
    <t>1953</t>
  </si>
  <si>
    <t>张江</t>
  </si>
  <si>
    <t>1954</t>
  </si>
  <si>
    <t>潘骜</t>
  </si>
  <si>
    <t>1955</t>
  </si>
  <si>
    <t>刘进伟</t>
  </si>
  <si>
    <t>1956</t>
  </si>
  <si>
    <t>刘文汉</t>
  </si>
  <si>
    <t>1957</t>
  </si>
  <si>
    <t>孙洪亮</t>
  </si>
  <si>
    <t>1958</t>
  </si>
  <si>
    <t>雷博</t>
  </si>
  <si>
    <t>1959</t>
  </si>
  <si>
    <t>卢彩红</t>
  </si>
  <si>
    <t>1960</t>
  </si>
  <si>
    <t>彭佳伟</t>
  </si>
  <si>
    <t>1961</t>
  </si>
  <si>
    <t>程广良</t>
  </si>
  <si>
    <t>1962</t>
  </si>
  <si>
    <t>李洪兰</t>
  </si>
  <si>
    <t>1963</t>
  </si>
  <si>
    <t>车鸿宇</t>
  </si>
  <si>
    <t>1964</t>
  </si>
  <si>
    <t>蒋晶晶</t>
  </si>
  <si>
    <t>1965</t>
  </si>
  <si>
    <t>杨孟阳</t>
  </si>
  <si>
    <t>1966</t>
  </si>
  <si>
    <t>华鹏</t>
  </si>
  <si>
    <t>1967</t>
  </si>
  <si>
    <t>吴莉江</t>
  </si>
  <si>
    <t>1968</t>
  </si>
  <si>
    <t>张乾思</t>
  </si>
  <si>
    <t>1969</t>
  </si>
  <si>
    <t>1970</t>
  </si>
  <si>
    <t>晁亚婵</t>
  </si>
  <si>
    <t>1971</t>
  </si>
  <si>
    <t>1972</t>
  </si>
  <si>
    <t>陈永申</t>
  </si>
  <si>
    <t>1973</t>
  </si>
  <si>
    <t>1974</t>
  </si>
  <si>
    <t>1975</t>
  </si>
  <si>
    <t>吴祁</t>
  </si>
  <si>
    <t>1976</t>
  </si>
  <si>
    <t>杨朝翰</t>
  </si>
  <si>
    <t>1977</t>
  </si>
  <si>
    <t>晁东锋</t>
  </si>
  <si>
    <t>1978</t>
  </si>
  <si>
    <t>许四恒</t>
  </si>
  <si>
    <t>1979</t>
  </si>
  <si>
    <t>许颖</t>
  </si>
  <si>
    <t>1980</t>
  </si>
  <si>
    <t>王奇</t>
  </si>
  <si>
    <t>1981</t>
  </si>
  <si>
    <t>刘宁</t>
  </si>
  <si>
    <t>1983</t>
  </si>
  <si>
    <t>李志涛</t>
  </si>
  <si>
    <t>1984</t>
  </si>
  <si>
    <t>袁光帅</t>
  </si>
  <si>
    <t>1985</t>
  </si>
  <si>
    <t>叶青涛</t>
  </si>
  <si>
    <t>1986</t>
  </si>
  <si>
    <t>罗贤孝</t>
  </si>
  <si>
    <t>1987</t>
  </si>
  <si>
    <t>胡芬</t>
  </si>
  <si>
    <t>1988</t>
  </si>
  <si>
    <t>岳相国</t>
  </si>
  <si>
    <t>1989</t>
  </si>
  <si>
    <t>王琳</t>
  </si>
  <si>
    <t>1990</t>
  </si>
  <si>
    <t>邵成涛</t>
  </si>
  <si>
    <t>1991</t>
  </si>
  <si>
    <t>石荣山</t>
  </si>
  <si>
    <t>1992</t>
  </si>
  <si>
    <t>王俊鹏</t>
  </si>
  <si>
    <t>1993</t>
  </si>
  <si>
    <t>汪哲</t>
  </si>
  <si>
    <t>1994</t>
  </si>
  <si>
    <t>任浩宇</t>
  </si>
  <si>
    <t>1995</t>
  </si>
  <si>
    <t>张超</t>
  </si>
  <si>
    <t>1998</t>
  </si>
  <si>
    <t>叶成强</t>
  </si>
  <si>
    <t>1999</t>
  </si>
  <si>
    <t>程柱</t>
  </si>
  <si>
    <t>2000</t>
  </si>
  <si>
    <t>姜艳龙</t>
  </si>
  <si>
    <t>2001</t>
  </si>
  <si>
    <t>刘畅</t>
  </si>
  <si>
    <t>2002</t>
  </si>
  <si>
    <t>王峰</t>
  </si>
  <si>
    <t>2003</t>
  </si>
  <si>
    <t>朱喆</t>
  </si>
  <si>
    <t>2004</t>
  </si>
  <si>
    <t>张洁</t>
  </si>
  <si>
    <t>2005</t>
  </si>
  <si>
    <t>梅可</t>
  </si>
  <si>
    <t>2006</t>
  </si>
  <si>
    <t>张川</t>
  </si>
  <si>
    <t>2007</t>
  </si>
  <si>
    <t>章恒</t>
  </si>
  <si>
    <t>2008</t>
  </si>
  <si>
    <t>孙怀瑜</t>
  </si>
  <si>
    <t>2009</t>
  </si>
  <si>
    <t>孙怀聪</t>
  </si>
  <si>
    <t>2010</t>
  </si>
  <si>
    <t>郭伍岳</t>
  </si>
  <si>
    <t>2011</t>
  </si>
  <si>
    <t>郭丽媛</t>
  </si>
  <si>
    <t>2012</t>
  </si>
  <si>
    <t>杨传波</t>
  </si>
  <si>
    <t>2013</t>
  </si>
  <si>
    <t>宋天一</t>
  </si>
  <si>
    <t>2014</t>
  </si>
  <si>
    <t>赵小刚</t>
  </si>
  <si>
    <t>2015</t>
  </si>
  <si>
    <t>董华彬</t>
  </si>
  <si>
    <t>2016</t>
  </si>
  <si>
    <t>桂仲平</t>
  </si>
  <si>
    <t>2017</t>
  </si>
  <si>
    <t>杨爱宾</t>
  </si>
  <si>
    <t>2018</t>
  </si>
  <si>
    <t>罗攀</t>
  </si>
  <si>
    <t>2019</t>
  </si>
  <si>
    <t>朱阿勇</t>
  </si>
  <si>
    <t>2020</t>
  </si>
  <si>
    <t>汪威</t>
  </si>
  <si>
    <t>2021</t>
  </si>
  <si>
    <t>季宇思</t>
  </si>
  <si>
    <t>2022</t>
  </si>
  <si>
    <t>王俊宇</t>
  </si>
  <si>
    <t>2023</t>
  </si>
  <si>
    <t>高峰</t>
  </si>
  <si>
    <t>2024</t>
  </si>
  <si>
    <t>黄蒙蒙</t>
  </si>
  <si>
    <t>2025</t>
  </si>
  <si>
    <t>朱振中</t>
  </si>
  <si>
    <t>2026</t>
  </si>
  <si>
    <t>任进才</t>
  </si>
  <si>
    <t>2027</t>
  </si>
  <si>
    <t>王树文</t>
  </si>
  <si>
    <t>2028</t>
  </si>
  <si>
    <t>刘欢</t>
  </si>
  <si>
    <t>2029</t>
  </si>
  <si>
    <t>王泽宇</t>
  </si>
  <si>
    <t>2030</t>
  </si>
  <si>
    <t>万凯阳</t>
  </si>
  <si>
    <t>2031</t>
  </si>
  <si>
    <t>丁炎光</t>
  </si>
  <si>
    <t>2032</t>
  </si>
  <si>
    <t>秦成刚</t>
  </si>
  <si>
    <t>2033</t>
  </si>
  <si>
    <t>2034</t>
  </si>
  <si>
    <t>董全柱</t>
  </si>
  <si>
    <t>2035</t>
  </si>
  <si>
    <t>席朝阳</t>
  </si>
  <si>
    <t>2036</t>
  </si>
  <si>
    <t>2037</t>
  </si>
  <si>
    <t>柯希凡</t>
  </si>
  <si>
    <t>2038</t>
  </si>
  <si>
    <t>周鹏志</t>
  </si>
  <si>
    <t>2039</t>
  </si>
  <si>
    <t>胡志陈</t>
  </si>
  <si>
    <t>2040</t>
  </si>
  <si>
    <t>王宇航</t>
  </si>
  <si>
    <t>2041</t>
  </si>
  <si>
    <t>刘征</t>
  </si>
  <si>
    <t>2042</t>
  </si>
  <si>
    <t>王阿风</t>
  </si>
  <si>
    <t>2043</t>
  </si>
  <si>
    <t>胡苏苏</t>
  </si>
  <si>
    <t>2044</t>
  </si>
  <si>
    <t>张富源</t>
  </si>
  <si>
    <t>2045</t>
  </si>
  <si>
    <t>杨磊</t>
  </si>
  <si>
    <t>2046</t>
  </si>
  <si>
    <t>陈小强</t>
  </si>
  <si>
    <t>2047</t>
  </si>
  <si>
    <t>陈聪</t>
  </si>
  <si>
    <t>2048</t>
  </si>
  <si>
    <t>石雪</t>
  </si>
  <si>
    <t>2049</t>
  </si>
  <si>
    <t>杨国宏</t>
  </si>
  <si>
    <t>2050</t>
  </si>
  <si>
    <t>吕文利</t>
  </si>
  <si>
    <t>2051</t>
  </si>
  <si>
    <t>朱爱苗</t>
  </si>
  <si>
    <t>2052</t>
  </si>
  <si>
    <t>张克</t>
  </si>
  <si>
    <t>2053</t>
  </si>
  <si>
    <t>张万明</t>
  </si>
  <si>
    <t>2054</t>
  </si>
  <si>
    <t>2055</t>
  </si>
  <si>
    <t>程浩</t>
  </si>
  <si>
    <t>2056</t>
  </si>
  <si>
    <t>杨冰冰</t>
  </si>
  <si>
    <t>2057</t>
  </si>
  <si>
    <t>王言谨</t>
  </si>
  <si>
    <t>2058</t>
  </si>
  <si>
    <t>申红霞</t>
  </si>
  <si>
    <t>2059</t>
  </si>
  <si>
    <t>王志梁</t>
  </si>
  <si>
    <t>2060</t>
  </si>
  <si>
    <t>高璐</t>
  </si>
  <si>
    <t>2061</t>
  </si>
  <si>
    <t>屠天睿</t>
  </si>
  <si>
    <t>2062</t>
  </si>
  <si>
    <t>刘盛辉</t>
  </si>
  <si>
    <t>2063</t>
  </si>
  <si>
    <t>李国胜</t>
  </si>
  <si>
    <t>2064</t>
  </si>
  <si>
    <t>张家宝</t>
  </si>
  <si>
    <t>2065</t>
  </si>
  <si>
    <t>李荣珍</t>
  </si>
  <si>
    <t>2066</t>
  </si>
  <si>
    <t>王凤雪</t>
  </si>
  <si>
    <t>2067</t>
  </si>
  <si>
    <t>黄威</t>
  </si>
  <si>
    <t>2068</t>
  </si>
  <si>
    <t>孙义元</t>
  </si>
  <si>
    <t>2069</t>
  </si>
  <si>
    <t>杨旷</t>
  </si>
  <si>
    <t>2070</t>
  </si>
  <si>
    <t>郑传强</t>
  </si>
  <si>
    <t>2071</t>
  </si>
  <si>
    <t>缪博林</t>
  </si>
  <si>
    <t>2072</t>
  </si>
  <si>
    <t>张洪彬</t>
  </si>
  <si>
    <t>2073</t>
  </si>
  <si>
    <t>何文玲</t>
  </si>
  <si>
    <t>2074</t>
  </si>
  <si>
    <t>林梦龙</t>
  </si>
  <si>
    <t>2075</t>
  </si>
  <si>
    <t>2076</t>
  </si>
  <si>
    <t>陶晶睿</t>
  </si>
  <si>
    <t>2077</t>
  </si>
  <si>
    <t>徐晨晖</t>
  </si>
  <si>
    <t>2078</t>
  </si>
  <si>
    <t>熊经平</t>
  </si>
  <si>
    <t>2079</t>
  </si>
  <si>
    <t>黄陈章</t>
  </si>
  <si>
    <t>2080</t>
  </si>
  <si>
    <t>李达</t>
  </si>
  <si>
    <t>2081</t>
  </si>
  <si>
    <t>李科</t>
  </si>
  <si>
    <t>2082</t>
  </si>
  <si>
    <t>朱元鑫</t>
  </si>
  <si>
    <t>2083</t>
  </si>
  <si>
    <t>徐凯</t>
  </si>
  <si>
    <t>2084</t>
  </si>
  <si>
    <t>马梦玲</t>
  </si>
  <si>
    <t>2085</t>
  </si>
  <si>
    <t>2086</t>
  </si>
  <si>
    <t>隋晓东</t>
  </si>
  <si>
    <t>2087</t>
  </si>
  <si>
    <t>察建平</t>
  </si>
  <si>
    <t>2088</t>
  </si>
  <si>
    <t>高存梅</t>
  </si>
  <si>
    <t>2089</t>
  </si>
  <si>
    <t>崔雪姣</t>
  </si>
  <si>
    <t>2090</t>
  </si>
  <si>
    <t>王宗伟</t>
  </si>
  <si>
    <t>2091</t>
  </si>
  <si>
    <t>张涛</t>
  </si>
  <si>
    <t>2092</t>
  </si>
  <si>
    <t>马俊杰</t>
  </si>
  <si>
    <t>2093</t>
  </si>
  <si>
    <t>王达亮</t>
  </si>
  <si>
    <t>2094</t>
  </si>
  <si>
    <t>杨仕豪</t>
  </si>
  <si>
    <t>2095</t>
  </si>
  <si>
    <t>金自亮</t>
  </si>
  <si>
    <t>2096</t>
  </si>
  <si>
    <t>徐骏翔</t>
  </si>
  <si>
    <t>2098</t>
  </si>
  <si>
    <t>王森原</t>
  </si>
  <si>
    <t>2099</t>
  </si>
  <si>
    <t>皇甫培增</t>
  </si>
  <si>
    <t>2100</t>
  </si>
  <si>
    <t>张艳龙</t>
  </si>
  <si>
    <t>2101</t>
  </si>
  <si>
    <t>王堃</t>
  </si>
  <si>
    <t>2102</t>
  </si>
  <si>
    <t>陈强</t>
  </si>
  <si>
    <t>2103</t>
  </si>
  <si>
    <t>杨甫</t>
  </si>
  <si>
    <t>2104</t>
  </si>
  <si>
    <t>王晗</t>
  </si>
  <si>
    <t>2105</t>
  </si>
  <si>
    <t>米金久</t>
  </si>
  <si>
    <t>2106</t>
  </si>
  <si>
    <t>曹瑞</t>
  </si>
  <si>
    <t>2107</t>
  </si>
  <si>
    <t>陈靖</t>
  </si>
  <si>
    <t>2108</t>
  </si>
  <si>
    <t>李洪迪</t>
  </si>
  <si>
    <t>2109</t>
  </si>
  <si>
    <t>刘永全</t>
  </si>
  <si>
    <t>2110</t>
  </si>
  <si>
    <t>张政奇</t>
  </si>
  <si>
    <t>2111</t>
  </si>
  <si>
    <t>殷新龙</t>
  </si>
  <si>
    <t>2112</t>
  </si>
  <si>
    <t>段中华</t>
  </si>
  <si>
    <t>2113</t>
  </si>
  <si>
    <t>龚效</t>
  </si>
  <si>
    <t>2114</t>
  </si>
  <si>
    <t>许双</t>
  </si>
  <si>
    <t>2115</t>
  </si>
  <si>
    <t>胡涛</t>
  </si>
  <si>
    <t>2116</t>
  </si>
  <si>
    <t>陈陆春</t>
  </si>
  <si>
    <t>2117</t>
  </si>
  <si>
    <t>丁杰</t>
  </si>
  <si>
    <t>2118</t>
  </si>
  <si>
    <t>王壮</t>
  </si>
  <si>
    <t>2119</t>
  </si>
  <si>
    <t>侯建慧</t>
  </si>
  <si>
    <t>2120</t>
  </si>
  <si>
    <t>刘海柱</t>
  </si>
  <si>
    <t>2121</t>
  </si>
  <si>
    <t>廖林豪</t>
  </si>
  <si>
    <t>2122</t>
  </si>
  <si>
    <t>黄茜</t>
  </si>
  <si>
    <t>2123</t>
  </si>
  <si>
    <t>朱灿</t>
  </si>
  <si>
    <t>2124</t>
  </si>
  <si>
    <t>安春开</t>
  </si>
  <si>
    <t>2125</t>
  </si>
  <si>
    <t>宋岩</t>
  </si>
  <si>
    <t>2126</t>
  </si>
  <si>
    <t>徐德普</t>
  </si>
  <si>
    <t>2127</t>
  </si>
  <si>
    <t>朱正斌</t>
  </si>
  <si>
    <t>2128</t>
  </si>
  <si>
    <t>赵旭洋</t>
  </si>
  <si>
    <t>2129</t>
  </si>
  <si>
    <t>罗安</t>
  </si>
  <si>
    <t>2130</t>
  </si>
  <si>
    <t>黄加旭</t>
  </si>
  <si>
    <t>2131</t>
  </si>
  <si>
    <t>沈建</t>
  </si>
  <si>
    <t>2132</t>
  </si>
  <si>
    <t>2133</t>
  </si>
  <si>
    <t>黄跃</t>
  </si>
  <si>
    <t>2134</t>
  </si>
  <si>
    <t>孙艳兆</t>
  </si>
  <si>
    <t>2135</t>
  </si>
  <si>
    <t>倪英杰</t>
  </si>
  <si>
    <t>2136</t>
  </si>
  <si>
    <t>程俊辉</t>
  </si>
  <si>
    <t>2137</t>
  </si>
  <si>
    <t>甘青川</t>
  </si>
  <si>
    <t>2138</t>
  </si>
  <si>
    <t>2139</t>
  </si>
  <si>
    <t>陈代斌</t>
  </si>
  <si>
    <t>2140</t>
  </si>
  <si>
    <t>周毅</t>
  </si>
  <si>
    <t>8026</t>
  </si>
  <si>
    <t>梁开平</t>
  </si>
  <si>
    <t>员工号</t>
  </si>
  <si>
    <t>姓名</t>
  </si>
  <si>
    <t>卡号</t>
  </si>
  <si>
    <t>启动日期</t>
  </si>
  <si>
    <t>截止日期</t>
  </si>
  <si>
    <t>是否主卡</t>
  </si>
  <si>
    <t>000257</t>
  </si>
  <si>
    <t>2015-05-04</t>
  </si>
  <si>
    <t>2025-05-03</t>
  </si>
  <si>
    <t>True</t>
  </si>
  <si>
    <t>000145</t>
  </si>
  <si>
    <t>2015-03-23</t>
  </si>
  <si>
    <t>2025-03-22</t>
  </si>
  <si>
    <t>000116</t>
  </si>
  <si>
    <t>000115</t>
  </si>
  <si>
    <t>000048</t>
  </si>
  <si>
    <t>2015-03-20</t>
  </si>
  <si>
    <t>2025-03-19</t>
  </si>
  <si>
    <t>000119</t>
  </si>
  <si>
    <t>2015-05-18</t>
  </si>
  <si>
    <t>2025-05-17</t>
  </si>
  <si>
    <t>000120</t>
  </si>
  <si>
    <t>001</t>
  </si>
  <si>
    <t>临时工1</t>
  </si>
  <si>
    <t>000520</t>
  </si>
  <si>
    <t>2015-05-23</t>
  </si>
  <si>
    <t>2015-05-23 13:39:51</t>
  </si>
  <si>
    <t>000525</t>
  </si>
  <si>
    <t>2025-05-22</t>
  </si>
  <si>
    <t>000114</t>
  </si>
  <si>
    <t>2015-04-14</t>
  </si>
  <si>
    <t>2025-04-13</t>
  </si>
  <si>
    <t>000118</t>
  </si>
  <si>
    <t>2015-04-01</t>
  </si>
  <si>
    <t>2025-03-31</t>
  </si>
  <si>
    <t>000305</t>
  </si>
  <si>
    <t>2015-12-22</t>
  </si>
  <si>
    <t>2025-12-21</t>
  </si>
  <si>
    <t>000038</t>
  </si>
  <si>
    <t>000159</t>
  </si>
  <si>
    <t>002</t>
  </si>
  <si>
    <t>临时工2</t>
  </si>
  <si>
    <t>000526</t>
  </si>
  <si>
    <t>2015-07-16 8:53:40</t>
  </si>
  <si>
    <t>000521</t>
  </si>
  <si>
    <t>2015-05-23 13:42:02</t>
  </si>
  <si>
    <t>000687</t>
  </si>
  <si>
    <t>2025-05-23 13:42:02</t>
  </si>
  <si>
    <t>000671</t>
  </si>
  <si>
    <t>000140</t>
  </si>
  <si>
    <t>000155</t>
  </si>
  <si>
    <t>000879</t>
  </si>
  <si>
    <t>000127</t>
  </si>
  <si>
    <t>000156</t>
  </si>
  <si>
    <t>000133</t>
  </si>
  <si>
    <t>000141</t>
  </si>
  <si>
    <t>003</t>
  </si>
  <si>
    <t>临时工3</t>
  </si>
  <si>
    <t>000522</t>
  </si>
  <si>
    <t>2015-05-23 13:43:46</t>
  </si>
  <si>
    <t>000527</t>
  </si>
  <si>
    <t>000708</t>
  </si>
  <si>
    <t>000660</t>
  </si>
  <si>
    <t>000416</t>
  </si>
  <si>
    <t>000117</t>
  </si>
  <si>
    <t>2015-04-15</t>
  </si>
  <si>
    <t>2025-04-14</t>
  </si>
  <si>
    <t>000148</t>
  </si>
  <si>
    <t>000136</t>
  </si>
  <si>
    <t>004</t>
  </si>
  <si>
    <t>临时工4</t>
  </si>
  <si>
    <t>000528</t>
  </si>
  <si>
    <t>000523</t>
  </si>
  <si>
    <t>2015-05-23 13:45:13</t>
  </si>
  <si>
    <t>000349</t>
  </si>
  <si>
    <t>000354</t>
  </si>
  <si>
    <t>2015-05-25</t>
  </si>
  <si>
    <t>2025-05-24</t>
  </si>
  <si>
    <t>000242</t>
  </si>
  <si>
    <t>000355</t>
  </si>
  <si>
    <t>000329</t>
  </si>
  <si>
    <t>000344</t>
  </si>
  <si>
    <t>False</t>
  </si>
  <si>
    <t>000369</t>
  </si>
  <si>
    <t>000306</t>
  </si>
  <si>
    <t>2015-10-26</t>
  </si>
  <si>
    <t>2025-10-25</t>
  </si>
  <si>
    <t>000365</t>
  </si>
  <si>
    <t>2015-05-22</t>
  </si>
  <si>
    <t>2025-05-21</t>
  </si>
  <si>
    <t>005</t>
  </si>
  <si>
    <t>临时工5</t>
  </si>
  <si>
    <t>000524</t>
  </si>
  <si>
    <t>2015-05-23 13:48:24</t>
  </si>
  <si>
    <t>000530</t>
  </si>
  <si>
    <t>000709</t>
  </si>
  <si>
    <t>000002</t>
  </si>
  <si>
    <t>2015-03-24</t>
  </si>
  <si>
    <t>2025-03-23</t>
  </si>
  <si>
    <t>000376</t>
  </si>
  <si>
    <t>2015-11-08</t>
  </si>
  <si>
    <t>2025-11-07</t>
  </si>
  <si>
    <t>000374</t>
  </si>
  <si>
    <t>000307</t>
  </si>
  <si>
    <t>000379</t>
  </si>
  <si>
    <t>2015-03-31</t>
  </si>
  <si>
    <t>2025-03-30</t>
  </si>
  <si>
    <t>000310</t>
  </si>
  <si>
    <t>000328</t>
  </si>
  <si>
    <t>000045</t>
  </si>
  <si>
    <t>006</t>
  </si>
  <si>
    <t>临时工6</t>
  </si>
  <si>
    <t>000531</t>
  </si>
  <si>
    <t>000043</t>
  </si>
  <si>
    <t>000372</t>
  </si>
  <si>
    <t>000003</t>
  </si>
  <si>
    <t>000332</t>
  </si>
  <si>
    <t>2015-08-24</t>
  </si>
  <si>
    <t>2025-08-23</t>
  </si>
  <si>
    <t>000368</t>
  </si>
  <si>
    <t>007</t>
  </si>
  <si>
    <t>临时工7</t>
  </si>
  <si>
    <t>000532</t>
  </si>
  <si>
    <t>000382</t>
  </si>
  <si>
    <t>000562</t>
  </si>
  <si>
    <t>2015-06-05</t>
  </si>
  <si>
    <t>2025-06-04</t>
  </si>
  <si>
    <t>000765</t>
  </si>
  <si>
    <t>000390</t>
  </si>
  <si>
    <t>000042</t>
  </si>
  <si>
    <t>000205</t>
  </si>
  <si>
    <t>000047</t>
  </si>
  <si>
    <t>000046</t>
  </si>
  <si>
    <t>000303</t>
  </si>
  <si>
    <t>000559</t>
  </si>
  <si>
    <t>2015-06-02</t>
  </si>
  <si>
    <t>2025-06-01</t>
  </si>
  <si>
    <t>000299</t>
  </si>
  <si>
    <t>008</t>
  </si>
  <si>
    <t>临时工8</t>
  </si>
  <si>
    <t>000533</t>
  </si>
  <si>
    <t>000232</t>
  </si>
  <si>
    <t>000228</t>
  </si>
  <si>
    <t>2015-08-27</t>
  </si>
  <si>
    <t>2025-08-26</t>
  </si>
  <si>
    <t>000213</t>
  </si>
  <si>
    <t>2015-04-20</t>
  </si>
  <si>
    <t>2025-04-19</t>
  </si>
  <si>
    <t>000519</t>
  </si>
  <si>
    <t>000208</t>
  </si>
  <si>
    <t>000230</t>
  </si>
  <si>
    <t>000394</t>
  </si>
  <si>
    <t>000214</t>
  </si>
  <si>
    <t>000207</t>
  </si>
  <si>
    <t>000824</t>
  </si>
  <si>
    <t>009</t>
  </si>
  <si>
    <t>临时工9</t>
  </si>
  <si>
    <t>000534</t>
  </si>
  <si>
    <t>000223</t>
  </si>
  <si>
    <t>000211</t>
  </si>
  <si>
    <t>000216</t>
  </si>
  <si>
    <t>000231</t>
  </si>
  <si>
    <t>2015-04-22</t>
  </si>
  <si>
    <t>2025-04-21</t>
  </si>
  <si>
    <t>000298</t>
  </si>
  <si>
    <t>000226</t>
  </si>
  <si>
    <t>2015-11-02 8:07:43</t>
  </si>
  <si>
    <t>000251</t>
  </si>
  <si>
    <t>2015-09-06</t>
  </si>
  <si>
    <t>2025-09-05</t>
  </si>
  <si>
    <t>000247</t>
  </si>
  <si>
    <t>000781</t>
  </si>
  <si>
    <t>000246</t>
  </si>
  <si>
    <t>010</t>
  </si>
  <si>
    <t>临时工10</t>
  </si>
  <si>
    <t>000536</t>
  </si>
  <si>
    <t>000244</t>
  </si>
  <si>
    <t>000256</t>
  </si>
  <si>
    <t>2015-06-29 8:14:36</t>
  </si>
  <si>
    <t>000258</t>
  </si>
  <si>
    <t>000586</t>
  </si>
  <si>
    <t>000724</t>
  </si>
  <si>
    <t>000241</t>
  </si>
  <si>
    <t>000243</t>
  </si>
  <si>
    <t>000465</t>
  </si>
  <si>
    <t>000290</t>
  </si>
  <si>
    <t>000174</t>
  </si>
  <si>
    <t>011</t>
  </si>
  <si>
    <t>临时工11</t>
  </si>
  <si>
    <t>000537</t>
  </si>
  <si>
    <t>000277</t>
  </si>
  <si>
    <t>2015-03-28</t>
  </si>
  <si>
    <t>2025-03-27</t>
  </si>
  <si>
    <t>000482</t>
  </si>
  <si>
    <t>000061</t>
  </si>
  <si>
    <t>000184</t>
  </si>
  <si>
    <t>000259</t>
  </si>
  <si>
    <t>000507</t>
  </si>
  <si>
    <t>2015-05-11</t>
  </si>
  <si>
    <t>2015-07-02 9:34:52</t>
  </si>
  <si>
    <t>000636</t>
  </si>
  <si>
    <t>2999-07-02</t>
  </si>
  <si>
    <t>000081</t>
  </si>
  <si>
    <t>000293</t>
  </si>
  <si>
    <t>000191</t>
  </si>
  <si>
    <t>000260</t>
  </si>
  <si>
    <t>012</t>
  </si>
  <si>
    <t>临时工12</t>
  </si>
  <si>
    <t>000538</t>
  </si>
  <si>
    <t>000052</t>
  </si>
  <si>
    <t>000287</t>
  </si>
  <si>
    <t>000384</t>
  </si>
  <si>
    <t>000283</t>
  </si>
  <si>
    <t>000265</t>
  </si>
  <si>
    <t>013</t>
  </si>
  <si>
    <t>临时工13</t>
  </si>
  <si>
    <t>000539</t>
  </si>
  <si>
    <t>000276</t>
  </si>
  <si>
    <t>000176</t>
  </si>
  <si>
    <t>000194</t>
  </si>
  <si>
    <t>000161</t>
  </si>
  <si>
    <t>000197</t>
  </si>
  <si>
    <t>014</t>
  </si>
  <si>
    <t>临时工14</t>
  </si>
  <si>
    <t>000540</t>
  </si>
  <si>
    <t>000192</t>
  </si>
  <si>
    <t>2015-03-27</t>
  </si>
  <si>
    <t>2015-09-14 13:25:04</t>
  </si>
  <si>
    <t>000271</t>
  </si>
  <si>
    <t>000633</t>
  </si>
  <si>
    <t>000275</t>
  </si>
  <si>
    <t>000266</t>
  </si>
  <si>
    <t>000034</t>
  </si>
  <si>
    <t>000805</t>
  </si>
  <si>
    <t>000095</t>
  </si>
  <si>
    <t>000008</t>
  </si>
  <si>
    <t>000845</t>
  </si>
  <si>
    <t>000237</t>
  </si>
  <si>
    <t>015</t>
  </si>
  <si>
    <t>临时工15</t>
  </si>
  <si>
    <t>000541</t>
  </si>
  <si>
    <t>2015-06-15 10:26:03</t>
  </si>
  <si>
    <t>000590</t>
  </si>
  <si>
    <t>2025-06-15</t>
  </si>
  <si>
    <t>000874</t>
  </si>
  <si>
    <t>2015-06-08</t>
  </si>
  <si>
    <t>2025-06-07</t>
  </si>
  <si>
    <t>000375</t>
  </si>
  <si>
    <t>000239</t>
  </si>
  <si>
    <t>000240</t>
  </si>
  <si>
    <t>000019</t>
  </si>
  <si>
    <t>2015-07-31 9:29:02</t>
  </si>
  <si>
    <t>000352</t>
  </si>
  <si>
    <t>000889</t>
  </si>
  <si>
    <t>000425</t>
  </si>
  <si>
    <t>000111</t>
  </si>
  <si>
    <t>000098</t>
  </si>
  <si>
    <t>000101</t>
  </si>
  <si>
    <t>000106</t>
  </si>
  <si>
    <t>000102</t>
  </si>
  <si>
    <t>016</t>
  </si>
  <si>
    <t>临时工16</t>
  </si>
  <si>
    <t>000542</t>
  </si>
  <si>
    <t>000109</t>
  </si>
  <si>
    <t>000096</t>
  </si>
  <si>
    <t>000088</t>
  </si>
  <si>
    <t>000112</t>
  </si>
  <si>
    <t>000017</t>
  </si>
  <si>
    <t>000103</t>
  </si>
  <si>
    <t>000090</t>
  </si>
  <si>
    <t>000529</t>
  </si>
  <si>
    <t>000135</t>
  </si>
  <si>
    <t>017</t>
  </si>
  <si>
    <t>临时工17</t>
  </si>
  <si>
    <t>000543</t>
  </si>
  <si>
    <t>000091</t>
  </si>
  <si>
    <t>陈成</t>
  </si>
  <si>
    <t>000089</t>
  </si>
  <si>
    <t>000093</t>
  </si>
  <si>
    <t>000092</t>
  </si>
  <si>
    <t>000289</t>
  </si>
  <si>
    <t>000083</t>
  </si>
  <si>
    <t>000204</t>
  </si>
  <si>
    <t>000009</t>
  </si>
  <si>
    <t>2015-12-02 9:28:36</t>
  </si>
  <si>
    <t>000386</t>
  </si>
  <si>
    <t>2025-06-02 9:28:36</t>
  </si>
  <si>
    <t>000078</t>
  </si>
  <si>
    <t>018</t>
  </si>
  <si>
    <t>临时工18</t>
  </si>
  <si>
    <t>000544</t>
  </si>
  <si>
    <t>000094</t>
  </si>
  <si>
    <t>000134</t>
  </si>
  <si>
    <t>000044</t>
  </si>
  <si>
    <t>000273</t>
  </si>
  <si>
    <t>000793</t>
  </si>
  <si>
    <t>000768</t>
  </si>
  <si>
    <t>000234</t>
  </si>
  <si>
    <t>019</t>
  </si>
  <si>
    <t>临时工19</t>
  </si>
  <si>
    <t>000545</t>
  </si>
  <si>
    <t>000182</t>
  </si>
  <si>
    <t>2015-10-12</t>
  </si>
  <si>
    <t>2025-10-11</t>
  </si>
  <si>
    <t>000867</t>
  </si>
  <si>
    <t>000166</t>
  </si>
  <si>
    <t>2025-03-26</t>
  </si>
  <si>
    <t>000193</t>
  </si>
  <si>
    <t>000326</t>
  </si>
  <si>
    <t>2015-12-15</t>
  </si>
  <si>
    <t>2025-12-14</t>
  </si>
  <si>
    <t>000350</t>
  </si>
  <si>
    <t>000614</t>
  </si>
  <si>
    <t>2015-06-30</t>
  </si>
  <si>
    <t>2015-07-24 16:05:00</t>
  </si>
  <si>
    <t>000702</t>
  </si>
  <si>
    <t>2015-07-24</t>
  </si>
  <si>
    <t>2025-07-23</t>
  </si>
  <si>
    <t>020</t>
  </si>
  <si>
    <t>临时工20</t>
  </si>
  <si>
    <t>000546</t>
  </si>
  <si>
    <t>000297</t>
  </si>
  <si>
    <t>000202</t>
  </si>
  <si>
    <t>000725</t>
  </si>
  <si>
    <t>2015-10-09 14:17:22</t>
  </si>
  <si>
    <t>000658</t>
  </si>
  <si>
    <t>000582</t>
  </si>
  <si>
    <t>000383</t>
  </si>
  <si>
    <t>000131</t>
  </si>
  <si>
    <t>021</t>
  </si>
  <si>
    <t>临时工21</t>
  </si>
  <si>
    <t>000547</t>
  </si>
  <si>
    <t>000249</t>
  </si>
  <si>
    <t>2015-09-07</t>
  </si>
  <si>
    <t>2025-09-06</t>
  </si>
  <si>
    <t>000294</t>
  </si>
  <si>
    <t>2015-09-11 15:45:09</t>
  </si>
  <si>
    <t>000199</t>
  </si>
  <si>
    <t>000154</t>
  </si>
  <si>
    <t>022</t>
  </si>
  <si>
    <t>临时工22</t>
  </si>
  <si>
    <t>000548</t>
  </si>
  <si>
    <t>000149</t>
  </si>
  <si>
    <t>000461</t>
  </si>
  <si>
    <t>2015-04-13</t>
  </si>
  <si>
    <t>2025-04-12</t>
  </si>
  <si>
    <t>000304</t>
  </si>
  <si>
    <t>000380</t>
  </si>
  <si>
    <t>000097</t>
  </si>
  <si>
    <t>000179</t>
  </si>
  <si>
    <t>2015-11-02 15:02:30</t>
  </si>
  <si>
    <t>000201</t>
  </si>
  <si>
    <t>023</t>
  </si>
  <si>
    <t>临时工23</t>
  </si>
  <si>
    <t>000549</t>
  </si>
  <si>
    <t>000387</t>
  </si>
  <si>
    <t>2015-03-17</t>
  </si>
  <si>
    <t>2015-12-18 16:15:54</t>
  </si>
  <si>
    <t>000007</t>
  </si>
  <si>
    <t>2025-03-16</t>
  </si>
  <si>
    <t>000342</t>
  </si>
  <si>
    <t>2015-10-08</t>
  </si>
  <si>
    <t>2015-12-07 9:33:26</t>
  </si>
  <si>
    <t>000222</t>
  </si>
  <si>
    <t>024</t>
  </si>
  <si>
    <t>临时工24</t>
  </si>
  <si>
    <t>000550</t>
  </si>
  <si>
    <t>025</t>
  </si>
  <si>
    <t>临时工25</t>
  </si>
  <si>
    <t>000551</t>
  </si>
  <si>
    <t>026</t>
  </si>
  <si>
    <t>临时工26</t>
  </si>
  <si>
    <t>000554</t>
  </si>
  <si>
    <t>000679</t>
  </si>
  <si>
    <t>000285</t>
  </si>
  <si>
    <t>000291</t>
  </si>
  <si>
    <t>000203</t>
  </si>
  <si>
    <t>000235</t>
  </si>
  <si>
    <t>2015-03-24 13:35:59</t>
  </si>
  <si>
    <t>000423</t>
  </si>
  <si>
    <t>000252</t>
  </si>
  <si>
    <t>2015-06-04</t>
  </si>
  <si>
    <t>2025-06-03</t>
  </si>
  <si>
    <t>027</t>
  </si>
  <si>
    <t>临时卡27</t>
  </si>
  <si>
    <t>000555</t>
  </si>
  <si>
    <t>000381</t>
  </si>
  <si>
    <t>000320</t>
  </si>
  <si>
    <t>000311</t>
  </si>
  <si>
    <t>000157</t>
  </si>
  <si>
    <t>000168</t>
  </si>
  <si>
    <t>000172</t>
  </si>
  <si>
    <t>000198</t>
  </si>
  <si>
    <t>028</t>
  </si>
  <si>
    <t>临时工28</t>
  </si>
  <si>
    <t>000574</t>
  </si>
  <si>
    <t>2015-06-10</t>
  </si>
  <si>
    <t>2025-06-09</t>
  </si>
  <si>
    <t>000051</t>
  </si>
  <si>
    <t>029</t>
  </si>
  <si>
    <t>临时工29</t>
  </si>
  <si>
    <t>000575</t>
  </si>
  <si>
    <t>000132</t>
  </si>
  <si>
    <t>000227</t>
  </si>
  <si>
    <t>2015-06-09 11:05:40</t>
  </si>
  <si>
    <t>000137</t>
  </si>
  <si>
    <t>000173</t>
  </si>
  <si>
    <t>030</t>
  </si>
  <si>
    <t>临时工30</t>
  </si>
  <si>
    <t>000580</t>
  </si>
  <si>
    <t>2015-06-11</t>
  </si>
  <si>
    <t>2025-06-10</t>
  </si>
  <si>
    <t>000099</t>
  </si>
  <si>
    <t>000330</t>
  </si>
  <si>
    <t>000495</t>
  </si>
  <si>
    <t>031</t>
  </si>
  <si>
    <t>临时工31</t>
  </si>
  <si>
    <t>000579</t>
  </si>
  <si>
    <t>000125</t>
  </si>
  <si>
    <t>000139</t>
  </si>
  <si>
    <t>000158</t>
  </si>
  <si>
    <t>000881</t>
  </si>
  <si>
    <t>000212</t>
  </si>
  <si>
    <t>000286</t>
  </si>
  <si>
    <t>032</t>
  </si>
  <si>
    <t>临时工32</t>
  </si>
  <si>
    <t>000581</t>
  </si>
  <si>
    <t>000152</t>
  </si>
  <si>
    <t>000358</t>
  </si>
  <si>
    <t>000356</t>
  </si>
  <si>
    <t>000364</t>
  </si>
  <si>
    <t>033</t>
  </si>
  <si>
    <t>临时工33</t>
  </si>
  <si>
    <t>000650</t>
  </si>
  <si>
    <t>2015-07-08</t>
  </si>
  <si>
    <t>2025-07-07</t>
  </si>
  <si>
    <t>000761</t>
  </si>
  <si>
    <t>000720</t>
  </si>
  <si>
    <t>2015-08-01</t>
  </si>
  <si>
    <t>2025-08-30 8:57:36</t>
  </si>
  <si>
    <t>000338</t>
  </si>
  <si>
    <t>2015-03-30 8:57:36</t>
  </si>
  <si>
    <t>000301</t>
  </si>
  <si>
    <t>000300</t>
  </si>
  <si>
    <t>000123</t>
  </si>
  <si>
    <t>2015-12-01 9:34:38</t>
  </si>
  <si>
    <t>000333</t>
  </si>
  <si>
    <t>034</t>
  </si>
  <si>
    <t>临时工34</t>
  </si>
  <si>
    <t>000651</t>
  </si>
  <si>
    <t>000347</t>
  </si>
  <si>
    <t>000377</t>
  </si>
  <si>
    <t>000466</t>
  </si>
  <si>
    <t>000255</t>
  </si>
  <si>
    <t>2015-07-14 17:01:10</t>
  </si>
  <si>
    <t>000676</t>
  </si>
  <si>
    <t>2015-07-14</t>
  </si>
  <si>
    <t>2025-07-13</t>
  </si>
  <si>
    <t>000272</t>
  </si>
  <si>
    <t>000150</t>
  </si>
  <si>
    <t>000153</t>
  </si>
  <si>
    <t>000128</t>
  </si>
  <si>
    <t>000253</t>
  </si>
  <si>
    <t>000351</t>
  </si>
  <si>
    <t>035</t>
  </si>
  <si>
    <t>临时工35</t>
  </si>
  <si>
    <t>000652</t>
  </si>
  <si>
    <t>000220</t>
  </si>
  <si>
    <t>2015-05-28</t>
  </si>
  <si>
    <t>2025-05-27</t>
  </si>
  <si>
    <t>000318</t>
  </si>
  <si>
    <t>000321</t>
  </si>
  <si>
    <t>036</t>
  </si>
  <si>
    <t>临时卡36</t>
  </si>
  <si>
    <t>000653</t>
  </si>
  <si>
    <t>000762</t>
  </si>
  <si>
    <t>000353</t>
  </si>
  <si>
    <t>000146</t>
  </si>
  <si>
    <t>000295</t>
  </si>
  <si>
    <t>000151</t>
  </si>
  <si>
    <t>000138</t>
  </si>
  <si>
    <t>000462</t>
  </si>
  <si>
    <t>037</t>
  </si>
  <si>
    <t>临时工37</t>
  </si>
  <si>
    <t>000680</t>
  </si>
  <si>
    <t>2015-07-15</t>
  </si>
  <si>
    <t>2025-07-14</t>
  </si>
  <si>
    <t>000284</t>
  </si>
  <si>
    <t>000185</t>
  </si>
  <si>
    <t>000196</t>
  </si>
  <si>
    <t>000164</t>
  </si>
  <si>
    <t>000189</t>
  </si>
  <si>
    <t>000175</t>
  </si>
  <si>
    <t>2015-04-10</t>
  </si>
  <si>
    <t>2025-04-09</t>
  </si>
  <si>
    <t>000245</t>
  </si>
  <si>
    <t>038</t>
  </si>
  <si>
    <t>临时工38</t>
  </si>
  <si>
    <t>000681</t>
  </si>
  <si>
    <t>000371</t>
  </si>
  <si>
    <t>2015-03-30</t>
  </si>
  <si>
    <t>2025-03-29</t>
  </si>
  <si>
    <t>000181</t>
  </si>
  <si>
    <t>2015-11-06 9:13:56</t>
  </si>
  <si>
    <t>000180</t>
  </si>
  <si>
    <t>000062</t>
  </si>
  <si>
    <t>000065</t>
  </si>
  <si>
    <t>000077</t>
  </si>
  <si>
    <t>000170</t>
  </si>
  <si>
    <t>000494</t>
  </si>
  <si>
    <t>039</t>
  </si>
  <si>
    <t>临时工39</t>
  </si>
  <si>
    <t>000682</t>
  </si>
  <si>
    <t>000335</t>
  </si>
  <si>
    <t>000331</t>
  </si>
  <si>
    <t>000269</t>
  </si>
  <si>
    <t>000063</t>
  </si>
  <si>
    <t>040</t>
  </si>
  <si>
    <t>临时工40</t>
  </si>
  <si>
    <t>000710</t>
  </si>
  <si>
    <t>2015-07-28</t>
  </si>
  <si>
    <t>2025-07-27</t>
  </si>
  <si>
    <t>000069</t>
  </si>
  <si>
    <t>000339</t>
  </si>
  <si>
    <t>000142</t>
  </si>
  <si>
    <t>000160</t>
  </si>
  <si>
    <t>000221</t>
  </si>
  <si>
    <t>000327</t>
  </si>
  <si>
    <t>000218</t>
  </si>
  <si>
    <t>041</t>
  </si>
  <si>
    <t>临时工41</t>
  </si>
  <si>
    <t>000711</t>
  </si>
  <si>
    <t>000325</t>
  </si>
  <si>
    <t>000071</t>
  </si>
  <si>
    <t>000049</t>
  </si>
  <si>
    <t>000068</t>
  </si>
  <si>
    <t>000296</t>
  </si>
  <si>
    <t>2015-05-19 15:29:31</t>
  </si>
  <si>
    <t>000391</t>
  </si>
  <si>
    <t>000236</t>
  </si>
  <si>
    <t>000336</t>
  </si>
  <si>
    <t>000596</t>
  </si>
  <si>
    <t>2015-06-17</t>
  </si>
  <si>
    <t>2025-06-16</t>
  </si>
  <si>
    <t>000359</t>
  </si>
  <si>
    <t>2015-06-09</t>
  </si>
  <si>
    <t>2025-06-08</t>
  </si>
  <si>
    <t>042</t>
  </si>
  <si>
    <t>临时工42</t>
  </si>
  <si>
    <t>000712</t>
  </si>
  <si>
    <t>000124</t>
  </si>
  <si>
    <t>000011</t>
  </si>
  <si>
    <t>043</t>
  </si>
  <si>
    <t>临时工43</t>
  </si>
  <si>
    <t>000735</t>
  </si>
  <si>
    <t>2015-08-19</t>
  </si>
  <si>
    <t>2025-08-18</t>
  </si>
  <si>
    <t>000076</t>
  </si>
  <si>
    <t>044</t>
  </si>
  <si>
    <t>临时工44</t>
  </si>
  <si>
    <t>000736</t>
  </si>
  <si>
    <t>000319</t>
  </si>
  <si>
    <t>000110</t>
  </si>
  <si>
    <t>000250</t>
  </si>
  <si>
    <t>000343</t>
  </si>
  <si>
    <t>045</t>
  </si>
  <si>
    <t>临时工45</t>
  </si>
  <si>
    <t>000737</t>
  </si>
  <si>
    <t>000385</t>
  </si>
  <si>
    <t>000190</t>
  </si>
  <si>
    <t>000130</t>
  </si>
  <si>
    <t>2015-12-17 13:46:06</t>
  </si>
  <si>
    <t>000254</t>
  </si>
  <si>
    <t>000147</t>
  </si>
  <si>
    <t>000129</t>
  </si>
  <si>
    <t>046</t>
  </si>
  <si>
    <t>临时工46</t>
  </si>
  <si>
    <t>000738</t>
  </si>
  <si>
    <t>000126</t>
  </si>
  <si>
    <t>000463</t>
  </si>
  <si>
    <t>000079</t>
  </si>
  <si>
    <t>000317</t>
  </si>
  <si>
    <t>000357</t>
  </si>
  <si>
    <t>000566</t>
  </si>
  <si>
    <t>047</t>
  </si>
  <si>
    <t>临时工47</t>
  </si>
  <si>
    <t>000739</t>
  </si>
  <si>
    <t>000080</t>
  </si>
  <si>
    <t>000186</t>
  </si>
  <si>
    <t>000067</t>
  </si>
  <si>
    <t>2015-09-16 15:50:20</t>
  </si>
  <si>
    <t>000345</t>
  </si>
  <si>
    <t>000058</t>
  </si>
  <si>
    <t>000302</t>
  </si>
  <si>
    <t>000370</t>
  </si>
  <si>
    <t>000074</t>
  </si>
  <si>
    <t>000057</t>
  </si>
  <si>
    <t>048</t>
  </si>
  <si>
    <t>临时工48</t>
  </si>
  <si>
    <t>000740</t>
  </si>
  <si>
    <t>000041</t>
  </si>
  <si>
    <t>000363</t>
  </si>
  <si>
    <t>000367</t>
  </si>
  <si>
    <t>000322</t>
  </si>
  <si>
    <t>2015-11-05</t>
  </si>
  <si>
    <t>2025-11-04</t>
  </si>
  <si>
    <t>000113</t>
  </si>
  <si>
    <t>049</t>
  </si>
  <si>
    <t>临时卡49</t>
  </si>
  <si>
    <t>000741</t>
  </si>
  <si>
    <t>000219</t>
  </si>
  <si>
    <t>000278</t>
  </si>
  <si>
    <t>000055</t>
  </si>
  <si>
    <t>000886</t>
  </si>
  <si>
    <t>000029</t>
  </si>
  <si>
    <t>2015-07-08 9:18:02</t>
  </si>
  <si>
    <t>000206</t>
  </si>
  <si>
    <t>000427</t>
  </si>
  <si>
    <t>000060</t>
  </si>
  <si>
    <t>000187</t>
  </si>
  <si>
    <t>000070</t>
  </si>
  <si>
    <t>2015-11-05 11:18:20</t>
  </si>
  <si>
    <t>000361</t>
  </si>
  <si>
    <t>050</t>
  </si>
  <si>
    <t>临时工50</t>
  </si>
  <si>
    <t>000742</t>
  </si>
  <si>
    <t>000075</t>
  </si>
  <si>
    <t>000309</t>
  </si>
  <si>
    <t>000163</t>
  </si>
  <si>
    <t>000178</t>
  </si>
  <si>
    <t>2015-09-24 13:52:09</t>
  </si>
  <si>
    <t>000177</t>
  </si>
  <si>
    <t>051</t>
  </si>
  <si>
    <t>临时工51</t>
  </si>
  <si>
    <t>000743</t>
  </si>
  <si>
    <t>000323</t>
  </si>
  <si>
    <t>000366</t>
  </si>
  <si>
    <t>000014</t>
  </si>
  <si>
    <t>000373</t>
  </si>
  <si>
    <t>2015-05-25 16:50:01</t>
  </si>
  <si>
    <t>000013</t>
  </si>
  <si>
    <t>000210</t>
  </si>
  <si>
    <t>000028</t>
  </si>
  <si>
    <t>000649</t>
  </si>
  <si>
    <t>000018</t>
  </si>
  <si>
    <t>052</t>
  </si>
  <si>
    <t>临时工52</t>
  </si>
  <si>
    <t>000744</t>
  </si>
  <si>
    <t>000346</t>
  </si>
  <si>
    <t>000087</t>
  </si>
  <si>
    <t>000059</t>
  </si>
  <si>
    <t>2015-10-13 10:57:18</t>
  </si>
  <si>
    <t>000084</t>
  </si>
  <si>
    <t>2015-09-11 16:39:00</t>
  </si>
  <si>
    <t>000169</t>
  </si>
  <si>
    <t>000292</t>
  </si>
  <si>
    <t>000360</t>
  </si>
  <si>
    <t>2015-08-11</t>
  </si>
  <si>
    <t>2025-08-10</t>
  </si>
  <si>
    <t>053</t>
  </si>
  <si>
    <t>临时工53</t>
  </si>
  <si>
    <t>000745</t>
  </si>
  <si>
    <t>000264</t>
  </si>
  <si>
    <t>000073</t>
  </si>
  <si>
    <t>2015-08-27 16:00:48</t>
  </si>
  <si>
    <t>000843</t>
  </si>
  <si>
    <t>2015-10-21</t>
  </si>
  <si>
    <t>2025-10-20</t>
  </si>
  <si>
    <t>000195</t>
  </si>
  <si>
    <t>000200</t>
  </si>
  <si>
    <t>2015-08-26 13:42:01</t>
  </si>
  <si>
    <t>000183</t>
  </si>
  <si>
    <t>054</t>
  </si>
  <si>
    <t>临时工54</t>
  </si>
  <si>
    <t>000746</t>
  </si>
  <si>
    <t>000162</t>
  </si>
  <si>
    <t>000348</t>
  </si>
  <si>
    <t>000217</t>
  </si>
  <si>
    <t>000267</t>
  </si>
  <si>
    <t>2015-09-22 15:05:38</t>
  </si>
  <si>
    <t>000086</t>
  </si>
  <si>
    <t>2015-11-13 11:33:50</t>
  </si>
  <si>
    <t>000171</t>
  </si>
  <si>
    <t>000064</t>
  </si>
  <si>
    <t>000483</t>
  </si>
  <si>
    <t>2015-10-16 11:16:25</t>
  </si>
  <si>
    <t>055</t>
  </si>
  <si>
    <t>临时工55</t>
  </si>
  <si>
    <t>000747</t>
  </si>
  <si>
    <t>000279</t>
  </si>
  <si>
    <t>000167</t>
  </si>
  <si>
    <t>000261</t>
  </si>
  <si>
    <t>000082</t>
  </si>
  <si>
    <t>000362</t>
  </si>
  <si>
    <t>000316</t>
  </si>
  <si>
    <t>000315</t>
  </si>
  <si>
    <t>056</t>
  </si>
  <si>
    <t>临时工56</t>
  </si>
  <si>
    <t>000748</t>
  </si>
  <si>
    <t>000262</t>
  </si>
  <si>
    <t>000165</t>
  </si>
  <si>
    <t>000122</t>
  </si>
  <si>
    <t>000274</t>
  </si>
  <si>
    <t>000281</t>
  </si>
  <si>
    <t>000053</t>
  </si>
  <si>
    <t>000066</t>
  </si>
  <si>
    <t>000703</t>
  </si>
  <si>
    <t>057</t>
  </si>
  <si>
    <t>临时工57</t>
  </si>
  <si>
    <t>000749</t>
  </si>
  <si>
    <t>000054</t>
  </si>
  <si>
    <t>000268</t>
  </si>
  <si>
    <t>000004</t>
  </si>
  <si>
    <t>2015-10-27 13:36:26</t>
  </si>
  <si>
    <t>000312</t>
  </si>
  <si>
    <t>2015-06-15 10:22:42</t>
  </si>
  <si>
    <t>000037</t>
  </si>
  <si>
    <t>2015-06-25 7:49:52</t>
  </si>
  <si>
    <t>058</t>
  </si>
  <si>
    <t>临时工58</t>
  </si>
  <si>
    <t>000750</t>
  </si>
  <si>
    <t>000270</t>
  </si>
  <si>
    <t>000263</t>
  </si>
  <si>
    <t>000340</t>
  </si>
  <si>
    <t>2015-07-13</t>
  </si>
  <si>
    <t>2025-07-12</t>
  </si>
  <si>
    <t>000496</t>
  </si>
  <si>
    <t>2015-08-03 8:09:55</t>
  </si>
  <si>
    <t>000143</t>
  </si>
  <si>
    <t>000035</t>
  </si>
  <si>
    <t>000023</t>
  </si>
  <si>
    <t>2015-07-13 9:10:30</t>
  </si>
  <si>
    <t>000030</t>
  </si>
  <si>
    <t>059</t>
  </si>
  <si>
    <t>临时工59</t>
  </si>
  <si>
    <t>000751</t>
  </si>
  <si>
    <t>000188</t>
  </si>
  <si>
    <t>000032</t>
  </si>
  <si>
    <t>000012</t>
  </si>
  <si>
    <t>000031</t>
  </si>
  <si>
    <t>000209</t>
  </si>
  <si>
    <t>000392</t>
  </si>
  <si>
    <t>000005</t>
  </si>
  <si>
    <t>000022</t>
  </si>
  <si>
    <t>2015-05-22 15:06:43</t>
  </si>
  <si>
    <t>000280</t>
  </si>
  <si>
    <t>060</t>
  </si>
  <si>
    <t>临时工60</t>
  </si>
  <si>
    <t>000752</t>
  </si>
  <si>
    <t>000378</t>
  </si>
  <si>
    <t>000282</t>
  </si>
  <si>
    <t>000025</t>
  </si>
  <si>
    <t>2015-05-25 11:51:13</t>
  </si>
  <si>
    <t>000021</t>
  </si>
  <si>
    <t>2015-04-13 11:03:40</t>
  </si>
  <si>
    <t>000026</t>
  </si>
  <si>
    <t>000020</t>
  </si>
  <si>
    <t>000878</t>
  </si>
  <si>
    <t>000324</t>
  </si>
  <si>
    <t>000039</t>
  </si>
  <si>
    <t>2015-12-23 9:59:54</t>
  </si>
  <si>
    <t>000085</t>
  </si>
  <si>
    <t>061</t>
  </si>
  <si>
    <t>临时工61</t>
  </si>
  <si>
    <t>000753</t>
  </si>
  <si>
    <t>000314</t>
  </si>
  <si>
    <t>2015-05-07 8:34:17</t>
  </si>
  <si>
    <t>000225</t>
  </si>
  <si>
    <t>000224</t>
  </si>
  <si>
    <t>000040</t>
  </si>
  <si>
    <t>000783</t>
  </si>
  <si>
    <t>000010</t>
  </si>
  <si>
    <t>000033</t>
  </si>
  <si>
    <t>000288</t>
  </si>
  <si>
    <t>2015-05-18 9:03:05</t>
  </si>
  <si>
    <t>000414</t>
  </si>
  <si>
    <t>000433</t>
  </si>
  <si>
    <t>062</t>
  </si>
  <si>
    <t>临时工62</t>
  </si>
  <si>
    <t>000754</t>
  </si>
  <si>
    <t>000497</t>
  </si>
  <si>
    <t>2015-05-18 9:03:14</t>
  </si>
  <si>
    <t>000498</t>
  </si>
  <si>
    <t>000499</t>
  </si>
  <si>
    <t>000500</t>
  </si>
  <si>
    <t>000502</t>
  </si>
  <si>
    <t>2015-05-22 15:07:01</t>
  </si>
  <si>
    <t>000503</t>
  </si>
  <si>
    <t>2015-05-05</t>
  </si>
  <si>
    <t>2015-05-29 16:07:43</t>
  </si>
  <si>
    <t>000504</t>
  </si>
  <si>
    <t>2015-05-06</t>
  </si>
  <si>
    <t>2025-05-05</t>
  </si>
  <si>
    <t>000647</t>
  </si>
  <si>
    <t>2015-08-04 15:14:12</t>
  </si>
  <si>
    <t>000505</t>
  </si>
  <si>
    <t>2015-08-04 15:14:21</t>
  </si>
  <si>
    <t>000506</t>
  </si>
  <si>
    <t>2015-05-07</t>
  </si>
  <si>
    <t>2025-05-06</t>
  </si>
  <si>
    <t>000024</t>
  </si>
  <si>
    <t>063</t>
  </si>
  <si>
    <t>临时工63</t>
  </si>
  <si>
    <t>000755</t>
  </si>
  <si>
    <t>000001</t>
  </si>
  <si>
    <t>2015-11-05 13:01:03</t>
  </si>
  <si>
    <t>000036</t>
  </si>
  <si>
    <t>000585</t>
  </si>
  <si>
    <t>000238</t>
  </si>
  <si>
    <t>000016</t>
  </si>
  <si>
    <t>000015</t>
  </si>
  <si>
    <t>000308</t>
  </si>
  <si>
    <t>000313</t>
  </si>
  <si>
    <t>000444</t>
  </si>
  <si>
    <t>2015-12-01 8:45:57</t>
  </si>
  <si>
    <t>064</t>
  </si>
  <si>
    <t>临时工64</t>
  </si>
  <si>
    <t>000756</t>
  </si>
  <si>
    <t>000056</t>
  </si>
  <si>
    <t>000027</t>
  </si>
  <si>
    <t>000334</t>
  </si>
  <si>
    <t>000341</t>
  </si>
  <si>
    <t>000337</t>
  </si>
  <si>
    <t>000452</t>
  </si>
  <si>
    <t>2015-05-22 15:07:56</t>
  </si>
  <si>
    <t>000248</t>
  </si>
  <si>
    <t>000121</t>
  </si>
  <si>
    <t>000144</t>
  </si>
  <si>
    <t>000100</t>
  </si>
  <si>
    <t>2015-03-27 15:51:21</t>
  </si>
  <si>
    <t>000104</t>
  </si>
  <si>
    <t>065</t>
  </si>
  <si>
    <t>临时工65</t>
  </si>
  <si>
    <t>000757</t>
  </si>
  <si>
    <t>000108</t>
  </si>
  <si>
    <t>000105</t>
  </si>
  <si>
    <t>000107</t>
  </si>
  <si>
    <t>2015-10-15 11:12:44</t>
  </si>
  <si>
    <t>000233</t>
  </si>
  <si>
    <t>2015-03-18</t>
  </si>
  <si>
    <t>2015-03-24 13:37:51</t>
  </si>
  <si>
    <t>000424</t>
  </si>
  <si>
    <t>000072</t>
  </si>
  <si>
    <t>000006</t>
  </si>
  <si>
    <t>2015-08-18 9:09:00</t>
  </si>
  <si>
    <t>000050</t>
  </si>
  <si>
    <t>000869</t>
  </si>
  <si>
    <t>000215</t>
  </si>
  <si>
    <t>2015-08-12 14:59:28</t>
  </si>
  <si>
    <t>000229</t>
  </si>
  <si>
    <t>000426</t>
  </si>
  <si>
    <t>066</t>
  </si>
  <si>
    <t>临时工66</t>
  </si>
  <si>
    <t>000758</t>
  </si>
  <si>
    <t>000393</t>
  </si>
  <si>
    <t>2015-05-23 10:46:54</t>
  </si>
  <si>
    <t>000449</t>
  </si>
  <si>
    <t>000563</t>
  </si>
  <si>
    <t>000450</t>
  </si>
  <si>
    <t>2015-04-09 7:56:34</t>
  </si>
  <si>
    <t>000448</t>
  </si>
  <si>
    <t>000830</t>
  </si>
  <si>
    <t>000776</t>
  </si>
  <si>
    <t>000402</t>
  </si>
  <si>
    <t>000400</t>
  </si>
  <si>
    <t>000769</t>
  </si>
  <si>
    <t>000401</t>
  </si>
  <si>
    <t>000399</t>
  </si>
  <si>
    <t>2015-11-18 14:14:53</t>
  </si>
  <si>
    <t>000398</t>
  </si>
  <si>
    <t>067</t>
  </si>
  <si>
    <t>临时工67</t>
  </si>
  <si>
    <t>000759</t>
  </si>
  <si>
    <t>000397</t>
  </si>
  <si>
    <t>2015-08-31 10:07:06</t>
  </si>
  <si>
    <t>000428</t>
  </si>
  <si>
    <t>000467</t>
  </si>
  <si>
    <t>000508</t>
  </si>
  <si>
    <t>2025-05-10</t>
  </si>
  <si>
    <t>000408</t>
  </si>
  <si>
    <t>2015-11-27 9:38:07</t>
  </si>
  <si>
    <t>000419</t>
  </si>
  <si>
    <t>000510</t>
  </si>
  <si>
    <t>2015-07-14 11:09:21</t>
  </si>
  <si>
    <t>000667</t>
  </si>
  <si>
    <t>000415</t>
  </si>
  <si>
    <t>000412</t>
  </si>
  <si>
    <t>000420</t>
  </si>
  <si>
    <t>2015-06-19 10:50:08</t>
  </si>
  <si>
    <t>000418</t>
  </si>
  <si>
    <t>068</t>
  </si>
  <si>
    <t>临时工68</t>
  </si>
  <si>
    <t>000796</t>
  </si>
  <si>
    <t>2015-09-14</t>
  </si>
  <si>
    <t>2025-09-13</t>
  </si>
  <si>
    <t>000413</t>
  </si>
  <si>
    <t>000410</t>
  </si>
  <si>
    <t>000404</t>
  </si>
  <si>
    <t>2015-06-02 11:38:57</t>
  </si>
  <si>
    <t>000409</t>
  </si>
  <si>
    <t>2015-05-12 8:49:02</t>
  </si>
  <si>
    <t>000406</t>
  </si>
  <si>
    <t>2015-05-18 12:43:18</t>
  </si>
  <si>
    <t>000411</t>
  </si>
  <si>
    <t>000396</t>
  </si>
  <si>
    <t>2015-05-07 15:24:39</t>
  </si>
  <si>
    <t>000395</t>
  </si>
  <si>
    <t>000421</t>
  </si>
  <si>
    <t>2015-04-09 8:58:28</t>
  </si>
  <si>
    <t>000417</t>
  </si>
  <si>
    <t>069</t>
  </si>
  <si>
    <t>临时工69</t>
  </si>
  <si>
    <t>000795</t>
  </si>
  <si>
    <t>000405</t>
  </si>
  <si>
    <t>2015-08-17 12:46:51</t>
  </si>
  <si>
    <t>000388</t>
  </si>
  <si>
    <t>000407</t>
  </si>
  <si>
    <t>000403</t>
  </si>
  <si>
    <t>2015-07-14 11:09:08</t>
  </si>
  <si>
    <t>000668</t>
  </si>
  <si>
    <t>2015-07-31 15:06:36</t>
  </si>
  <si>
    <t>000389</t>
  </si>
  <si>
    <t>000432</t>
  </si>
  <si>
    <t>000431</t>
  </si>
  <si>
    <t>2015-05-22 15:06:52</t>
  </si>
  <si>
    <t>000422</t>
  </si>
  <si>
    <t>2015-12-24 15:44:14</t>
  </si>
  <si>
    <t>000430</t>
  </si>
  <si>
    <t>2015-04-28 10:29:52</t>
  </si>
  <si>
    <t>000493</t>
  </si>
  <si>
    <t>000803</t>
  </si>
  <si>
    <t>2999-04-28 10:29:52</t>
  </si>
  <si>
    <t>000435</t>
  </si>
  <si>
    <t>070</t>
  </si>
  <si>
    <t>临时工70</t>
  </si>
  <si>
    <t>000797</t>
  </si>
  <si>
    <t>000429</t>
  </si>
  <si>
    <t>2015-04-07 12:59:06</t>
  </si>
  <si>
    <t>000670</t>
  </si>
  <si>
    <t>000713</t>
  </si>
  <si>
    <t>000728</t>
  </si>
  <si>
    <t>000439</t>
  </si>
  <si>
    <t>000440</t>
  </si>
  <si>
    <t>000438</t>
  </si>
  <si>
    <t>000436</t>
  </si>
  <si>
    <t>2015-04-20 14:08:31</t>
  </si>
  <si>
    <t>000481</t>
  </si>
  <si>
    <t>2025-04-20</t>
  </si>
  <si>
    <t>000437</t>
  </si>
  <si>
    <t>000442</t>
  </si>
  <si>
    <t>000441</t>
  </si>
  <si>
    <t>000601</t>
  </si>
  <si>
    <t>000443</t>
  </si>
  <si>
    <t>071</t>
  </si>
  <si>
    <t>临时工71</t>
  </si>
  <si>
    <t>000798</t>
  </si>
  <si>
    <t>000672</t>
  </si>
  <si>
    <t>2015-09-07 9:14:54</t>
  </si>
  <si>
    <t>000451</t>
  </si>
  <si>
    <t>2015-07-14 16:33:23</t>
  </si>
  <si>
    <t>000445</t>
  </si>
  <si>
    <t>000446</t>
  </si>
  <si>
    <t>000447</t>
  </si>
  <si>
    <t>000453</t>
  </si>
  <si>
    <t>2015-04-02</t>
  </si>
  <si>
    <t>2015-04-23 16:28:28</t>
  </si>
  <si>
    <t>000454</t>
  </si>
  <si>
    <t>2015-04-03</t>
  </si>
  <si>
    <t>2025-04-02</t>
  </si>
  <si>
    <t>000455</t>
  </si>
  <si>
    <t>2015-04-07</t>
  </si>
  <si>
    <t>2025-04-06</t>
  </si>
  <si>
    <t>000456</t>
  </si>
  <si>
    <t>000458</t>
  </si>
  <si>
    <t>2015-04-09</t>
  </si>
  <si>
    <t>2025-04-08</t>
  </si>
  <si>
    <t>000459</t>
  </si>
  <si>
    <t>072</t>
  </si>
  <si>
    <t>临时卡72</t>
  </si>
  <si>
    <t>000799</t>
  </si>
  <si>
    <t>000457</t>
  </si>
  <si>
    <t>000460</t>
  </si>
  <si>
    <t>2015-07-31 15:06:28</t>
  </si>
  <si>
    <t>000501</t>
  </si>
  <si>
    <t>000468</t>
  </si>
  <si>
    <t>000464</t>
  </si>
  <si>
    <t>000471</t>
  </si>
  <si>
    <t>2015-06-18 10:30:28</t>
  </si>
  <si>
    <t>000470</t>
  </si>
  <si>
    <t>000469</t>
  </si>
  <si>
    <t>000863</t>
  </si>
  <si>
    <t>000692</t>
  </si>
  <si>
    <t>2015-07-20</t>
  </si>
  <si>
    <t>2025-07-19</t>
  </si>
  <si>
    <t>000767</t>
  </si>
  <si>
    <t>2015-04-16</t>
  </si>
  <si>
    <t>2999-04-15</t>
  </si>
  <si>
    <t>000472</t>
  </si>
  <si>
    <t>2025-04-15</t>
  </si>
  <si>
    <t>000473</t>
  </si>
  <si>
    <t>073</t>
  </si>
  <si>
    <t>临时工73</t>
  </si>
  <si>
    <t>000800</t>
  </si>
  <si>
    <t>000479</t>
  </si>
  <si>
    <t>2015-08-31 13:24:34</t>
  </si>
  <si>
    <t>000478</t>
  </si>
  <si>
    <t>000477</t>
  </si>
  <si>
    <t>2015-06-29 9:58:54</t>
  </si>
  <si>
    <t>000476</t>
  </si>
  <si>
    <t>2015-06-18 10:30:38</t>
  </si>
  <si>
    <t>000475</t>
  </si>
  <si>
    <t>2015-05-18 13:20:29</t>
  </si>
  <si>
    <t>000474</t>
  </si>
  <si>
    <t>2015-04-27 9:17:20</t>
  </si>
  <si>
    <t>000480</t>
  </si>
  <si>
    <t>000811</t>
  </si>
  <si>
    <t>000484</t>
  </si>
  <si>
    <t>2015-04-21</t>
  </si>
  <si>
    <t>2015-06-23 14:01:49</t>
  </si>
  <si>
    <t>000485</t>
  </si>
  <si>
    <t>000486</t>
  </si>
  <si>
    <t>074</t>
  </si>
  <si>
    <t>临时工74</t>
  </si>
  <si>
    <t>000801</t>
  </si>
  <si>
    <t>000488</t>
  </si>
  <si>
    <t>2015-04-23</t>
  </si>
  <si>
    <t>2025-04-22</t>
  </si>
  <si>
    <t>000489</t>
  </si>
  <si>
    <t>000487</t>
  </si>
  <si>
    <t>000846</t>
  </si>
  <si>
    <t>000490</t>
  </si>
  <si>
    <t>2015-04-27</t>
  </si>
  <si>
    <t>2025-04-26</t>
  </si>
  <si>
    <t>000492</t>
  </si>
  <si>
    <t>2015-04-28</t>
  </si>
  <si>
    <t>2025-04-27</t>
  </si>
  <si>
    <t>000535</t>
  </si>
  <si>
    <t>000491</t>
  </si>
  <si>
    <t>2015-06-30 16:20:15</t>
  </si>
  <si>
    <t>000509</t>
  </si>
  <si>
    <t>000644</t>
  </si>
  <si>
    <t>2015-10-29 13:30:58</t>
  </si>
  <si>
    <t>000511</t>
  </si>
  <si>
    <t>2015-05-12</t>
  </si>
  <si>
    <t>2025-05-11</t>
  </si>
  <si>
    <t>000512</t>
  </si>
  <si>
    <t>000553</t>
  </si>
  <si>
    <t>075</t>
  </si>
  <si>
    <t>临时工75</t>
  </si>
  <si>
    <t>000802</t>
  </si>
  <si>
    <t>000515</t>
  </si>
  <si>
    <t>2015-05-19</t>
  </si>
  <si>
    <t>2015-06-15 10:15:48</t>
  </si>
  <si>
    <t>000514</t>
  </si>
  <si>
    <t>2025-05-18</t>
  </si>
  <si>
    <t>000516</t>
  </si>
  <si>
    <t>000517</t>
  </si>
  <si>
    <t>2015-07-21 9:15:31</t>
  </si>
  <si>
    <t>000518</t>
  </si>
  <si>
    <t>2015-06-09 8:39:06</t>
  </si>
  <si>
    <t>000552</t>
  </si>
  <si>
    <t>2015-07-30 14:53:49</t>
  </si>
  <si>
    <t>000556</t>
  </si>
  <si>
    <t>000557</t>
  </si>
  <si>
    <t>2015-06-01</t>
  </si>
  <si>
    <t>2025-05-31</t>
  </si>
  <si>
    <t>000558</t>
  </si>
  <si>
    <t>076</t>
  </si>
  <si>
    <t>临时工76</t>
  </si>
  <si>
    <t>000813</t>
  </si>
  <si>
    <t>2015-09-22</t>
  </si>
  <si>
    <t>2025-09-21</t>
  </si>
  <si>
    <t>000560</t>
  </si>
  <si>
    <t>2015-06-04 16:01:02</t>
  </si>
  <si>
    <t>000561</t>
  </si>
  <si>
    <t>2015-06-25 10:55:42</t>
  </si>
  <si>
    <t>000567</t>
  </si>
  <si>
    <t>000564</t>
  </si>
  <si>
    <t>000565</t>
  </si>
  <si>
    <t>000568</t>
  </si>
  <si>
    <t>2015-12-21 9:59:13</t>
  </si>
  <si>
    <t>000569</t>
  </si>
  <si>
    <t>2015-07-14 17:05:41</t>
  </si>
  <si>
    <t>000677</t>
  </si>
  <si>
    <t>000722</t>
  </si>
  <si>
    <t>000570</t>
  </si>
  <si>
    <t>000573</t>
  </si>
  <si>
    <t>000572</t>
  </si>
  <si>
    <t>000571</t>
  </si>
  <si>
    <t>2015-07-22 9:43:17</t>
  </si>
  <si>
    <t>077</t>
  </si>
  <si>
    <t>临时工77</t>
  </si>
  <si>
    <t>000814</t>
  </si>
  <si>
    <t>000576</t>
  </si>
  <si>
    <t>000578</t>
  </si>
  <si>
    <t>000577</t>
  </si>
  <si>
    <t>2015-06-16 17:01:15</t>
  </si>
  <si>
    <t>000583</t>
  </si>
  <si>
    <t>000584</t>
  </si>
  <si>
    <t>2015-06-12</t>
  </si>
  <si>
    <t>2025-06-11</t>
  </si>
  <si>
    <t>000603</t>
  </si>
  <si>
    <t>2015-06-15</t>
  </si>
  <si>
    <t>2025-06-14</t>
  </si>
  <si>
    <t>000589</t>
  </si>
  <si>
    <t>000588</t>
  </si>
  <si>
    <t>000587</t>
  </si>
  <si>
    <t>000775</t>
  </si>
  <si>
    <t>000591</t>
  </si>
  <si>
    <t>2015-06-16</t>
  </si>
  <si>
    <t>078</t>
  </si>
  <si>
    <t>临时工78</t>
  </si>
  <si>
    <t>000815</t>
  </si>
  <si>
    <t>000592</t>
  </si>
  <si>
    <t>000593</t>
  </si>
  <si>
    <t>000594</t>
  </si>
  <si>
    <t>000595</t>
  </si>
  <si>
    <t>000597</t>
  </si>
  <si>
    <t>2015-06-18</t>
  </si>
  <si>
    <t>2025-06-17</t>
  </si>
  <si>
    <t>000598</t>
  </si>
  <si>
    <t>2015-06-23</t>
  </si>
  <si>
    <t>2025-06-22</t>
  </si>
  <si>
    <t>000599</t>
  </si>
  <si>
    <t>000600</t>
  </si>
  <si>
    <t>2015-06-24</t>
  </si>
  <si>
    <t>2025-06-23</t>
  </si>
  <si>
    <t>000778</t>
  </si>
  <si>
    <t>2015-09-01 15:58:54</t>
  </si>
  <si>
    <t>000602</t>
  </si>
  <si>
    <t>2015-06-25</t>
  </si>
  <si>
    <t>2025-06-24</t>
  </si>
  <si>
    <t>000604</t>
  </si>
  <si>
    <t>2015-06-29</t>
  </si>
  <si>
    <t>2015-11-19 9:33:33</t>
  </si>
  <si>
    <t>079</t>
  </si>
  <si>
    <t>临时工79</t>
  </si>
  <si>
    <t>000816</t>
  </si>
  <si>
    <t>000607</t>
  </si>
  <si>
    <t>2025-06-28</t>
  </si>
  <si>
    <t>000638</t>
  </si>
  <si>
    <t>2015-07-29 17:06:31</t>
  </si>
  <si>
    <t>000605</t>
  </si>
  <si>
    <t>000606</t>
  </si>
  <si>
    <t>000608</t>
  </si>
  <si>
    <t>2025-06-29</t>
  </si>
  <si>
    <t>000612</t>
  </si>
  <si>
    <t>2015-07-13 8:05:21</t>
  </si>
  <si>
    <t>000610</t>
  </si>
  <si>
    <t>2015-07-13 8:03:36</t>
  </si>
  <si>
    <t>000611</t>
  </si>
  <si>
    <t>2015-07-13 8:02:36</t>
  </si>
  <si>
    <t>000613</t>
  </si>
  <si>
    <t>000701</t>
  </si>
  <si>
    <t>000513</t>
  </si>
  <si>
    <t>2015-07-24 16:06:03</t>
  </si>
  <si>
    <t>000609</t>
  </si>
  <si>
    <t>2015-07-13 8:04:40</t>
  </si>
  <si>
    <t>080</t>
  </si>
  <si>
    <t>临时工80</t>
  </si>
  <si>
    <t>000817</t>
  </si>
  <si>
    <t>000616</t>
  </si>
  <si>
    <t>000615</t>
  </si>
  <si>
    <t>2015-08-31 8:46:36</t>
  </si>
  <si>
    <t>000617</t>
  </si>
  <si>
    <t>2015-07-06 11:38:24</t>
  </si>
  <si>
    <t>000760</t>
  </si>
  <si>
    <t>000637</t>
  </si>
  <si>
    <t>2015-07-03</t>
  </si>
  <si>
    <t>2015-09-16 13:14:36</t>
  </si>
  <si>
    <t>000624</t>
  </si>
  <si>
    <t>2015-07-01</t>
  </si>
  <si>
    <t>2025-06-30</t>
  </si>
  <si>
    <t>000619</t>
  </si>
  <si>
    <t>081</t>
  </si>
  <si>
    <t>临时工81</t>
  </si>
  <si>
    <t>000832</t>
  </si>
  <si>
    <t>2015-10-15</t>
  </si>
  <si>
    <t>2025-10-14</t>
  </si>
  <si>
    <t>000618</t>
  </si>
  <si>
    <t>000621</t>
  </si>
  <si>
    <t>000623</t>
  </si>
  <si>
    <t>000622</t>
  </si>
  <si>
    <t>000620</t>
  </si>
  <si>
    <t>000631</t>
  </si>
  <si>
    <t>2015-11-06 16:33:50</t>
  </si>
  <si>
    <t>000630</t>
  </si>
  <si>
    <t>000629</t>
  </si>
  <si>
    <t>000628</t>
  </si>
  <si>
    <t>000626</t>
  </si>
  <si>
    <t>000627</t>
  </si>
  <si>
    <t>082</t>
  </si>
  <si>
    <t>临时工82</t>
  </si>
  <si>
    <t>000833</t>
  </si>
  <si>
    <t>000625</t>
  </si>
  <si>
    <t>000632</t>
  </si>
  <si>
    <t>2015-07-02</t>
  </si>
  <si>
    <t>2015-07-08 11:59:51</t>
  </si>
  <si>
    <t>000635</t>
  </si>
  <si>
    <t>2025-07-01</t>
  </si>
  <si>
    <t>000634</t>
  </si>
  <si>
    <t>2015-07-08 9:18:15</t>
  </si>
  <si>
    <t>000641</t>
  </si>
  <si>
    <t>2025-07-02</t>
  </si>
  <si>
    <t>000877</t>
  </si>
  <si>
    <t>000639</t>
  </si>
  <si>
    <t>2015-08-06 10:37:57</t>
  </si>
  <si>
    <t>000640</t>
  </si>
  <si>
    <t>000642</t>
  </si>
  <si>
    <t>2015-07-06</t>
  </si>
  <si>
    <t>2025-07-05</t>
  </si>
  <si>
    <t>000643</t>
  </si>
  <si>
    <t>000893</t>
  </si>
  <si>
    <t>000646</t>
  </si>
  <si>
    <t>2015-10-08 14:03:43</t>
  </si>
  <si>
    <t>083</t>
  </si>
  <si>
    <t>临时工83</t>
  </si>
  <si>
    <t>000834</t>
  </si>
  <si>
    <t>000645</t>
  </si>
  <si>
    <t>000648</t>
  </si>
  <si>
    <t>000654</t>
  </si>
  <si>
    <t>2015-07-09</t>
  </si>
  <si>
    <t>2025-07-08</t>
  </si>
  <si>
    <t>000656</t>
  </si>
  <si>
    <t>2015-07-10</t>
  </si>
  <si>
    <t>2025-07-09</t>
  </si>
  <si>
    <t>000657</t>
  </si>
  <si>
    <t>2015-07-15 11:34:30</t>
  </si>
  <si>
    <t>000669</t>
  </si>
  <si>
    <t>000659</t>
  </si>
  <si>
    <t>000661</t>
  </si>
  <si>
    <t>2015-07-22 8:48:04</t>
  </si>
  <si>
    <t>000662</t>
  </si>
  <si>
    <t>000663</t>
  </si>
  <si>
    <t>2015-08-12 16:22:25</t>
  </si>
  <si>
    <t>084</t>
  </si>
  <si>
    <t>临时工84</t>
  </si>
  <si>
    <t>000835</t>
  </si>
  <si>
    <t>000664</t>
  </si>
  <si>
    <t>2015-07-16 8:38:59</t>
  </si>
  <si>
    <t>000665</t>
  </si>
  <si>
    <t>2015-07-30 11:40:35</t>
  </si>
  <si>
    <t>000666</t>
  </si>
  <si>
    <t>2015-12-22 8:23:39</t>
  </si>
  <si>
    <t>000673</t>
  </si>
  <si>
    <t>2015-07-16 14:03:35</t>
  </si>
  <si>
    <t>000674</t>
  </si>
  <si>
    <t>2015-07-16 14:03:41</t>
  </si>
  <si>
    <t>000675</t>
  </si>
  <si>
    <t>2015-10-09 14:19:01</t>
  </si>
  <si>
    <t>000678</t>
  </si>
  <si>
    <t>000683</t>
  </si>
  <si>
    <t>2015-07-16</t>
  </si>
  <si>
    <t>2015-09-21 13:06:32</t>
  </si>
  <si>
    <t>000684</t>
  </si>
  <si>
    <t>2025-07-15</t>
  </si>
  <si>
    <t>000685</t>
  </si>
  <si>
    <t>085</t>
  </si>
  <si>
    <t>临时工85</t>
  </si>
  <si>
    <t>000836</t>
  </si>
  <si>
    <t>000686</t>
  </si>
  <si>
    <t>000688</t>
  </si>
  <si>
    <t>2015-07-17</t>
  </si>
  <si>
    <t>2025-07-16</t>
  </si>
  <si>
    <t>000689</t>
  </si>
  <si>
    <t>000695</t>
  </si>
  <si>
    <t>2015-07-22 8:43:19</t>
  </si>
  <si>
    <t>000698</t>
  </si>
  <si>
    <t>2015-07-22</t>
  </si>
  <si>
    <t>2015-12-08 9:08:29</t>
  </si>
  <si>
    <t>000690</t>
  </si>
  <si>
    <t>000691</t>
  </si>
  <si>
    <t>000693</t>
  </si>
  <si>
    <t>2015-07-22 8:43:25</t>
  </si>
  <si>
    <t>000699</t>
  </si>
  <si>
    <t>000771</t>
  </si>
  <si>
    <t>000694</t>
  </si>
  <si>
    <t>2015-07-21</t>
  </si>
  <si>
    <t>2015-09-14 8:35:41</t>
  </si>
  <si>
    <t>000696</t>
  </si>
  <si>
    <t>2015-07-22 8:43:00</t>
  </si>
  <si>
    <t>000700</t>
  </si>
  <si>
    <t>2015-07-27 9:14:09</t>
  </si>
  <si>
    <t>000704</t>
  </si>
  <si>
    <t>2015-07-27</t>
  </si>
  <si>
    <t>2015-12-01 9:19:48</t>
  </si>
  <si>
    <t>000705</t>
  </si>
  <si>
    <t>2025-07-26</t>
  </si>
  <si>
    <t>000697</t>
  </si>
  <si>
    <t>2015-07-23 16:40:10</t>
  </si>
  <si>
    <t>000706</t>
  </si>
  <si>
    <t>086</t>
  </si>
  <si>
    <t>临时工86</t>
  </si>
  <si>
    <t>000838</t>
  </si>
  <si>
    <t>2015-10-19</t>
  </si>
  <si>
    <t>2025-10-18</t>
  </si>
  <si>
    <t>000707</t>
  </si>
  <si>
    <t>000714</t>
  </si>
  <si>
    <t>2015-07-29</t>
  </si>
  <si>
    <t>2015-08-31 9:39:41</t>
  </si>
  <si>
    <t>000715</t>
  </si>
  <si>
    <t>2015-08-06 15:52:51</t>
  </si>
  <si>
    <t>000719</t>
  </si>
  <si>
    <t>2015-08-06</t>
  </si>
  <si>
    <t>2015-08-31 9:23:45</t>
  </si>
  <si>
    <t>000716</t>
  </si>
  <si>
    <t>2015-08-24 11:12:06</t>
  </si>
  <si>
    <t>000717</t>
  </si>
  <si>
    <t>2015-07-30</t>
  </si>
  <si>
    <t>2015-08-12 10:04:05</t>
  </si>
  <si>
    <t>000718</t>
  </si>
  <si>
    <t>2015-08-05</t>
  </si>
  <si>
    <t>2015-08-13 10:24:41</t>
  </si>
  <si>
    <t>000726</t>
  </si>
  <si>
    <t>2999-08-13</t>
  </si>
  <si>
    <t>000721</t>
  </si>
  <si>
    <t>2015-08-10</t>
  </si>
  <si>
    <t>2025-08-09</t>
  </si>
  <si>
    <t>000723</t>
  </si>
  <si>
    <t>000727</t>
  </si>
  <si>
    <t>2015-08-13</t>
  </si>
  <si>
    <t>2025-08-12</t>
  </si>
  <si>
    <t>000729</t>
  </si>
  <si>
    <t>2015-08-14</t>
  </si>
  <si>
    <t>2025-08-13</t>
  </si>
  <si>
    <t>000730</t>
  </si>
  <si>
    <t>000731</t>
  </si>
  <si>
    <t>2015-08-17</t>
  </si>
  <si>
    <t>2025-08-16</t>
  </si>
  <si>
    <t>000784</t>
  </si>
  <si>
    <t>000732</t>
  </si>
  <si>
    <t>000733</t>
  </si>
  <si>
    <t>2015-08-18</t>
  </si>
  <si>
    <t>2025-08-17</t>
  </si>
  <si>
    <t>000734</t>
  </si>
  <si>
    <t>000763</t>
  </si>
  <si>
    <t>2015-08-20</t>
  </si>
  <si>
    <t>2999-08-19</t>
  </si>
  <si>
    <t>000764</t>
  </si>
  <si>
    <t>2025-08-19</t>
  </si>
  <si>
    <t>000766</t>
  </si>
  <si>
    <t>2015-08-21</t>
  </si>
  <si>
    <t>2999-08-20</t>
  </si>
  <si>
    <t>000772</t>
  </si>
  <si>
    <t>2015-08-25</t>
  </si>
  <si>
    <t>2015-08-25 8:41:10</t>
  </si>
  <si>
    <t>000773</t>
  </si>
  <si>
    <t>2025-08-24</t>
  </si>
  <si>
    <t>000774</t>
  </si>
  <si>
    <t>2015-12-14 8:48:29</t>
  </si>
  <si>
    <t>000777</t>
  </si>
  <si>
    <t>2015-09-01</t>
  </si>
  <si>
    <t>2025-08-31</t>
  </si>
  <si>
    <t>000852</t>
  </si>
  <si>
    <t>000859</t>
  </si>
  <si>
    <t>000779</t>
  </si>
  <si>
    <t>2015-09-02</t>
  </si>
  <si>
    <t>2025-09-01</t>
  </si>
  <si>
    <t>000780</t>
  </si>
  <si>
    <t>000782</t>
  </si>
  <si>
    <t>000785</t>
  </si>
  <si>
    <t>000786</t>
  </si>
  <si>
    <t>2015-09-06 10:50:47</t>
  </si>
  <si>
    <t>000787</t>
  </si>
  <si>
    <t>2015-09-06 15:14:37</t>
  </si>
  <si>
    <t>000788</t>
  </si>
  <si>
    <t>000865</t>
  </si>
  <si>
    <t>000789</t>
  </si>
  <si>
    <t>2015-09-07 11:37:43</t>
  </si>
  <si>
    <t>000790</t>
  </si>
  <si>
    <t>2015-09-07 11:54:23</t>
  </si>
  <si>
    <t>000791</t>
  </si>
  <si>
    <t>2015-09-09</t>
  </si>
  <si>
    <t>2025-09-08</t>
  </si>
  <si>
    <t>000792</t>
  </si>
  <si>
    <t>2015-09-10</t>
  </si>
  <si>
    <t>2025-09-09</t>
  </si>
  <si>
    <t>000794</t>
  </si>
  <si>
    <t>000804</t>
  </si>
  <si>
    <t>2015-10-15 8:01:22</t>
  </si>
  <si>
    <t>000806</t>
  </si>
  <si>
    <t>2015-09-16</t>
  </si>
  <si>
    <t>2025-09-15</t>
  </si>
  <si>
    <t>000807</t>
  </si>
  <si>
    <t>2015-09-17</t>
  </si>
  <si>
    <t>2025-09-16</t>
  </si>
  <si>
    <t>000808</t>
  </si>
  <si>
    <t>2015-12-14 11:13:43</t>
  </si>
  <si>
    <t>000810</t>
  </si>
  <si>
    <t>2999-09-16</t>
  </si>
  <si>
    <t>000812</t>
  </si>
  <si>
    <t>2015-09-21</t>
  </si>
  <si>
    <t>2015-10-23 9:20:38</t>
  </si>
  <si>
    <t>000818</t>
  </si>
  <si>
    <t>2015-09-23</t>
  </si>
  <si>
    <t>2015-10-20 11:25:42</t>
  </si>
  <si>
    <t>000819</t>
  </si>
  <si>
    <t>2025-09-22</t>
  </si>
  <si>
    <t>000820</t>
  </si>
  <si>
    <t>000821</t>
  </si>
  <si>
    <t>2015-09-24</t>
  </si>
  <si>
    <t>2025-09-23</t>
  </si>
  <si>
    <t>000822</t>
  </si>
  <si>
    <t>000809</t>
  </si>
  <si>
    <t>2015-09-17 8:03:05</t>
  </si>
  <si>
    <t>000823</t>
  </si>
  <si>
    <t>2015-09-25</t>
  </si>
  <si>
    <t>2015-11-20 13:01:02</t>
  </si>
  <si>
    <t>000825</t>
  </si>
  <si>
    <t>2015-09-29</t>
  </si>
  <si>
    <t>2025-09-28</t>
  </si>
  <si>
    <t>000826</t>
  </si>
  <si>
    <t>2025-10-07</t>
  </si>
  <si>
    <t>000827</t>
  </si>
  <si>
    <t>2015-10-10</t>
  </si>
  <si>
    <t>2025-10-09</t>
  </si>
  <si>
    <t>000828</t>
  </si>
  <si>
    <t>2015-12-04 9:05:17</t>
  </si>
  <si>
    <t>000829</t>
  </si>
  <si>
    <t>2015-11-18 9:34:06</t>
  </si>
  <si>
    <t>000831</t>
  </si>
  <si>
    <t>2015-10-23 10:07:08</t>
  </si>
  <si>
    <t>000837</t>
  </si>
  <si>
    <t>2015-10-16</t>
  </si>
  <si>
    <t>2015-12-24 14:21:39</t>
  </si>
  <si>
    <t>000839</t>
  </si>
  <si>
    <t>000840</t>
  </si>
  <si>
    <t>000841</t>
  </si>
  <si>
    <t>000842</t>
  </si>
  <si>
    <t>2015-10-20</t>
  </si>
  <si>
    <t>2025-10-19</t>
  </si>
  <si>
    <t>000844</t>
  </si>
  <si>
    <t>000847</t>
  </si>
  <si>
    <t>2015-10-28</t>
  </si>
  <si>
    <t>2025-10-27</t>
  </si>
  <si>
    <t>000848</t>
  </si>
  <si>
    <t>2015-11-02</t>
  </si>
  <si>
    <t>2025-11-01</t>
  </si>
  <si>
    <t>000849</t>
  </si>
  <si>
    <t>000850</t>
  </si>
  <si>
    <t>2015-11-03</t>
  </si>
  <si>
    <t>2025-11-02</t>
  </si>
  <si>
    <t>000851</t>
  </si>
  <si>
    <t>000853</t>
  </si>
  <si>
    <t>2015-11-09</t>
  </si>
  <si>
    <t>2025-11-08</t>
  </si>
  <si>
    <t>000868</t>
  </si>
  <si>
    <t>000854</t>
  </si>
  <si>
    <t>000855</t>
  </si>
  <si>
    <t>000856</t>
  </si>
  <si>
    <t>2015-11-11</t>
  </si>
  <si>
    <t>2015-12-11 8:29:15</t>
  </si>
  <si>
    <t>000857</t>
  </si>
  <si>
    <t>2025-11-10</t>
  </si>
  <si>
    <t>000858</t>
  </si>
  <si>
    <t>2015-11-12</t>
  </si>
  <si>
    <t>2015-12-21 10:04:19</t>
  </si>
  <si>
    <t>000860</t>
  </si>
  <si>
    <t>2025-11-11</t>
  </si>
  <si>
    <t>000861</t>
  </si>
  <si>
    <t>2015-11-16</t>
  </si>
  <si>
    <t>2025-11-15</t>
  </si>
  <si>
    <t>000862</t>
  </si>
  <si>
    <t>2015-11-20 13:01:15</t>
  </si>
  <si>
    <t>000770</t>
  </si>
  <si>
    <t>2015-11-23</t>
  </si>
  <si>
    <t>2025-11-22</t>
  </si>
  <si>
    <t>000864</t>
  </si>
  <si>
    <t>000866</t>
  </si>
  <si>
    <t>2015-11-24</t>
  </si>
  <si>
    <t>2025-11-23</t>
  </si>
  <si>
    <t>000883</t>
  </si>
  <si>
    <t>000870</t>
  </si>
  <si>
    <t>2015-11-30</t>
  </si>
  <si>
    <t>2025-11-29</t>
  </si>
  <si>
    <t>000871</t>
  </si>
  <si>
    <t>2015-12-01</t>
  </si>
  <si>
    <t>2025-11-30</t>
  </si>
  <si>
    <t>000872</t>
  </si>
  <si>
    <t>000873</t>
  </si>
  <si>
    <t>000876</t>
  </si>
  <si>
    <t>2015-12-07</t>
  </si>
  <si>
    <t>2025-12-06</t>
  </si>
  <si>
    <t>000882</t>
  </si>
  <si>
    <t>2015-12-14</t>
  </si>
  <si>
    <t>2025-12-13</t>
  </si>
  <si>
    <t>000884</t>
  </si>
  <si>
    <t>周立峰</t>
  </si>
  <si>
    <t>000885</t>
  </si>
  <si>
    <t>2015-12-16</t>
  </si>
  <si>
    <t>2025-12-15</t>
  </si>
  <si>
    <t>000887</t>
  </si>
  <si>
    <t>2015-12-17</t>
  </si>
  <si>
    <t>2025-12-16</t>
  </si>
  <si>
    <t>000888</t>
  </si>
  <si>
    <t>000890</t>
  </si>
  <si>
    <t>2015-12-21</t>
  </si>
  <si>
    <t>2025-12-20</t>
  </si>
  <si>
    <t>000891</t>
  </si>
  <si>
    <t>000892</t>
  </si>
  <si>
    <t>2015-12-25</t>
  </si>
  <si>
    <t>2025-12-24</t>
  </si>
  <si>
    <t>8025</t>
  </si>
  <si>
    <t>000434</t>
  </si>
  <si>
    <t>2015-07-14 11:27:02</t>
  </si>
  <si>
    <t>8035</t>
  </si>
  <si>
    <t>000655</t>
  </si>
  <si>
    <t>2015-07-14 11:15:58</t>
  </si>
  <si>
    <t>I_id</t>
  </si>
  <si>
    <t>citemcode</t>
  </si>
  <si>
    <t>citemname</t>
  </si>
  <si>
    <t>bclose</t>
  </si>
  <si>
    <t>citemccode</t>
  </si>
  <si>
    <t>iotherused</t>
  </si>
  <si>
    <t>客户单位名称</t>
  </si>
  <si>
    <t>项目序号</t>
  </si>
  <si>
    <t>2012X011ECR</t>
  </si>
  <si>
    <t>通用（沈阳）北盛（三期）ECR</t>
  </si>
  <si>
    <t>通用沈阳</t>
  </si>
  <si>
    <t>201311ECR2</t>
  </si>
  <si>
    <t>AP13TT</t>
  </si>
  <si>
    <t>南京汽车</t>
  </si>
  <si>
    <t>201322</t>
  </si>
  <si>
    <t>SGM WH K211武汉项目</t>
  </si>
  <si>
    <t>上汽通用</t>
  </si>
  <si>
    <t>201402</t>
  </si>
  <si>
    <t>SGM E2SC项目</t>
  </si>
  <si>
    <t>2014XYL-02</t>
  </si>
  <si>
    <t>201404</t>
  </si>
  <si>
    <t>赛科利E2SC项目</t>
  </si>
  <si>
    <t>上海赛科利</t>
  </si>
  <si>
    <t>2014XYL-04-00</t>
  </si>
  <si>
    <t>201405</t>
  </si>
  <si>
    <t>赛科利011项目</t>
  </si>
  <si>
    <t>2014XYL-05-00</t>
  </si>
  <si>
    <t>201406</t>
  </si>
  <si>
    <t>通用E2LB项目</t>
  </si>
  <si>
    <t>2014XYL-06</t>
  </si>
  <si>
    <t>201407</t>
  </si>
  <si>
    <t>SMG T261项目</t>
  </si>
  <si>
    <t>2014XYL-07</t>
  </si>
  <si>
    <t>201408</t>
  </si>
  <si>
    <t>SMG U358项目</t>
  </si>
  <si>
    <t>2014XYL-08</t>
  </si>
  <si>
    <t>201408ECR</t>
  </si>
  <si>
    <t>SGM U358 ECR</t>
  </si>
  <si>
    <t>2014SYL-08ECR</t>
  </si>
  <si>
    <t>201501</t>
  </si>
  <si>
    <t>上汽临港AS21产能提升项目</t>
  </si>
  <si>
    <t>上汽集团</t>
  </si>
  <si>
    <t>2015XYL-01</t>
  </si>
  <si>
    <t>201502</t>
  </si>
  <si>
    <t>SSDT U358前后地板总成项目</t>
  </si>
  <si>
    <t>2015XYL-02</t>
  </si>
  <si>
    <t>201503</t>
  </si>
  <si>
    <t>SGM NSSP D203D213 项目</t>
  </si>
  <si>
    <t>2015XYL-03</t>
  </si>
  <si>
    <t>201503ECR</t>
  </si>
  <si>
    <t>SGM NSSP D203_D213 ECR</t>
  </si>
  <si>
    <t>2015SYL-03ECR</t>
  </si>
  <si>
    <t>201504</t>
  </si>
  <si>
    <t>上海通用武汉基地K216项目</t>
  </si>
  <si>
    <t>通用武汉</t>
  </si>
  <si>
    <t>2015XYL-04</t>
  </si>
  <si>
    <t>201505</t>
  </si>
  <si>
    <t>SGM K211K216电极帽更换效率提升项目</t>
  </si>
  <si>
    <t>2015XYL-06</t>
  </si>
  <si>
    <t>201506</t>
  </si>
  <si>
    <t>SAIC AS22</t>
  </si>
  <si>
    <t>2015-06</t>
  </si>
  <si>
    <t>201507</t>
  </si>
  <si>
    <t>SGM WHII D2UC BIW (Mine line)</t>
  </si>
  <si>
    <t>2015XYL-07</t>
  </si>
  <si>
    <t>201508</t>
  </si>
  <si>
    <t>SVW CPC Skoda A+SUV MABT FINISH</t>
  </si>
  <si>
    <t>上汽大众</t>
  </si>
  <si>
    <t>2015XYL-08</t>
  </si>
  <si>
    <t>201509</t>
  </si>
  <si>
    <t>SAIC IP31 项目</t>
  </si>
  <si>
    <t>2015XYL-09</t>
  </si>
  <si>
    <t>201510</t>
  </si>
  <si>
    <t>SAIC SK81SV91侧围包、门盖包、主线包</t>
  </si>
  <si>
    <t>上汽无锡</t>
  </si>
  <si>
    <t>2015XYL-10</t>
  </si>
  <si>
    <t>201511</t>
  </si>
  <si>
    <t>WHSP K211 新增工艺项目</t>
  </si>
  <si>
    <t>2015XYL-11</t>
  </si>
  <si>
    <t>201512</t>
  </si>
  <si>
    <t>上海通用武汉基地等离子质量产能提升采购项目</t>
  </si>
  <si>
    <t>2015XYL-12</t>
  </si>
  <si>
    <t>201513</t>
  </si>
  <si>
    <t>等离子质量产能提升项目</t>
  </si>
  <si>
    <t>2015XYL-13</t>
  </si>
  <si>
    <t>201514</t>
  </si>
  <si>
    <t>上汽ZP11MCE2项目车身生产线改造</t>
  </si>
  <si>
    <t>2015XYL-14</t>
  </si>
  <si>
    <t>201601</t>
  </si>
  <si>
    <t>SSDT E2SB</t>
  </si>
  <si>
    <t>2016XYL-01</t>
  </si>
  <si>
    <t>201602</t>
  </si>
  <si>
    <t>SAIC AS24</t>
  </si>
  <si>
    <t>2016XYL-02</t>
  </si>
  <si>
    <t>201602F</t>
  </si>
  <si>
    <t>SAIC AS24 技术服务</t>
  </si>
  <si>
    <t>201603</t>
  </si>
  <si>
    <t>SAIC ZS11 Project</t>
  </si>
  <si>
    <t>2016XYL-03</t>
  </si>
  <si>
    <t>201603F</t>
  </si>
  <si>
    <t>SAIC ZS11 Project 技术服务</t>
  </si>
  <si>
    <t>201604</t>
  </si>
  <si>
    <t>SGM WJSP K215&amp;221 Project</t>
  </si>
  <si>
    <t>2016XYL-04</t>
  </si>
  <si>
    <t>201605</t>
  </si>
  <si>
    <t>SGM WHNP K216 K256 BIW (Main line) Project</t>
  </si>
  <si>
    <t>2016XYL-05</t>
  </si>
  <si>
    <t>201606</t>
  </si>
  <si>
    <t>SAIC AS2 40JPH Project</t>
  </si>
  <si>
    <t>2016XYL-06</t>
  </si>
  <si>
    <t>201606F</t>
  </si>
  <si>
    <t>SAIC AS2 40JPH Project 技术服务</t>
  </si>
  <si>
    <t>201607</t>
  </si>
  <si>
    <t>CAPSA X74 RU 项目</t>
  </si>
  <si>
    <t>长安标致</t>
  </si>
  <si>
    <t>2016XYL-07</t>
  </si>
  <si>
    <t>201608</t>
  </si>
  <si>
    <t>SGMDY flex pallet Project</t>
  </si>
  <si>
    <t>2016SYL-08</t>
  </si>
  <si>
    <t>201608B</t>
  </si>
  <si>
    <t>SGMDY flex pallet ProjectB</t>
  </si>
  <si>
    <t>通用东岳</t>
  </si>
  <si>
    <t>201609</t>
  </si>
  <si>
    <t>DY SPBS 9BJB/LB Closure</t>
  </si>
  <si>
    <t>2016SYL-09</t>
  </si>
  <si>
    <t>201610</t>
  </si>
  <si>
    <t>赛科利 9BXB 四门项目</t>
  </si>
  <si>
    <t>赛科利烟台</t>
  </si>
  <si>
    <t>2016SYL-10</t>
  </si>
  <si>
    <t>201611</t>
  </si>
  <si>
    <t>DY SPBS 9BJB/LB Framing System</t>
  </si>
  <si>
    <t>2016SYL-11</t>
  </si>
  <si>
    <t>201612</t>
  </si>
  <si>
    <t>STIC_9BXX RC</t>
  </si>
  <si>
    <t>山东捷众</t>
  </si>
  <si>
    <t>2016SYL-12</t>
  </si>
  <si>
    <t>201613</t>
  </si>
  <si>
    <t>DY SPBS 9BJB/LB Pallat</t>
  </si>
  <si>
    <t>大连奥托</t>
  </si>
  <si>
    <t>2016SYL-13</t>
  </si>
  <si>
    <t>201614</t>
  </si>
  <si>
    <t>SAIC AS22 南京项目</t>
  </si>
  <si>
    <t>2016SYL-14</t>
  </si>
  <si>
    <t>201616</t>
  </si>
  <si>
    <t>SAIC ZS12</t>
  </si>
  <si>
    <t>2016SYL-16</t>
  </si>
  <si>
    <t>201617</t>
  </si>
  <si>
    <t>CPH SK326/OCS_KL YETINF地板分拼项目</t>
  </si>
  <si>
    <t>上海翼锐</t>
  </si>
  <si>
    <t>2016SYL-17</t>
  </si>
  <si>
    <t>201617B</t>
  </si>
  <si>
    <t>PQ车间前后底板自动线集成、前纵梁生产线</t>
  </si>
  <si>
    <t>201617C</t>
  </si>
  <si>
    <t>工装模块人工费</t>
  </si>
  <si>
    <t>2016SYL-17(3)</t>
  </si>
  <si>
    <t>201618</t>
  </si>
  <si>
    <t>SAIC_EP22项目</t>
  </si>
  <si>
    <t>2016SYL-18</t>
  </si>
  <si>
    <t>201619</t>
  </si>
  <si>
    <t>SAIC AS22 导入ZS项目</t>
  </si>
  <si>
    <t>2016SYL-19</t>
  </si>
  <si>
    <t>201620</t>
  </si>
  <si>
    <t>SGM E2UL011 MCM PROJECT</t>
  </si>
  <si>
    <t>2016SYL-20</t>
  </si>
  <si>
    <t>201622</t>
  </si>
  <si>
    <t>SSDT_E2UL_Project</t>
  </si>
  <si>
    <t>2016SYL-22</t>
  </si>
  <si>
    <t>201623</t>
  </si>
  <si>
    <t>SAIC IP32项目</t>
  </si>
  <si>
    <t>2016SYL-23</t>
  </si>
  <si>
    <t>201625</t>
  </si>
  <si>
    <t>SVW CPA3 Tiguan NF 底板分拼及侧围主线项目</t>
  </si>
  <si>
    <t>2016SYL-25</t>
  </si>
  <si>
    <t>201629</t>
  </si>
  <si>
    <t>SSDT_A10提速</t>
  </si>
  <si>
    <t>2016SYL-29</t>
  </si>
  <si>
    <t>201701</t>
  </si>
  <si>
    <t>WHSP K226_K227 Project</t>
  </si>
  <si>
    <t>2017SYL-01</t>
  </si>
  <si>
    <t>201702</t>
  </si>
  <si>
    <t>上汽第三工厂一期项目</t>
  </si>
  <si>
    <t>2017SYL-02</t>
  </si>
  <si>
    <t>201703</t>
  </si>
  <si>
    <t>上汽第三工厂二期项目</t>
  </si>
  <si>
    <t>2017SYL-03</t>
  </si>
  <si>
    <t>201704</t>
  </si>
  <si>
    <t>Tianjin Body Shop equipment NEVS 9-3</t>
  </si>
  <si>
    <t>国能</t>
  </si>
  <si>
    <t>2017SYL-04</t>
  </si>
  <si>
    <t>201705</t>
  </si>
  <si>
    <t>上海安莱德 Lavida NF DS 分总成项目</t>
  </si>
  <si>
    <t>上海安莱德</t>
  </si>
  <si>
    <t>2017SYL-05</t>
  </si>
  <si>
    <t>201706</t>
  </si>
  <si>
    <t>SVW CPA3 Tiguan NF PHEV 底板分拼项目</t>
  </si>
  <si>
    <t>2017SYL-06</t>
  </si>
  <si>
    <t>201707</t>
  </si>
  <si>
    <t>SVW CPN NMS NF UBUG_分拼项目</t>
  </si>
  <si>
    <t>2017SYL-07</t>
  </si>
  <si>
    <t>201708</t>
  </si>
  <si>
    <t>SAIC Thailand ZS project</t>
  </si>
  <si>
    <t>上汽泰国</t>
  </si>
  <si>
    <t>2017SYL-08</t>
  </si>
  <si>
    <t>201709</t>
  </si>
  <si>
    <t>SAIC SV91 顶盖分拼项目</t>
  </si>
  <si>
    <t>2017SYL-09</t>
  </si>
  <si>
    <t>201710</t>
  </si>
  <si>
    <t>SAIC SK81 单排五星车型改造项目</t>
  </si>
  <si>
    <t>2017SYL-10</t>
  </si>
  <si>
    <t>201711</t>
  </si>
  <si>
    <t>SAIC IS21</t>
  </si>
  <si>
    <t>2017SYL-11</t>
  </si>
  <si>
    <t>201712</t>
  </si>
  <si>
    <t>SGM DYSP K257_9BYX</t>
  </si>
  <si>
    <t>2017SYL-12</t>
  </si>
  <si>
    <t>201713</t>
  </si>
  <si>
    <t>SVW CPH Tharu UB UG_分拼项目</t>
  </si>
  <si>
    <t>2017SYL-13</t>
  </si>
  <si>
    <t>201714</t>
  </si>
  <si>
    <t>SGMDY NPBS JBSC1 Project</t>
  </si>
  <si>
    <t>2017SYL-14</t>
  </si>
  <si>
    <t>201715</t>
  </si>
  <si>
    <t>长安V301-S_V302项目</t>
  </si>
  <si>
    <t>重庆长安</t>
  </si>
  <si>
    <t>2017SYL-15</t>
  </si>
  <si>
    <t>201716</t>
  </si>
  <si>
    <t>上海安莱德 Tiguan NF PHEV 项目</t>
  </si>
  <si>
    <t>2017SYL-16</t>
  </si>
  <si>
    <t>201717</t>
  </si>
  <si>
    <t>上海安莱德 Tiguan NF 产能提升项目</t>
  </si>
  <si>
    <t>2017SYL-17</t>
  </si>
  <si>
    <t>201718</t>
  </si>
  <si>
    <t>SGM A2ll_A2SL 项目</t>
  </si>
  <si>
    <t>2017SYL-18</t>
  </si>
  <si>
    <t>201719</t>
  </si>
  <si>
    <t>SGM K218 project</t>
  </si>
  <si>
    <t>2017SYL-19</t>
  </si>
  <si>
    <t>201720</t>
  </si>
  <si>
    <t>SSDT K257 project</t>
  </si>
  <si>
    <t>2017SYL-20</t>
  </si>
  <si>
    <t>201721</t>
  </si>
  <si>
    <t>SAIC MAXUS SV51 project</t>
  </si>
  <si>
    <t>上汽大通南京</t>
  </si>
  <si>
    <t>2017SYL-21</t>
  </si>
  <si>
    <t>888888</t>
  </si>
  <si>
    <t>共同费</t>
  </si>
  <si>
    <t>鑫燕隆</t>
  </si>
  <si>
    <t>设备1</t>
  </si>
  <si>
    <t>登记号码</t>
  </si>
  <si>
    <t>时间</t>
  </si>
  <si>
    <t>验证模式</t>
  </si>
  <si>
    <t>设备号</t>
  </si>
  <si>
    <t>指纹</t>
  </si>
  <si>
    <t>任小刚</t>
  </si>
  <si>
    <t>密码</t>
  </si>
  <si>
    <t>薛帅</t>
  </si>
  <si>
    <t>打卡日期</t>
  </si>
  <si>
    <t>打卡次数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</si>
  <si>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</si>
  <si>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</si>
  <si>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</si>
  <si>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</si>
  <si>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</si>
  <si>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</si>
  <si>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</si>
  <si>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</si>
  <si>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</si>
  <si>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</si>
  <si>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</si>
  <si>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</si>
  <si>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</si>
  <si>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</si>
  <si>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</si>
  <si>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</si>
  <si>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2015-10-06</t>
  </si>
  <si>
    <t>08:00</t>
  </si>
  <si>
    <t>17:08</t>
  </si>
  <si>
    <t>2015-10-07</t>
  </si>
  <si>
    <t>07:59</t>
  </si>
  <si>
    <t>07:57</t>
  </si>
  <si>
    <t>17:05</t>
  </si>
  <si>
    <t>2015-10-09</t>
  </si>
  <si>
    <t>07:52</t>
  </si>
  <si>
    <t>17:04</t>
  </si>
  <si>
    <t>2015-10-01</t>
  </si>
  <si>
    <t>07:25</t>
  </si>
  <si>
    <t>2015-10-02</t>
  </si>
  <si>
    <t>07:15</t>
  </si>
  <si>
    <t>2015-10-03</t>
  </si>
  <si>
    <t>07:27</t>
  </si>
  <si>
    <t>17:03</t>
  </si>
  <si>
    <t>2015-10-04</t>
  </si>
  <si>
    <t>17:01</t>
  </si>
  <si>
    <t>2015-10-05</t>
  </si>
  <si>
    <t>07:40</t>
  </si>
  <si>
    <t>07:28</t>
  </si>
  <si>
    <t>07:35</t>
  </si>
  <si>
    <t>07:29</t>
  </si>
  <si>
    <t>07:30</t>
  </si>
  <si>
    <t>07:32</t>
  </si>
  <si>
    <t>16:59</t>
  </si>
  <si>
    <t>08:01</t>
  </si>
  <si>
    <t>17:06</t>
  </si>
  <si>
    <t>07:49</t>
  </si>
  <si>
    <t>07:45</t>
  </si>
  <si>
    <t>19:24</t>
  </si>
  <si>
    <t>07:50</t>
  </si>
  <si>
    <t>20:03</t>
  </si>
  <si>
    <t>07:46</t>
  </si>
  <si>
    <t>14:01</t>
  </si>
  <si>
    <t>07:47</t>
  </si>
  <si>
    <t>14:03</t>
  </si>
  <si>
    <t>14:07</t>
  </si>
  <si>
    <t>16:08</t>
  </si>
  <si>
    <t>07:44</t>
  </si>
  <si>
    <t>16:09</t>
  </si>
  <si>
    <t>16:04</t>
  </si>
  <si>
    <t>07:43</t>
  </si>
  <si>
    <t>16:07</t>
  </si>
  <si>
    <t>07:56</t>
  </si>
  <si>
    <t>17:16</t>
  </si>
  <si>
    <t>17:02</t>
  </si>
  <si>
    <t>21:01</t>
  </si>
  <si>
    <t>07:02</t>
  </si>
  <si>
    <t>17:42</t>
  </si>
  <si>
    <t>06:54</t>
  </si>
  <si>
    <t>17:41</t>
  </si>
  <si>
    <t>06:57</t>
  </si>
  <si>
    <t>18:34</t>
  </si>
  <si>
    <t>06:52</t>
  </si>
  <si>
    <t>17:47</t>
  </si>
  <si>
    <t>06:55</t>
  </si>
  <si>
    <t>20:04</t>
  </si>
  <si>
    <t>07:33</t>
  </si>
  <si>
    <t>07:36</t>
  </si>
  <si>
    <t>12:15</t>
  </si>
  <si>
    <t>06:51</t>
  </si>
  <si>
    <t>15:19</t>
  </si>
  <si>
    <t>06:50</t>
  </si>
  <si>
    <t>15:04</t>
  </si>
  <si>
    <t>06:48</t>
  </si>
  <si>
    <t>15:09</t>
  </si>
  <si>
    <t>07:26</t>
  </si>
  <si>
    <t>单位：</t>
  </si>
  <si>
    <t>姓名：薛晨</t>
  </si>
  <si>
    <t>工号：00001</t>
  </si>
  <si>
    <t>部门：</t>
  </si>
  <si>
    <t>日期：15.10.01～15.10.31</t>
  </si>
  <si>
    <t xml:space="preserve">工作天数：31  出勤天数：12  迟到次数：0 早退次数：0  缺勤天数：19 加班时数：  病假时数：    事假时数：
</t>
  </si>
  <si>
    <t xml:space="preserve">日薪工资：   加班工资：   其它津贴：  其他扣款：   实得工资： </t>
  </si>
  <si>
    <t>10.01</t>
  </si>
  <si>
    <t xml:space="preserve">      </t>
  </si>
  <si>
    <t>10.17</t>
  </si>
  <si>
    <t xml:space="preserve">07:54 </t>
  </si>
  <si>
    <t>19:59</t>
  </si>
  <si>
    <t>10.02</t>
  </si>
  <si>
    <t>10.18</t>
  </si>
  <si>
    <t xml:space="preserve">07:56 </t>
  </si>
  <si>
    <t xml:space="preserve">18:13 </t>
  </si>
  <si>
    <t>10.03</t>
  </si>
  <si>
    <t>10.19</t>
  </si>
  <si>
    <t xml:space="preserve">07:52 </t>
  </si>
  <si>
    <t>20:53</t>
  </si>
  <si>
    <t>10.04</t>
  </si>
  <si>
    <t>10.20</t>
  </si>
  <si>
    <t xml:space="preserve">07:46 </t>
  </si>
  <si>
    <t>21:09</t>
  </si>
  <si>
    <t>10.05</t>
  </si>
  <si>
    <t>10.21</t>
  </si>
  <si>
    <t>10.06</t>
  </si>
  <si>
    <t>10.22</t>
  </si>
  <si>
    <t>10.07</t>
  </si>
  <si>
    <t>10.23</t>
  </si>
  <si>
    <t>10.08</t>
  </si>
  <si>
    <t xml:space="preserve">07:55 </t>
  </si>
  <si>
    <t xml:space="preserve">20:59 </t>
  </si>
  <si>
    <t>10.24</t>
  </si>
  <si>
    <t>10.09</t>
  </si>
  <si>
    <t xml:space="preserve">07:58 </t>
  </si>
  <si>
    <t>20:09</t>
  </si>
  <si>
    <t>10.25</t>
  </si>
  <si>
    <t>10.10</t>
  </si>
  <si>
    <t xml:space="preserve">07:57 </t>
  </si>
  <si>
    <t>18:39</t>
  </si>
  <si>
    <t>10.26</t>
  </si>
  <si>
    <t>10.11</t>
  </si>
  <si>
    <t>10.27</t>
  </si>
  <si>
    <t>10.12</t>
  </si>
  <si>
    <t xml:space="preserve">20:39 </t>
  </si>
  <si>
    <t>10.28</t>
  </si>
  <si>
    <t>10.13</t>
  </si>
  <si>
    <t>21:05</t>
  </si>
  <si>
    <t>10.29</t>
  </si>
  <si>
    <t>10.14</t>
  </si>
  <si>
    <t xml:space="preserve">20:04 </t>
  </si>
  <si>
    <t>10.30</t>
  </si>
  <si>
    <t>10.15</t>
  </si>
  <si>
    <t xml:space="preserve">07:51 </t>
  </si>
  <si>
    <t xml:space="preserve">21:11 </t>
  </si>
  <si>
    <t>10.31</t>
  </si>
  <si>
    <t>10.16</t>
  </si>
  <si>
    <t>21:14</t>
  </si>
  <si>
    <t>员工签字：</t>
  </si>
  <si>
    <t>姓名：石恒胜</t>
  </si>
  <si>
    <t>工号：00011</t>
  </si>
  <si>
    <t xml:space="preserve">工作天数：31  出勤天数：20  迟到次数：0 早退次数：0  缺勤天数：11 加班时数：  病假时数：    事假时数：
</t>
  </si>
  <si>
    <t xml:space="preserve">18:09 </t>
  </si>
  <si>
    <t xml:space="preserve">19:36 </t>
  </si>
  <si>
    <t xml:space="preserve">19:43 </t>
  </si>
  <si>
    <t xml:space="preserve">07:50 </t>
  </si>
  <si>
    <t xml:space="preserve">07:42 </t>
  </si>
  <si>
    <t xml:space="preserve">18:56 </t>
  </si>
  <si>
    <t xml:space="preserve">20:05 </t>
  </si>
  <si>
    <t>20:58</t>
  </si>
  <si>
    <t xml:space="preserve">20:16 </t>
  </si>
  <si>
    <t xml:space="preserve">07:53 </t>
  </si>
  <si>
    <t>22:09</t>
  </si>
  <si>
    <t>22:16</t>
  </si>
  <si>
    <t>姓名：王志刚</t>
  </si>
  <si>
    <t>工号：00013</t>
  </si>
  <si>
    <t xml:space="preserve">工作天数：31  出勤天数：14 迟到次数：0 早退次数：0  缺勤天数：17 加班时数：  病假时数：    事假时数：
</t>
  </si>
  <si>
    <t xml:space="preserve">07:48 </t>
  </si>
  <si>
    <t>姓名：李强</t>
  </si>
  <si>
    <t>工号：00014</t>
  </si>
  <si>
    <t xml:space="preserve">工作天数：31  出勤天数：16 迟到次数：0 早退次数：0  缺勤天数：15 加班时数：  病假时数：    事假时数：
</t>
  </si>
  <si>
    <t xml:space="preserve">07:59 </t>
  </si>
  <si>
    <t>20:05</t>
  </si>
  <si>
    <t xml:space="preserve">07:49 </t>
  </si>
  <si>
    <t>姓名：张永远</t>
  </si>
  <si>
    <t>工号：00015</t>
  </si>
  <si>
    <t>姓名：黄仕武</t>
  </si>
  <si>
    <t>工号：00016</t>
  </si>
  <si>
    <t xml:space="preserve">工作天数：31  出勤天数：12 迟到次数：0 早退次数：0  缺勤天数：19 加班时数：  病假时数：    事假时数：
</t>
  </si>
  <si>
    <t xml:space="preserve">07:47 </t>
  </si>
  <si>
    <t>姓名：方天全</t>
  </si>
  <si>
    <t>工号：00017</t>
  </si>
  <si>
    <t>姓名：周熙玲</t>
  </si>
  <si>
    <t>工号：00019</t>
  </si>
  <si>
    <t xml:space="preserve">工作天数：31  出勤天数：16  迟到次数：0 早退次数：0  缺勤天数：15 加班时数：  病假时数：    事假时数：
</t>
  </si>
  <si>
    <t xml:space="preserve">17:34 </t>
  </si>
  <si>
    <t>18:14</t>
  </si>
  <si>
    <t xml:space="preserve">18:08 </t>
  </si>
  <si>
    <t>21:07</t>
  </si>
  <si>
    <t>21:11</t>
  </si>
  <si>
    <t>姓名：田正轩</t>
  </si>
  <si>
    <t>工号：00020</t>
  </si>
  <si>
    <t>姓名：杨小伟</t>
  </si>
  <si>
    <t>工号：00024</t>
  </si>
  <si>
    <t xml:space="preserve">07:37 </t>
  </si>
  <si>
    <t xml:space="preserve">07:34 </t>
  </si>
  <si>
    <t xml:space="preserve">07:41 </t>
  </si>
  <si>
    <t xml:space="preserve">07:33 </t>
  </si>
  <si>
    <t xml:space="preserve">07:40 </t>
  </si>
  <si>
    <t>姓名：沈显庆</t>
  </si>
  <si>
    <t>工号：00025</t>
  </si>
  <si>
    <t xml:space="preserve">工作天数：31  出勤天数：17  迟到次数：0 早退次数：0  缺勤天数：14 加班时数：  病假时数：    事假时数：
</t>
  </si>
  <si>
    <t>21:43</t>
  </si>
  <si>
    <t>姓名：侣沙平</t>
  </si>
  <si>
    <t>工号：00027</t>
  </si>
  <si>
    <t>20:11</t>
  </si>
  <si>
    <t>姓名：黄仕胜</t>
  </si>
  <si>
    <t>工号：00029</t>
  </si>
  <si>
    <t xml:space="preserve">工作天数：31  出勤天数：20  迟到次数：0早退次数：0  缺勤天数：11 加班时数：  病假时数：    事假时数：
</t>
  </si>
  <si>
    <t xml:space="preserve">07:43 </t>
  </si>
  <si>
    <t>姓名：孙标标</t>
  </si>
  <si>
    <t>工号：00030</t>
  </si>
  <si>
    <t>姓名：段青</t>
  </si>
  <si>
    <t>工号：00031</t>
  </si>
  <si>
    <t xml:space="preserve">工作天数：31  出勤天数：15  迟到次数：0 早退次数：0  缺勤天数：16 加班时数：  病假时数：    事假时数：
</t>
  </si>
  <si>
    <t xml:space="preserve">20:06 </t>
  </si>
  <si>
    <t>20:34</t>
  </si>
  <si>
    <t>姓名：王盛</t>
  </si>
  <si>
    <t>工号：00032</t>
  </si>
  <si>
    <t xml:space="preserve">工作天数：31  出勤天数：4  迟到次数：0 早退次数：0  缺勤天数：27 加班时数：  病假时数：    事假时数：
</t>
  </si>
  <si>
    <t>姓名：韩伟峰</t>
  </si>
  <si>
    <t>工号：00033</t>
  </si>
  <si>
    <t xml:space="preserve">工作天数：31  出勤天数：8 迟到次数：0 早退次数：0  缺勤天数：23 加班时数：  病假时数：    事假时数：
</t>
  </si>
  <si>
    <t xml:space="preserve">09:54 </t>
  </si>
  <si>
    <t>姓名：宋爱</t>
  </si>
  <si>
    <t xml:space="preserve">工作天数：31  出勤天数：24  迟到次数：0 早退次数：0  缺勤天数：7 加班时数：  病假时数：    事假时数：
</t>
  </si>
  <si>
    <t>7:41</t>
  </si>
  <si>
    <t>20:33</t>
  </si>
  <si>
    <t>7:37</t>
  </si>
  <si>
    <t>19:37</t>
  </si>
  <si>
    <t>7;37</t>
  </si>
  <si>
    <t>20:52</t>
  </si>
  <si>
    <t>7:39</t>
  </si>
  <si>
    <t>19:29</t>
  </si>
  <si>
    <t xml:space="preserve">7:39 </t>
  </si>
  <si>
    <t xml:space="preserve">20:36 </t>
  </si>
  <si>
    <t xml:space="preserve">7:38 </t>
  </si>
  <si>
    <t xml:space="preserve">7:49 </t>
  </si>
  <si>
    <t xml:space="preserve">18:38 </t>
  </si>
  <si>
    <t xml:space="preserve">19:28 </t>
  </si>
  <si>
    <t>20:21</t>
  </si>
  <si>
    <t>7:42</t>
  </si>
  <si>
    <t>18:57</t>
  </si>
  <si>
    <t xml:space="preserve">7:56 </t>
  </si>
  <si>
    <t>19:30</t>
  </si>
  <si>
    <t xml:space="preserve">7:58 </t>
  </si>
  <si>
    <t>19:51</t>
  </si>
  <si>
    <t>21:18</t>
  </si>
  <si>
    <t xml:space="preserve">7:45 </t>
  </si>
  <si>
    <t xml:space="preserve">20:19 </t>
  </si>
  <si>
    <t>23:06</t>
  </si>
  <si>
    <t>7:46</t>
  </si>
  <si>
    <t xml:space="preserve">20:13 </t>
  </si>
  <si>
    <t>7：41</t>
  </si>
  <si>
    <t>18:55</t>
  </si>
  <si>
    <t xml:space="preserve">7:53 </t>
  </si>
  <si>
    <t>20:14</t>
  </si>
  <si>
    <t>7:45</t>
  </si>
  <si>
    <t>20:23</t>
  </si>
  <si>
    <t>7:54</t>
  </si>
  <si>
    <r>
      <rPr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0</t>
    </r>
    <r>
      <rPr>
        <sz val="10"/>
        <rFont val="宋体"/>
        <family val="3"/>
        <charset val="134"/>
      </rPr>
      <t>:15</t>
    </r>
  </si>
  <si>
    <t>18:11</t>
  </si>
  <si>
    <t>姓名：邓桂红</t>
  </si>
  <si>
    <t>工号：00002</t>
  </si>
  <si>
    <t xml:space="preserve">工作天数：31  出勤天数：5  迟到次数：0 早退次数：0  缺勤天数：26 加班时数：  病假时数：    事假时数：
</t>
  </si>
  <si>
    <t xml:space="preserve">19:57 </t>
  </si>
  <si>
    <t>7:58</t>
  </si>
  <si>
    <t>17:34</t>
  </si>
  <si>
    <t>7:50</t>
  </si>
  <si>
    <t>17:12</t>
  </si>
  <si>
    <t xml:space="preserve">7:58    </t>
  </si>
  <si>
    <t xml:space="preserve">17:22     </t>
  </si>
  <si>
    <t>姓名：封静轩</t>
  </si>
  <si>
    <t>工号：00003</t>
  </si>
  <si>
    <t xml:space="preserve">工作天数：31  出勤天数：3  迟到次数：0 早退次数：0  缺勤天数：28 加班时数：  病假时数：    事假时数：
</t>
  </si>
  <si>
    <t>17:43</t>
  </si>
  <si>
    <t>17:15</t>
  </si>
  <si>
    <t>姓名：薛帅</t>
  </si>
  <si>
    <t>工号：00004</t>
  </si>
  <si>
    <t xml:space="preserve">工作天数：31  出勤天数：22  迟到次数：0 早退次数：0  缺勤天数：9 加班时数：  病假时数：    事假时数：
</t>
  </si>
  <si>
    <t>17:58</t>
  </si>
  <si>
    <t>17:07</t>
  </si>
  <si>
    <t xml:space="preserve">17:03 </t>
  </si>
  <si>
    <t xml:space="preserve">17:11 </t>
  </si>
  <si>
    <t>18:58</t>
  </si>
  <si>
    <t xml:space="preserve">19:27 </t>
  </si>
  <si>
    <t>17:57</t>
  </si>
  <si>
    <t xml:space="preserve">19:58 </t>
  </si>
  <si>
    <t>17:33</t>
  </si>
  <si>
    <t>7:43</t>
  </si>
  <si>
    <t>17:24</t>
  </si>
  <si>
    <t>18:08</t>
  </si>
  <si>
    <t>17:28</t>
  </si>
  <si>
    <t>17:21</t>
  </si>
  <si>
    <t>姓名：刘航</t>
  </si>
  <si>
    <t>工号：00005</t>
  </si>
  <si>
    <t xml:space="preserve">工作天数：31  出勤天数：0  迟到次数：0 早退次数：0  缺勤天数：31 加班时数：  病假时数：    事假时数：
</t>
  </si>
  <si>
    <t>姓名：晏闯</t>
  </si>
  <si>
    <t>工号：00006</t>
  </si>
  <si>
    <t>19:27</t>
  </si>
  <si>
    <t>19:25</t>
  </si>
  <si>
    <t>7:48</t>
  </si>
  <si>
    <t>20:38</t>
  </si>
  <si>
    <t>19:12</t>
  </si>
  <si>
    <t>7:55</t>
  </si>
  <si>
    <t>19:35</t>
  </si>
  <si>
    <t>19:02</t>
  </si>
  <si>
    <t>20:22</t>
  </si>
  <si>
    <t>19:31</t>
  </si>
  <si>
    <t xml:space="preserve">20:46 </t>
  </si>
  <si>
    <t>21:38</t>
  </si>
  <si>
    <t>7:52</t>
  </si>
  <si>
    <t>19:52</t>
  </si>
  <si>
    <t>7:57</t>
  </si>
  <si>
    <t>姓名：刘昌帆</t>
  </si>
  <si>
    <t>工号：00007</t>
  </si>
  <si>
    <t xml:space="preserve">工作天数：31  出勤天数：21  迟到次数：0 早退次数：0  缺勤天数：10 加班时数：  病假时数：    事假时数：
</t>
  </si>
  <si>
    <t xml:space="preserve">17:09 </t>
  </si>
  <si>
    <t xml:space="preserve">17:10 </t>
  </si>
  <si>
    <t xml:space="preserve">17:24 </t>
  </si>
  <si>
    <t>17:25</t>
  </si>
  <si>
    <t xml:space="preserve">17:02 </t>
  </si>
  <si>
    <t>17:56</t>
  </si>
  <si>
    <t xml:space="preserve">17:16 </t>
  </si>
  <si>
    <t>17:11</t>
  </si>
  <si>
    <t xml:space="preserve">17:28 </t>
  </si>
  <si>
    <t xml:space="preserve">17:05 </t>
  </si>
  <si>
    <t>17:26</t>
  </si>
  <si>
    <t>姓名：王一帆</t>
  </si>
  <si>
    <t>工号：00008</t>
  </si>
  <si>
    <t xml:space="preserve">工作天数：31  出勤天数：2  迟到次数：0 早退次数：0  缺勤天数：29 加班时数：  病假时数：    事假时数：
</t>
  </si>
  <si>
    <t>姓名：孙振明</t>
  </si>
  <si>
    <t>工号：00009</t>
  </si>
  <si>
    <r>
      <rPr>
        <sz val="10"/>
        <rFont val="宋体"/>
        <family val="3"/>
        <charset val="134"/>
      </rPr>
      <t>工作天数：31  出勤天数：2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 xml:space="preserve">  迟到次数：0 早退次数：0  缺勤天数：1</t>
    </r>
    <r>
      <rPr>
        <sz val="10"/>
        <rFont val="宋体"/>
        <family val="3"/>
        <charset val="134"/>
      </rPr>
      <t>0</t>
    </r>
    <r>
      <rPr>
        <sz val="10"/>
        <rFont val="宋体"/>
        <family val="3"/>
        <charset val="134"/>
      </rPr>
      <t xml:space="preserve"> 加班时数：  病假时数：    事假时数：
</t>
    </r>
  </si>
  <si>
    <t>17:22</t>
  </si>
  <si>
    <t>17:14</t>
  </si>
  <si>
    <t xml:space="preserve">17:29 </t>
  </si>
  <si>
    <t xml:space="preserve">17:19 </t>
  </si>
  <si>
    <t>17:40</t>
  </si>
  <si>
    <t>17:20</t>
  </si>
  <si>
    <t xml:space="preserve">17:30 </t>
  </si>
  <si>
    <t xml:space="preserve">17:45 </t>
  </si>
  <si>
    <t>7:44</t>
  </si>
  <si>
    <t>17:19</t>
  </si>
  <si>
    <t>7:51</t>
  </si>
  <si>
    <t xml:space="preserve">17:21 </t>
  </si>
  <si>
    <t>17:32</t>
  </si>
  <si>
    <t>姓名：李老三</t>
  </si>
  <si>
    <t>工号：00010</t>
  </si>
  <si>
    <t>20:13</t>
  </si>
  <si>
    <t>7:36</t>
  </si>
  <si>
    <t>20:54</t>
  </si>
  <si>
    <t>21:39</t>
  </si>
  <si>
    <r>
      <rPr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0</t>
    </r>
    <r>
      <rPr>
        <sz val="10"/>
        <rFont val="宋体"/>
        <family val="3"/>
        <charset val="134"/>
      </rPr>
      <t>:18</t>
    </r>
  </si>
  <si>
    <t>7:38</t>
  </si>
  <si>
    <t>21:06</t>
  </si>
  <si>
    <t>21:27</t>
  </si>
  <si>
    <t>18:56</t>
  </si>
  <si>
    <t xml:space="preserve">7:40 </t>
  </si>
  <si>
    <t>19:21</t>
  </si>
  <si>
    <t>19:50</t>
  </si>
  <si>
    <t xml:space="preserve">7:46 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</si>
  <si>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9</t>
    </r>
    <r>
      <rPr>
        <sz val="10"/>
        <rFont val="宋体"/>
        <family val="3"/>
        <charset val="134"/>
      </rPr>
      <t xml:space="preserve">:28 </t>
    </r>
  </si>
  <si>
    <t xml:space="preserve">7:43 </t>
  </si>
  <si>
    <t>20:55</t>
  </si>
  <si>
    <t>7:30</t>
  </si>
  <si>
    <t>19:45</t>
  </si>
  <si>
    <t>姓名：蔡凤军</t>
  </si>
  <si>
    <t xml:space="preserve">工作天数：31  出勤天数：1  迟到次数：0 早退次数：0  缺勤天数：30 加班时数：  病假时数：    事假时数：
</t>
  </si>
  <si>
    <t>7:53</t>
  </si>
  <si>
    <t>17:09</t>
  </si>
  <si>
    <t>姓名：张志航</t>
  </si>
  <si>
    <t>工号：00012</t>
  </si>
  <si>
    <t xml:space="preserve">工作天数：31  出勤天数：19  迟到次数：0 早退次数：0  缺勤天数：12 加班时数：  病假时数：    事假时数：
</t>
  </si>
  <si>
    <t>7:28</t>
  </si>
  <si>
    <t>7:32</t>
  </si>
  <si>
    <t>21:22</t>
  </si>
  <si>
    <t>19:34</t>
  </si>
  <si>
    <t>7:31</t>
  </si>
  <si>
    <t xml:space="preserve">7:29 </t>
  </si>
  <si>
    <t xml:space="preserve">7:33 </t>
  </si>
  <si>
    <t xml:space="preserve">19:53 </t>
  </si>
  <si>
    <t>19:58</t>
  </si>
  <si>
    <t xml:space="preserve">7:31 </t>
  </si>
  <si>
    <t xml:space="preserve">7:32 </t>
  </si>
  <si>
    <t>22:05</t>
  </si>
  <si>
    <t>7:33</t>
  </si>
  <si>
    <t>18:59</t>
  </si>
  <si>
    <t xml:space="preserve">19:19 </t>
  </si>
  <si>
    <t>23:05</t>
  </si>
  <si>
    <t>19:33</t>
  </si>
  <si>
    <t>姓名：刘国青</t>
  </si>
  <si>
    <t>21:02</t>
  </si>
  <si>
    <t>7:40</t>
  </si>
  <si>
    <t>7:47</t>
  </si>
  <si>
    <t>21:00</t>
  </si>
  <si>
    <t xml:space="preserve">7:50 </t>
  </si>
  <si>
    <t xml:space="preserve">21:00 </t>
  </si>
  <si>
    <t xml:space="preserve">7:47 </t>
  </si>
  <si>
    <t xml:space="preserve">17:36 </t>
  </si>
  <si>
    <t xml:space="preserve">18:22 </t>
  </si>
  <si>
    <t xml:space="preserve">19:13 </t>
  </si>
  <si>
    <t>7:34</t>
  </si>
  <si>
    <t xml:space="preserve">7:54 </t>
  </si>
  <si>
    <t xml:space="preserve">20:43 </t>
  </si>
  <si>
    <t>17:53</t>
  </si>
  <si>
    <t xml:space="preserve">19:33 </t>
  </si>
  <si>
    <t>20:36</t>
  </si>
  <si>
    <t xml:space="preserve">20:37 </t>
  </si>
  <si>
    <t>20:20</t>
  </si>
  <si>
    <t>18:18</t>
  </si>
  <si>
    <t>姓名：李映鸿</t>
  </si>
  <si>
    <t>18:36</t>
  </si>
  <si>
    <t>7:49</t>
  </si>
  <si>
    <t xml:space="preserve">18:49 </t>
  </si>
  <si>
    <t xml:space="preserve">18:18 </t>
  </si>
  <si>
    <t xml:space="preserve">17:00 </t>
  </si>
  <si>
    <t xml:space="preserve">17:07 </t>
  </si>
  <si>
    <t xml:space="preserve">17:49 </t>
  </si>
  <si>
    <t xml:space="preserve">17:38 </t>
  </si>
  <si>
    <t>18:29</t>
  </si>
  <si>
    <t>姓名：陈亭利</t>
  </si>
  <si>
    <t>7:56</t>
  </si>
  <si>
    <t xml:space="preserve">21:01 </t>
  </si>
  <si>
    <t xml:space="preserve">19:42 </t>
  </si>
  <si>
    <t>20:35</t>
  </si>
  <si>
    <t xml:space="preserve">20:44 </t>
  </si>
  <si>
    <t xml:space="preserve">20:33 </t>
  </si>
  <si>
    <t>17:27</t>
  </si>
  <si>
    <t xml:space="preserve">20:03 </t>
  </si>
  <si>
    <t>姓名：尚东亮</t>
  </si>
  <si>
    <t>20:51</t>
  </si>
  <si>
    <t xml:space="preserve">7:52 </t>
  </si>
  <si>
    <t xml:space="preserve">7:55 </t>
  </si>
  <si>
    <t xml:space="preserve">21:41 </t>
  </si>
  <si>
    <t>20:49</t>
  </si>
  <si>
    <t>17:38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</si>
  <si>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8</t>
    </r>
    <r>
      <rPr>
        <sz val="10"/>
        <rFont val="宋体"/>
        <family val="3"/>
        <charset val="134"/>
      </rPr>
      <t>:01</t>
    </r>
  </si>
  <si>
    <t>21:59</t>
  </si>
  <si>
    <t xml:space="preserve">20:31 </t>
  </si>
  <si>
    <t>19:14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</si>
  <si>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9</t>
    </r>
    <r>
      <rPr>
        <sz val="10"/>
        <rFont val="宋体"/>
        <family val="3"/>
        <charset val="134"/>
      </rPr>
      <t>:01</t>
    </r>
  </si>
  <si>
    <t>姓名：雷修民</t>
  </si>
  <si>
    <t>姓名：韩玉</t>
  </si>
  <si>
    <t>工号：00018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</si>
  <si>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9</t>
    </r>
    <r>
      <rPr>
        <sz val="10"/>
        <rFont val="宋体"/>
        <family val="3"/>
        <charset val="134"/>
      </rPr>
      <t>: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 xml:space="preserve">5 </t>
    </r>
  </si>
  <si>
    <r>
      <rPr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0</t>
    </r>
    <r>
      <rPr>
        <sz val="10"/>
        <rFont val="宋体"/>
        <family val="3"/>
        <charset val="134"/>
      </rPr>
      <t>: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 xml:space="preserve">9 </t>
    </r>
  </si>
  <si>
    <t>21:51</t>
  </si>
  <si>
    <t>20:17</t>
  </si>
  <si>
    <r>
      <rPr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0</t>
    </r>
    <r>
      <rPr>
        <sz val="10"/>
        <rFont val="宋体"/>
        <family val="3"/>
        <charset val="134"/>
      </rPr>
      <t>: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 xml:space="preserve">5 </t>
    </r>
  </si>
  <si>
    <t xml:space="preserve">21:09 </t>
  </si>
  <si>
    <t>21:58</t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</si>
  <si>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9</t>
    </r>
    <r>
      <rPr>
        <sz val="10"/>
        <rFont val="宋体"/>
        <family val="3"/>
        <charset val="134"/>
      </rPr>
      <t xml:space="preserve">:04 </t>
    </r>
  </si>
  <si>
    <t xml:space="preserve">21:56 </t>
  </si>
  <si>
    <t xml:space="preserve">21:48 </t>
  </si>
  <si>
    <t>19:54</t>
  </si>
  <si>
    <t>姓名：文俊</t>
  </si>
  <si>
    <t>姓名：刘亮</t>
  </si>
  <si>
    <r>
      <rPr>
        <sz val="10"/>
        <rFont val="宋体"/>
        <family val="3"/>
        <charset val="134"/>
      </rPr>
      <t>工作天数：31  出勤天数：</t>
    </r>
    <r>
      <rPr>
        <sz val="10"/>
        <rFont val="宋体"/>
        <family val="3"/>
        <charset val="134"/>
      </rPr>
      <t xml:space="preserve">20  迟到次数：0 早退次数：0  缺勤天数：11 加班时数：  病假时数：    事假时数：
</t>
    </r>
  </si>
  <si>
    <t>18:00</t>
  </si>
  <si>
    <t xml:space="preserve">19:10 </t>
  </si>
  <si>
    <t>19:11</t>
  </si>
  <si>
    <t xml:space="preserve">17:17 </t>
  </si>
  <si>
    <t>18:12</t>
  </si>
  <si>
    <t>17:31</t>
  </si>
  <si>
    <r>
      <rPr>
        <sz val="10"/>
        <color indexed="8"/>
        <rFont val="宋体"/>
        <family val="3"/>
        <charset val="134"/>
      </rPr>
      <t>17:</t>
    </r>
    <r>
      <rPr>
        <sz val="10"/>
        <color indexed="8"/>
        <rFont val="宋体"/>
        <family val="3"/>
        <charset val="134"/>
      </rPr>
      <t>5</t>
    </r>
    <r>
      <rPr>
        <sz val="10"/>
        <color indexed="8"/>
        <rFont val="宋体"/>
        <family val="3"/>
        <charset val="134"/>
      </rPr>
      <t>4</t>
    </r>
  </si>
  <si>
    <t>姓名：任小钢</t>
  </si>
  <si>
    <t>工号：00021</t>
  </si>
  <si>
    <t>姓名：涂龙兵</t>
  </si>
  <si>
    <t>工号：00022</t>
  </si>
  <si>
    <t xml:space="preserve">工作天数：31  出勤天数：23  迟到次数：0 早退次数：0  缺勤天数：8 加班时数：  病假时数：    事假时数：
</t>
  </si>
  <si>
    <t>21:24</t>
  </si>
  <si>
    <t>20:29</t>
  </si>
  <si>
    <t>19:41</t>
  </si>
  <si>
    <t xml:space="preserve">20:30 </t>
  </si>
  <si>
    <t>19:55</t>
  </si>
  <si>
    <t>7:35</t>
  </si>
  <si>
    <t xml:space="preserve">19:11 </t>
  </si>
  <si>
    <t>20:47</t>
  </si>
  <si>
    <t xml:space="preserve">20:15 </t>
  </si>
  <si>
    <t xml:space="preserve">20:28 </t>
  </si>
  <si>
    <t>姓名：孙超</t>
  </si>
  <si>
    <t>工号：00023</t>
  </si>
  <si>
    <t>17:35</t>
  </si>
  <si>
    <t>18:05</t>
  </si>
  <si>
    <t>姓名：曾祥油</t>
  </si>
  <si>
    <t>17;59</t>
  </si>
  <si>
    <t>18:26</t>
  </si>
  <si>
    <t xml:space="preserve">17:20 </t>
  </si>
  <si>
    <t>17:29</t>
  </si>
  <si>
    <t>姓名：刘飞</t>
  </si>
  <si>
    <t xml:space="preserve">17:48 </t>
  </si>
  <si>
    <t xml:space="preserve">18:28 </t>
  </si>
  <si>
    <t>姓名：任军</t>
  </si>
  <si>
    <t>工号：00026</t>
  </si>
  <si>
    <r>
      <rPr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 xml:space="preserve">:47 </t>
    </r>
  </si>
  <si>
    <t xml:space="preserve">18:23 </t>
  </si>
  <si>
    <r>
      <rPr>
        <sz val="10"/>
        <rFont val="宋体"/>
        <family val="3"/>
        <charset val="134"/>
      </rPr>
      <t>19: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5</t>
    </r>
  </si>
  <si>
    <t>姓名：涂魁</t>
  </si>
  <si>
    <t xml:space="preserve">工作天数：31  出勤天数：24 迟到次数：0 早退次数：0  缺勤天数：7 加班时数：  病假时数：    事假时数：
</t>
  </si>
  <si>
    <t>21:23</t>
  </si>
  <si>
    <t>21:03</t>
  </si>
  <si>
    <t>21:40</t>
  </si>
  <si>
    <t>19:00</t>
  </si>
  <si>
    <t>17:54</t>
  </si>
  <si>
    <r>
      <rPr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0</t>
    </r>
    <r>
      <rPr>
        <sz val="10"/>
        <rFont val="宋体"/>
        <family val="3"/>
        <charset val="134"/>
      </rPr>
      <t>:</t>
    </r>
    <r>
      <rPr>
        <sz val="10"/>
        <rFont val="宋体"/>
        <family val="3"/>
        <charset val="134"/>
      </rPr>
      <t>0</t>
    </r>
    <r>
      <rPr>
        <sz val="10"/>
        <rFont val="宋体"/>
        <family val="3"/>
        <charset val="134"/>
      </rPr>
      <t xml:space="preserve">3 </t>
    </r>
  </si>
  <si>
    <t>姓名：郭金涛</t>
  </si>
  <si>
    <t>17:13</t>
  </si>
  <si>
    <t>7:59</t>
  </si>
  <si>
    <t xml:space="preserve">17:18 </t>
  </si>
  <si>
    <t>17:17</t>
  </si>
  <si>
    <t>姓名：贾双鹏</t>
  </si>
  <si>
    <r>
      <rPr>
        <sz val="10"/>
        <rFont val="宋体"/>
        <family val="3"/>
        <charset val="134"/>
      </rPr>
      <t>7:</t>
    </r>
    <r>
      <rPr>
        <sz val="10"/>
        <rFont val="宋体"/>
        <family val="3"/>
        <charset val="134"/>
      </rPr>
      <t>57</t>
    </r>
  </si>
  <si>
    <r>
      <rPr>
        <sz val="10"/>
        <rFont val="宋体"/>
        <family val="3"/>
        <charset val="134"/>
      </rPr>
      <t>17: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2</t>
    </r>
  </si>
  <si>
    <r>
      <rPr>
        <sz val="10"/>
        <rFont val="宋体"/>
        <family val="3"/>
        <charset val="134"/>
      </rPr>
      <t>7:</t>
    </r>
    <r>
      <rPr>
        <sz val="10"/>
        <rFont val="宋体"/>
        <family val="3"/>
        <charset val="134"/>
      </rPr>
      <t>49</t>
    </r>
  </si>
  <si>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8</t>
    </r>
    <r>
      <rPr>
        <sz val="10"/>
        <rFont val="宋体"/>
        <family val="3"/>
        <charset val="134"/>
      </rPr>
      <t>:20</t>
    </r>
  </si>
  <si>
    <r>
      <rPr>
        <sz val="10"/>
        <rFont val="宋体"/>
        <family val="3"/>
        <charset val="134"/>
      </rPr>
      <t>7:5</t>
    </r>
    <r>
      <rPr>
        <sz val="10"/>
        <rFont val="宋体"/>
        <family val="3"/>
        <charset val="134"/>
      </rPr>
      <t>1</t>
    </r>
  </si>
  <si>
    <r>
      <rPr>
        <sz val="10"/>
        <rFont val="宋体"/>
        <family val="3"/>
        <charset val="134"/>
      </rPr>
      <t>17:</t>
    </r>
    <r>
      <rPr>
        <sz val="10"/>
        <rFont val="宋体"/>
        <family val="3"/>
        <charset val="134"/>
      </rPr>
      <t>07</t>
    </r>
  </si>
  <si>
    <t>姓名：周云龙</t>
  </si>
  <si>
    <t>17:23</t>
  </si>
  <si>
    <t>姓名：高俊</t>
  </si>
  <si>
    <t xml:space="preserve">21:00      </t>
  </si>
  <si>
    <t>23:30</t>
  </si>
  <si>
    <t>工号：00034</t>
  </si>
  <si>
    <t>小夜班</t>
  </si>
  <si>
    <t>二班</t>
  </si>
  <si>
    <t>大夜班</t>
  </si>
  <si>
    <t>二班三</t>
  </si>
  <si>
    <t>铆焊大夜班</t>
  </si>
  <si>
    <t>7点隔天休</t>
  </si>
  <si>
    <t>8点隔天休</t>
  </si>
  <si>
    <t>铆焊夜班</t>
  </si>
  <si>
    <t>晚8点</t>
  </si>
  <si>
    <t>晚8点半</t>
  </si>
  <si>
    <t>晚5点</t>
  </si>
  <si>
    <t>晚5点半</t>
  </si>
  <si>
    <t>工号:</t>
    <phoneticPr fontId="17" type="noConversion"/>
  </si>
  <si>
    <t>部门:</t>
    <phoneticPr fontId="17" type="noConversion"/>
  </si>
  <si>
    <t>姓名:李岩</t>
    <phoneticPr fontId="17" type="noConversion"/>
  </si>
  <si>
    <t>工号:00001</t>
    <phoneticPr fontId="17" type="noConversion"/>
  </si>
  <si>
    <t>姓名:孙立祥</t>
    <phoneticPr fontId="17" type="noConversion"/>
  </si>
  <si>
    <t>07:37</t>
  </si>
  <si>
    <t>20:41</t>
  </si>
  <si>
    <t>20:00</t>
    <phoneticPr fontId="16" type="noConversion"/>
  </si>
  <si>
    <t>8:00</t>
  </si>
  <si>
    <t>00001</t>
  </si>
  <si>
    <t>工号:</t>
  </si>
  <si>
    <t>日期:22.02.11～22.02.20</t>
    <phoneticPr fontId="17" type="noConversion"/>
  </si>
  <si>
    <t>项目名称</t>
  </si>
  <si>
    <t>上班</t>
  </si>
  <si>
    <t>下班</t>
  </si>
  <si>
    <t>基准
上班
时间</t>
  </si>
  <si>
    <t>基准
下班
时间</t>
  </si>
  <si>
    <t>基准
加班
时间</t>
  </si>
  <si>
    <t>出勤
工时</t>
  </si>
  <si>
    <t>确认
出勤
工时</t>
  </si>
  <si>
    <r>
      <t xml:space="preserve">迟到
</t>
    </r>
    <r>
      <rPr>
        <sz val="10"/>
        <rFont val="Times New Roman"/>
        <family val="1"/>
      </rPr>
      <t>(</t>
    </r>
    <r>
      <rPr>
        <sz val="10"/>
        <rFont val="宋体"/>
        <family val="3"/>
        <charset val="134"/>
      </rPr>
      <t>分）</t>
    </r>
  </si>
  <si>
    <t>旷工</t>
  </si>
  <si>
    <t>调休</t>
  </si>
  <si>
    <t>备注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</si>
</sst>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 * #,##0.00_ ;_ * \-#,##0.00_ ;_ * &quot;-&quot;??_ ;_ @_ "/>
    <numFmt numFmtId="176" formatCode="0_);[Red]\(0\)"/>
    <numFmt numFmtId="177" formatCode="yyyy/mm/dd"/>
    <numFmt numFmtId="178" formatCode="hh:mm"/>
    <numFmt numFmtId="179" formatCode="hh:m"/>
    <numFmt numFmtId="180" formatCode="0.0_);[Red]\(0.0\)"/>
    <numFmt numFmtId="181" formatCode="_ * #,##0.0_ ;_ * \-#,##0.0_ ;_ * &quot;-&quot;??_ ;_ @_ "/>
    <numFmt numFmtId="182" formatCode="d"/>
    <numFmt numFmtId="183" formatCode="yy/mm/dd"/>
    <numFmt numFmtId="184" formatCode="mm&quot;.&quot;dd"/>
    <numFmt numFmtId="185" formatCode="aaa"/>
    <numFmt numFmtId="186" formatCode="g/&quot;通&quot;&quot;用&quot;&quot;格&quot;&quot;式&quot;"/>
  </numFmts>
  <fonts count="18" x14ac:knownFonts="1">
    <font>
      <sz val="11"/>
      <color theme="1"/>
      <name val="宋体"/>
      <charset val="134"/>
      <scheme val="minor"/>
    </font>
    <font>
      <sz val="10"/>
      <name val="Times New Roman"/>
      <family val="1"/>
    </font>
    <font>
      <sz val="10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0"/>
      <color indexed="10"/>
      <name val="宋体"/>
      <family val="3"/>
      <charset val="134"/>
    </font>
    <font>
      <sz val="10"/>
      <color indexed="8"/>
      <name val="宋体"/>
      <family val="3"/>
      <charset val="134"/>
    </font>
    <font>
      <sz val="12"/>
      <color indexed="8"/>
      <name val="宋体"/>
      <family val="3"/>
      <charset val="134"/>
    </font>
    <font>
      <sz val="11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0"/>
      <name val="Times New Roman"/>
      <family val="1"/>
    </font>
    <font>
      <b/>
      <sz val="16"/>
      <name val="宋体"/>
      <family val="3"/>
      <charset val="134"/>
    </font>
    <font>
      <sz val="10"/>
      <color theme="1"/>
      <name val="Times New Roman"/>
      <family val="1"/>
    </font>
    <font>
      <b/>
      <sz val="1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0"/>
      </right>
      <top/>
      <bottom style="thin">
        <color indexed="0"/>
      </bottom>
      <diagonal/>
    </border>
    <border>
      <left style="thin">
        <color indexed="0"/>
      </left>
      <right/>
      <top style="thin">
        <color indexed="0"/>
      </top>
      <bottom style="thin">
        <color indexed="0"/>
      </bottom>
      <diagonal/>
    </border>
    <border>
      <left/>
      <right/>
      <top style="thin">
        <color indexed="0"/>
      </top>
      <bottom style="thin">
        <color indexed="0"/>
      </bottom>
      <diagonal/>
    </border>
    <border>
      <left/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/>
      <right style="thin">
        <color rgb="FF000000"/>
      </right>
      <top style="thin">
        <color indexed="8"/>
      </top>
      <bottom style="thin">
        <color indexed="0"/>
      </bottom>
      <diagonal/>
    </border>
    <border>
      <left style="thin">
        <color rgb="FF000000"/>
      </left>
      <right/>
      <top style="thin">
        <color indexed="8"/>
      </top>
      <bottom style="thin">
        <color indexed="0"/>
      </bottom>
      <diagonal/>
    </border>
    <border>
      <left style="thin">
        <color indexed="0"/>
      </left>
      <right style="thin">
        <color indexed="0"/>
      </right>
      <top/>
      <bottom style="thin">
        <color indexed="0"/>
      </bottom>
      <diagonal/>
    </border>
    <border>
      <left/>
      <right/>
      <top style="thin">
        <color indexed="0"/>
      </top>
      <bottom/>
      <diagonal/>
    </border>
    <border>
      <left style="thin">
        <color indexed="0"/>
      </left>
      <right style="thin">
        <color indexed="0"/>
      </right>
      <top/>
      <bottom/>
      <diagonal/>
    </border>
    <border>
      <left/>
      <right/>
      <top/>
      <bottom style="thin">
        <color indexed="0"/>
      </bottom>
      <diagonal/>
    </border>
    <border>
      <left/>
      <right style="thin">
        <color rgb="FF000000"/>
      </right>
      <top style="thin">
        <color indexed="0"/>
      </top>
      <bottom style="thin">
        <color indexed="0"/>
      </bottom>
      <diagonal/>
    </border>
    <border>
      <left style="thin">
        <color rgb="FF000000"/>
      </left>
      <right/>
      <top style="thin">
        <color indexed="0"/>
      </top>
      <bottom style="thin">
        <color indexed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6">
    <xf numFmtId="0" fontId="0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9" fillId="0" borderId="0"/>
    <xf numFmtId="0" fontId="9" fillId="0" borderId="0"/>
    <xf numFmtId="0" fontId="10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</cellStyleXfs>
  <cellXfs count="132">
    <xf numFmtId="0" fontId="0" fillId="0" borderId="0" xfId="0">
      <alignment vertical="center"/>
    </xf>
    <xf numFmtId="0" fontId="1" fillId="0" borderId="0" xfId="11" applyFont="1"/>
    <xf numFmtId="49" fontId="2" fillId="0" borderId="0" xfId="11" applyNumberFormat="1" applyFont="1" applyAlignment="1">
      <alignment horizontal="center" vertical="center"/>
    </xf>
    <xf numFmtId="49" fontId="1" fillId="0" borderId="0" xfId="11" applyNumberFormat="1" applyFont="1" applyAlignment="1">
      <alignment horizontal="center" vertical="center"/>
    </xf>
    <xf numFmtId="49" fontId="2" fillId="0" borderId="0" xfId="11" applyNumberFormat="1" applyFont="1" applyAlignment="1">
      <alignment horizontal="center" vertical="center" wrapText="1"/>
    </xf>
    <xf numFmtId="0" fontId="1" fillId="0" borderId="0" xfId="11" applyFont="1" applyAlignment="1">
      <alignment horizontal="center" vertical="center" wrapText="1"/>
    </xf>
    <xf numFmtId="177" fontId="1" fillId="0" borderId="0" xfId="11" applyNumberFormat="1" applyFont="1" applyAlignment="1">
      <alignment horizontal="center" vertical="center"/>
    </xf>
    <xf numFmtId="178" fontId="1" fillId="0" borderId="1" xfId="11" applyNumberFormat="1" applyFont="1" applyBorder="1" applyAlignment="1">
      <alignment horizontal="center" vertical="center" wrapText="1"/>
    </xf>
    <xf numFmtId="49" fontId="2" fillId="0" borderId="0" xfId="11" applyNumberFormat="1" applyFont="1"/>
    <xf numFmtId="49" fontId="1" fillId="0" borderId="0" xfId="11" applyNumberFormat="1" applyFont="1" applyAlignment="1">
      <alignment horizontal="center"/>
    </xf>
    <xf numFmtId="49" fontId="1" fillId="0" borderId="0" xfId="11" applyNumberFormat="1" applyFont="1"/>
    <xf numFmtId="177" fontId="1" fillId="0" borderId="0" xfId="11" applyNumberFormat="1" applyFont="1" applyAlignment="1">
      <alignment horizontal="center"/>
    </xf>
    <xf numFmtId="178" fontId="1" fillId="0" borderId="0" xfId="11" applyNumberFormat="1" applyFont="1" applyAlignment="1">
      <alignment horizontal="center"/>
    </xf>
    <xf numFmtId="0" fontId="3" fillId="0" borderId="0" xfId="0" applyFont="1">
      <alignment vertical="center"/>
    </xf>
    <xf numFmtId="179" fontId="1" fillId="2" borderId="1" xfId="0" applyNumberFormat="1" applyFont="1" applyFill="1" applyBorder="1" applyAlignment="1">
      <alignment horizontal="center" vertical="center" wrapText="1"/>
    </xf>
    <xf numFmtId="20" fontId="2" fillId="2" borderId="0" xfId="0" applyNumberFormat="1" applyFont="1" applyFill="1" applyAlignment="1">
      <alignment horizontal="center" vertical="center" wrapText="1"/>
    </xf>
    <xf numFmtId="180" fontId="1" fillId="0" borderId="0" xfId="11" applyNumberFormat="1" applyFont="1" applyAlignment="1">
      <alignment horizontal="center" vertical="center" wrapText="1"/>
    </xf>
    <xf numFmtId="180" fontId="2" fillId="0" borderId="0" xfId="11" applyNumberFormat="1" applyFont="1" applyAlignment="1">
      <alignment horizontal="center" vertical="center" wrapText="1"/>
    </xf>
    <xf numFmtId="178" fontId="1" fillId="3" borderId="0" xfId="11" applyNumberFormat="1" applyFont="1" applyFill="1" applyAlignment="1">
      <alignment horizontal="center"/>
    </xf>
    <xf numFmtId="180" fontId="1" fillId="0" borderId="0" xfId="11" applyNumberFormat="1" applyFont="1" applyAlignment="1">
      <alignment horizontal="center"/>
    </xf>
    <xf numFmtId="178" fontId="0" fillId="0" borderId="0" xfId="0" applyNumberFormat="1">
      <alignment vertical="center"/>
    </xf>
    <xf numFmtId="178" fontId="1" fillId="4" borderId="0" xfId="11" applyNumberFormat="1" applyFont="1" applyFill="1" applyAlignment="1">
      <alignment horizontal="center"/>
    </xf>
    <xf numFmtId="180" fontId="1" fillId="5" borderId="0" xfId="11" applyNumberFormat="1" applyFont="1" applyFill="1" applyAlignment="1">
      <alignment horizontal="center" vertical="center" wrapText="1"/>
    </xf>
    <xf numFmtId="180" fontId="2" fillId="5" borderId="0" xfId="11" applyNumberFormat="1" applyFont="1" applyFill="1" applyAlignment="1">
      <alignment horizontal="center" vertical="center" wrapText="1"/>
    </xf>
    <xf numFmtId="176" fontId="1" fillId="0" borderId="0" xfId="11" applyNumberFormat="1" applyFont="1" applyAlignment="1">
      <alignment horizontal="center" vertical="center" wrapText="1"/>
    </xf>
    <xf numFmtId="0" fontId="1" fillId="0" borderId="0" xfId="11" applyFont="1" applyAlignment="1">
      <alignment horizontal="center" vertical="center"/>
    </xf>
    <xf numFmtId="0" fontId="2" fillId="0" borderId="0" xfId="11" applyFont="1" applyAlignment="1">
      <alignment horizontal="center" vertical="center" wrapText="1"/>
    </xf>
    <xf numFmtId="181" fontId="1" fillId="5" borderId="0" xfId="1" applyNumberFormat="1" applyFont="1" applyFill="1" applyAlignment="1"/>
    <xf numFmtId="176" fontId="1" fillId="0" borderId="0" xfId="11" applyNumberFormat="1" applyFont="1"/>
    <xf numFmtId="181" fontId="1" fillId="4" borderId="0" xfId="1" applyNumberFormat="1" applyFont="1" applyFill="1" applyAlignment="1"/>
    <xf numFmtId="0" fontId="4" fillId="0" borderId="0" xfId="0" applyFont="1" applyAlignment="1">
      <alignment vertical="center" wrapText="1"/>
    </xf>
    <xf numFmtId="0" fontId="0" fillId="0" borderId="0" xfId="0" applyAlignment="1"/>
    <xf numFmtId="0" fontId="0" fillId="0" borderId="0" xfId="0" applyAlignment="1">
      <alignment horizontal="center"/>
    </xf>
    <xf numFmtId="178" fontId="0" fillId="0" borderId="0" xfId="0" applyNumberFormat="1" applyAlignment="1"/>
    <xf numFmtId="49" fontId="0" fillId="0" borderId="0" xfId="0" applyNumberFormat="1" applyAlignment="1"/>
    <xf numFmtId="49" fontId="0" fillId="0" borderId="0" xfId="0" applyNumberFormat="1" applyAlignment="1">
      <alignment horizontal="justify" vertical="top" wrapText="1"/>
    </xf>
    <xf numFmtId="0" fontId="0" fillId="0" borderId="0" xfId="0" applyAlignment="1">
      <alignment horizontal="center" vertical="top" wrapText="1"/>
    </xf>
    <xf numFmtId="49" fontId="2" fillId="0" borderId="5" xfId="0" applyNumberFormat="1" applyFont="1" applyBorder="1" applyAlignment="1">
      <alignment horizontal="left" vertical="top" wrapText="1"/>
    </xf>
    <xf numFmtId="49" fontId="2" fillId="0" borderId="4" xfId="0" applyNumberFormat="1" applyFont="1" applyBorder="1" applyAlignment="1">
      <alignment horizontal="center" vertical="top" wrapText="1"/>
    </xf>
    <xf numFmtId="49" fontId="2" fillId="0" borderId="8" xfId="0" applyNumberFormat="1" applyFont="1" applyBorder="1" applyAlignment="1">
      <alignment horizontal="justify" vertical="top" wrapText="1"/>
    </xf>
    <xf numFmtId="0" fontId="2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justify" vertical="top" wrapText="1"/>
    </xf>
    <xf numFmtId="49" fontId="2" fillId="0" borderId="8" xfId="0" applyNumberFormat="1" applyFont="1" applyBorder="1" applyAlignment="1">
      <alignment horizontal="center" vertical="top" wrapText="1"/>
    </xf>
    <xf numFmtId="20" fontId="5" fillId="0" borderId="1" xfId="0" applyNumberFormat="1" applyFont="1" applyBorder="1" applyAlignment="1">
      <alignment horizontal="center" vertical="top" wrapText="1"/>
    </xf>
    <xf numFmtId="20" fontId="6" fillId="0" borderId="1" xfId="0" applyNumberFormat="1" applyFont="1" applyBorder="1" applyAlignment="1">
      <alignment horizontal="center" vertical="top" wrapText="1"/>
    </xf>
    <xf numFmtId="49" fontId="6" fillId="0" borderId="8" xfId="0" applyNumberFormat="1" applyFont="1" applyBorder="1" applyAlignment="1">
      <alignment horizontal="center" vertical="top" wrapText="1"/>
    </xf>
    <xf numFmtId="20" fontId="0" fillId="0" borderId="0" xfId="0" applyNumberFormat="1" applyAlignment="1">
      <alignment horizontal="justify" vertical="top" wrapText="1"/>
    </xf>
    <xf numFmtId="0" fontId="0" fillId="0" borderId="0" xfId="0" applyAlignment="1">
      <alignment horizontal="justify" vertical="top" wrapText="1"/>
    </xf>
    <xf numFmtId="49" fontId="2" fillId="0" borderId="1" xfId="0" applyNumberFormat="1" applyFont="1" applyBorder="1" applyAlignment="1">
      <alignment horizontal="center" vertical="top" wrapText="1"/>
    </xf>
    <xf numFmtId="49" fontId="6" fillId="0" borderId="1" xfId="0" applyNumberFormat="1" applyFont="1" applyBorder="1" applyAlignment="1">
      <alignment horizontal="center" vertical="top" wrapText="1"/>
    </xf>
    <xf numFmtId="49" fontId="2" fillId="0" borderId="10" xfId="0" applyNumberFormat="1" applyFont="1" applyBorder="1" applyAlignment="1">
      <alignment horizontal="center" vertical="top" wrapText="1"/>
    </xf>
    <xf numFmtId="20" fontId="6" fillId="0" borderId="11" xfId="0" applyNumberFormat="1" applyFont="1" applyBorder="1" applyAlignment="1">
      <alignment horizontal="center" vertical="top" wrapText="1"/>
    </xf>
    <xf numFmtId="20" fontId="7" fillId="0" borderId="5" xfId="0" applyNumberFormat="1" applyFont="1" applyBorder="1" applyAlignment="1"/>
    <xf numFmtId="0" fontId="2" fillId="0" borderId="11" xfId="0" applyFont="1" applyBorder="1" applyAlignment="1">
      <alignment horizontal="center" vertical="top" wrapText="1"/>
    </xf>
    <xf numFmtId="0" fontId="0" fillId="0" borderId="5" xfId="0" applyBorder="1" applyAlignment="1"/>
    <xf numFmtId="0" fontId="6" fillId="0" borderId="1" xfId="0" applyFont="1" applyBorder="1" applyAlignment="1">
      <alignment horizontal="center" vertical="top" wrapText="1"/>
    </xf>
    <xf numFmtId="49" fontId="2" fillId="0" borderId="0" xfId="0" applyNumberFormat="1" applyFont="1" applyAlignment="1">
      <alignment horizontal="justify" vertical="top" wrapText="1"/>
    </xf>
    <xf numFmtId="0" fontId="2" fillId="0" borderId="0" xfId="0" applyFont="1" applyAlignment="1">
      <alignment horizontal="center"/>
    </xf>
    <xf numFmtId="20" fontId="2" fillId="0" borderId="0" xfId="0" applyNumberFormat="1" applyFont="1" applyAlignment="1">
      <alignment horizontal="justify" vertical="top" wrapText="1"/>
    </xf>
    <xf numFmtId="0" fontId="2" fillId="0" borderId="0" xfId="0" applyFont="1" applyAlignment="1">
      <alignment horizontal="justify" vertical="top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/>
    <xf numFmtId="49" fontId="8" fillId="0" borderId="8" xfId="0" applyNumberFormat="1" applyFont="1" applyBorder="1" applyAlignment="1">
      <alignment horizontal="center" vertical="top" wrapText="1"/>
    </xf>
    <xf numFmtId="14" fontId="0" fillId="0" borderId="0" xfId="0" applyNumberFormat="1" applyAlignment="1"/>
    <xf numFmtId="21" fontId="0" fillId="0" borderId="0" xfId="0" applyNumberFormat="1" applyAlignment="1"/>
    <xf numFmtId="0" fontId="0" fillId="0" borderId="0" xfId="0" applyAlignment="1">
      <alignment horizontal="left"/>
    </xf>
    <xf numFmtId="0" fontId="9" fillId="0" borderId="0" xfId="11"/>
    <xf numFmtId="0" fontId="10" fillId="0" borderId="0" xfId="13">
      <alignment vertical="center"/>
    </xf>
    <xf numFmtId="0" fontId="2" fillId="0" borderId="0" xfId="11" applyFont="1" applyAlignment="1">
      <alignment vertical="center"/>
    </xf>
    <xf numFmtId="0" fontId="2" fillId="0" borderId="0" xfId="11" applyFont="1"/>
    <xf numFmtId="0" fontId="2" fillId="6" borderId="0" xfId="11" applyFont="1" applyFill="1"/>
    <xf numFmtId="182" fontId="2" fillId="0" borderId="0" xfId="11" applyNumberFormat="1" applyFont="1" applyAlignment="1">
      <alignment horizontal="center" vertical="center"/>
    </xf>
    <xf numFmtId="0" fontId="2" fillId="6" borderId="0" xfId="11" applyFont="1" applyFill="1" applyAlignment="1">
      <alignment horizontal="center" vertical="center"/>
    </xf>
    <xf numFmtId="182" fontId="2" fillId="0" borderId="0" xfId="11" applyNumberFormat="1" applyFont="1" applyAlignment="1">
      <alignment vertical="center"/>
    </xf>
    <xf numFmtId="183" fontId="1" fillId="5" borderId="0" xfId="11" applyNumberFormat="1" applyFont="1" applyFill="1"/>
    <xf numFmtId="0" fontId="11" fillId="5" borderId="0" xfId="11" applyFont="1" applyFill="1" applyAlignment="1">
      <alignment horizontal="center" vertical="center" wrapText="1"/>
    </xf>
    <xf numFmtId="0" fontId="11" fillId="5" borderId="0" xfId="11" applyFont="1" applyFill="1" applyAlignment="1">
      <alignment horizontal="center" vertical="center"/>
    </xf>
    <xf numFmtId="183" fontId="1" fillId="5" borderId="0" xfId="11" applyNumberFormat="1" applyFont="1" applyFill="1" applyAlignment="1">
      <alignment horizontal="center" vertical="center"/>
    </xf>
    <xf numFmtId="0" fontId="1" fillId="0" borderId="1" xfId="11" applyFont="1" applyBorder="1" applyAlignment="1">
      <alignment horizontal="center" vertical="center" wrapText="1"/>
    </xf>
    <xf numFmtId="0" fontId="1" fillId="0" borderId="0" xfId="11" applyFont="1" applyAlignment="1">
      <alignment vertical="center" wrapText="1"/>
    </xf>
    <xf numFmtId="0" fontId="9" fillId="0" borderId="0" xfId="12"/>
    <xf numFmtId="0" fontId="12" fillId="0" borderId="0" xfId="12" applyFont="1" applyAlignment="1">
      <alignment horizontal="left" vertical="top"/>
    </xf>
    <xf numFmtId="0" fontId="12" fillId="0" borderId="0" xfId="12" applyFont="1" applyAlignment="1">
      <alignment horizontal="center" vertical="center"/>
    </xf>
    <xf numFmtId="177" fontId="12" fillId="0" borderId="0" xfId="12" applyNumberFormat="1" applyFont="1" applyAlignment="1">
      <alignment horizontal="center" vertical="center"/>
    </xf>
    <xf numFmtId="0" fontId="9" fillId="0" borderId="0" xfId="12" applyAlignment="1">
      <alignment horizontal="center"/>
    </xf>
    <xf numFmtId="0" fontId="8" fillId="0" borderId="0" xfId="13" applyFont="1" applyAlignment="1"/>
    <xf numFmtId="0" fontId="8" fillId="0" borderId="0" xfId="13" applyFont="1" applyAlignment="1">
      <alignment horizontal="center"/>
    </xf>
    <xf numFmtId="49" fontId="8" fillId="0" borderId="0" xfId="13" applyNumberFormat="1" applyFont="1" applyAlignment="1"/>
    <xf numFmtId="0" fontId="10" fillId="0" borderId="0" xfId="13" applyAlignment="1"/>
    <xf numFmtId="0" fontId="8" fillId="0" borderId="0" xfId="13" applyFont="1" applyAlignment="1">
      <alignment horizontal="justify" vertical="top" wrapText="1"/>
    </xf>
    <xf numFmtId="0" fontId="8" fillId="0" borderId="0" xfId="13" applyFont="1" applyAlignment="1">
      <alignment horizontal="center" vertical="top" wrapText="1"/>
    </xf>
    <xf numFmtId="0" fontId="2" fillId="0" borderId="5" xfId="13" applyFont="1" applyBorder="1" applyAlignment="1">
      <alignment horizontal="left" vertical="top" wrapText="1"/>
    </xf>
    <xf numFmtId="0" fontId="2" fillId="0" borderId="4" xfId="13" applyFont="1" applyBorder="1" applyAlignment="1">
      <alignment horizontal="center" vertical="top" wrapText="1"/>
    </xf>
    <xf numFmtId="0" fontId="2" fillId="0" borderId="8" xfId="13" applyFont="1" applyBorder="1" applyAlignment="1">
      <alignment horizontal="justify" vertical="top" wrapText="1"/>
    </xf>
    <xf numFmtId="0" fontId="2" fillId="0" borderId="1" xfId="13" applyFont="1" applyBorder="1" applyAlignment="1">
      <alignment horizontal="center" vertical="top" wrapText="1"/>
    </xf>
    <xf numFmtId="49" fontId="2" fillId="0" borderId="1" xfId="13" applyNumberFormat="1" applyFont="1" applyBorder="1" applyAlignment="1">
      <alignment horizontal="justify" vertical="top" wrapText="1"/>
    </xf>
    <xf numFmtId="184" fontId="2" fillId="0" borderId="8" xfId="13" applyNumberFormat="1" applyFont="1" applyBorder="1" applyAlignment="1">
      <alignment horizontal="center" vertical="top" wrapText="1"/>
    </xf>
    <xf numFmtId="185" fontId="2" fillId="0" borderId="1" xfId="13" applyNumberFormat="1" applyFont="1" applyBorder="1" applyAlignment="1">
      <alignment horizontal="center" vertical="top" wrapText="1"/>
    </xf>
    <xf numFmtId="49" fontId="2" fillId="0" borderId="14" xfId="13" applyNumberFormat="1" applyFont="1" applyBorder="1" applyAlignment="1">
      <alignment horizontal="center" vertical="center"/>
    </xf>
    <xf numFmtId="49" fontId="2" fillId="0" borderId="14" xfId="13" applyNumberFormat="1" applyFont="1" applyBorder="1">
      <alignment vertical="center"/>
    </xf>
    <xf numFmtId="49" fontId="8" fillId="0" borderId="0" xfId="13" applyNumberFormat="1" applyFont="1" applyAlignment="1">
      <alignment horizontal="justify" vertical="top" wrapText="1"/>
    </xf>
    <xf numFmtId="185" fontId="2" fillId="0" borderId="8" xfId="13" applyNumberFormat="1" applyFont="1" applyBorder="1" applyAlignment="1">
      <alignment horizontal="center" vertical="top" wrapText="1"/>
    </xf>
    <xf numFmtId="0" fontId="10" fillId="0" borderId="0" xfId="13" applyAlignment="1">
      <alignment horizontal="center"/>
    </xf>
    <xf numFmtId="178" fontId="10" fillId="0" borderId="0" xfId="13" applyNumberFormat="1" applyAlignment="1"/>
    <xf numFmtId="186" fontId="1" fillId="0" borderId="0" xfId="11" applyNumberFormat="1" applyFont="1"/>
    <xf numFmtId="186" fontId="10" fillId="0" borderId="0" xfId="13" applyNumberFormat="1" applyAlignment="1"/>
    <xf numFmtId="177" fontId="2" fillId="0" borderId="0" xfId="11" applyNumberFormat="1" applyFont="1" applyAlignment="1">
      <alignment horizontal="center" vertical="center"/>
    </xf>
    <xf numFmtId="178" fontId="2" fillId="0" borderId="1" xfId="11" applyNumberFormat="1" applyFont="1" applyBorder="1" applyAlignment="1">
      <alignment horizontal="center" vertical="center" wrapText="1"/>
    </xf>
    <xf numFmtId="179" fontId="2" fillId="2" borderId="1" xfId="0" applyNumberFormat="1" applyFont="1" applyFill="1" applyBorder="1" applyAlignment="1">
      <alignment horizontal="center" vertical="center" wrapText="1"/>
    </xf>
    <xf numFmtId="176" fontId="2" fillId="0" borderId="0" xfId="11" applyNumberFormat="1" applyFont="1" applyAlignment="1">
      <alignment horizontal="center" vertical="center" wrapText="1"/>
    </xf>
    <xf numFmtId="0" fontId="2" fillId="0" borderId="0" xfId="11" applyFont="1" applyAlignment="1">
      <alignment horizontal="center" vertical="center"/>
    </xf>
    <xf numFmtId="49" fontId="2" fillId="0" borderId="15" xfId="13" applyNumberFormat="1" applyFont="1" applyBorder="1" applyAlignment="1">
      <alignment horizontal="left" vertical="center"/>
    </xf>
    <xf numFmtId="0" fontId="2" fillId="0" borderId="2" xfId="13" applyFont="1" applyBorder="1" applyAlignment="1">
      <alignment horizontal="left" vertical="top" wrapText="1"/>
    </xf>
    <xf numFmtId="0" fontId="2" fillId="0" borderId="3" xfId="13" applyFont="1" applyBorder="1" applyAlignment="1">
      <alignment horizontal="left" vertical="top" wrapText="1"/>
    </xf>
    <xf numFmtId="0" fontId="2" fillId="0" borderId="4" xfId="13" applyFont="1" applyBorder="1" applyAlignment="1">
      <alignment horizontal="left" vertical="top" wrapText="1"/>
    </xf>
    <xf numFmtId="49" fontId="2" fillId="0" borderId="2" xfId="13" applyNumberFormat="1" applyFont="1" applyBorder="1" applyAlignment="1">
      <alignment horizontal="center" vertical="top" wrapText="1"/>
    </xf>
    <xf numFmtId="49" fontId="2" fillId="0" borderId="6" xfId="13" applyNumberFormat="1" applyFont="1" applyBorder="1" applyAlignment="1">
      <alignment horizontal="center" vertical="top" wrapText="1"/>
    </xf>
    <xf numFmtId="49" fontId="2" fillId="0" borderId="7" xfId="13" applyNumberFormat="1" applyFont="1" applyBorder="1" applyAlignment="1">
      <alignment horizontal="center" vertical="top" wrapText="1"/>
    </xf>
    <xf numFmtId="49" fontId="2" fillId="0" borderId="2" xfId="13" applyNumberFormat="1" applyFont="1" applyBorder="1" applyAlignment="1">
      <alignment horizontal="left" vertical="top" wrapText="1"/>
    </xf>
    <xf numFmtId="49" fontId="2" fillId="0" borderId="3" xfId="13" applyNumberFormat="1" applyFont="1" applyBorder="1" applyAlignment="1">
      <alignment horizontal="left" vertical="top" wrapText="1"/>
    </xf>
    <xf numFmtId="49" fontId="2" fillId="0" borderId="4" xfId="13" applyNumberFormat="1" applyFont="1" applyBorder="1" applyAlignment="1">
      <alignment horizontal="left" vertical="top" wrapText="1"/>
    </xf>
    <xf numFmtId="49" fontId="2" fillId="0" borderId="12" xfId="13" applyNumberFormat="1" applyFont="1" applyBorder="1" applyAlignment="1">
      <alignment horizontal="center" vertical="top" wrapText="1"/>
    </xf>
    <xf numFmtId="49" fontId="2" fillId="0" borderId="13" xfId="13" applyNumberFormat="1" applyFont="1" applyBorder="1" applyAlignment="1">
      <alignment horizontal="center" vertical="top" wrapText="1"/>
    </xf>
    <xf numFmtId="0" fontId="9" fillId="0" borderId="0" xfId="12" applyAlignment="1">
      <alignment horizontal="left" vertical="top" wrapText="1"/>
    </xf>
    <xf numFmtId="49" fontId="2" fillId="0" borderId="2" xfId="0" applyNumberFormat="1" applyFont="1" applyBorder="1" applyAlignment="1">
      <alignment horizontal="left" vertical="top" wrapText="1"/>
    </xf>
    <xf numFmtId="49" fontId="2" fillId="0" borderId="3" xfId="0" applyNumberFormat="1" applyFont="1" applyBorder="1" applyAlignment="1">
      <alignment horizontal="left" vertical="top" wrapText="1"/>
    </xf>
    <xf numFmtId="49" fontId="2" fillId="0" borderId="4" xfId="0" applyNumberFormat="1" applyFont="1" applyBorder="1" applyAlignment="1">
      <alignment horizontal="left" vertical="top" wrapText="1"/>
    </xf>
    <xf numFmtId="49" fontId="2" fillId="0" borderId="2" xfId="0" applyNumberFormat="1" applyFont="1" applyBorder="1" applyAlignment="1">
      <alignment horizontal="center" vertical="top" wrapText="1"/>
    </xf>
    <xf numFmtId="49" fontId="2" fillId="0" borderId="6" xfId="0" applyNumberFormat="1" applyFont="1" applyBorder="1" applyAlignment="1">
      <alignment horizontal="center" vertical="top" wrapText="1"/>
    </xf>
    <xf numFmtId="0" fontId="2" fillId="0" borderId="7" xfId="0" applyFont="1" applyBorder="1" applyAlignment="1">
      <alignment horizontal="center" vertical="top" wrapText="1"/>
    </xf>
    <xf numFmtId="0" fontId="2" fillId="0" borderId="6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left" vertical="center"/>
    </xf>
  </cellXfs>
  <cellStyles count="16">
    <cellStyle name="常规" xfId="0" builtinId="0"/>
    <cellStyle name="常规 10" xfId="6" xr:uid="{00000000-0005-0000-0000-000001000000}"/>
    <cellStyle name="常规 11" xfId="7" xr:uid="{00000000-0005-0000-0000-000002000000}"/>
    <cellStyle name="常规 12" xfId="3" xr:uid="{00000000-0005-0000-0000-000003000000}"/>
    <cellStyle name="常规 13" xfId="8" xr:uid="{00000000-0005-0000-0000-000004000000}"/>
    <cellStyle name="常规 14" xfId="9" xr:uid="{00000000-0005-0000-0000-000005000000}"/>
    <cellStyle name="常规 15" xfId="10" xr:uid="{00000000-0005-0000-0000-000006000000}"/>
    <cellStyle name="常规 2" xfId="11" xr:uid="{00000000-0005-0000-0000-000007000000}"/>
    <cellStyle name="常规 3" xfId="12" xr:uid="{00000000-0005-0000-0000-000008000000}"/>
    <cellStyle name="常规 4" xfId="13" xr:uid="{00000000-0005-0000-0000-000009000000}"/>
    <cellStyle name="常规 5" xfId="14" xr:uid="{00000000-0005-0000-0000-00000A000000}"/>
    <cellStyle name="常规 6" xfId="2" xr:uid="{00000000-0005-0000-0000-00000B000000}"/>
    <cellStyle name="常规 7" xfId="15" xr:uid="{00000000-0005-0000-0000-00000C000000}"/>
    <cellStyle name="常规 8" xfId="4" xr:uid="{00000000-0005-0000-0000-00000D000000}"/>
    <cellStyle name="常规 9" xfId="5" xr:uid="{00000000-0005-0000-0000-00000E000000}"/>
    <cellStyle name="千位分隔" xfId="1" builtinId="3"/>
  </cellStyles>
  <dxfs count="12"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  <dxf>
      <fill>
        <patternFill patternType="solid">
          <bgColor theme="0" tint="-0.149906918546098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209550</xdr:rowOff>
        </xdr:from>
        <xdr:to>
          <xdr:col>0</xdr:col>
          <xdr:colOff>1438275</xdr:colOff>
          <xdr:row>2</xdr:row>
          <xdr:rowOff>933450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生成清单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2</xdr:row>
          <xdr:rowOff>200025</xdr:rowOff>
        </xdr:from>
        <xdr:to>
          <xdr:col>1</xdr:col>
          <xdr:colOff>1352550</xdr:colOff>
          <xdr:row>2</xdr:row>
          <xdr:rowOff>923925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取工号部门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2</xdr:row>
          <xdr:rowOff>190500</xdr:rowOff>
        </xdr:from>
        <xdr:to>
          <xdr:col>2</xdr:col>
          <xdr:colOff>1247775</xdr:colOff>
          <xdr:row>2</xdr:row>
          <xdr:rowOff>914400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汇总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</xdr:row>
          <xdr:rowOff>190500</xdr:rowOff>
        </xdr:from>
        <xdr:to>
          <xdr:col>3</xdr:col>
          <xdr:colOff>1247775</xdr:colOff>
          <xdr:row>2</xdr:row>
          <xdr:rowOff>914400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清空清单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104775</xdr:colOff>
          <xdr:row>0</xdr:row>
          <xdr:rowOff>0</xdr:rowOff>
        </xdr:from>
        <xdr:to>
          <xdr:col>26</xdr:col>
          <xdr:colOff>1066800</xdr:colOff>
          <xdr:row>0</xdr:row>
          <xdr:rowOff>504825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返回汇总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95250</xdr:colOff>
          <xdr:row>0</xdr:row>
          <xdr:rowOff>0</xdr:rowOff>
        </xdr:from>
        <xdr:to>
          <xdr:col>39</xdr:col>
          <xdr:colOff>1019175</xdr:colOff>
          <xdr:row>0</xdr:row>
          <xdr:rowOff>523875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查考勤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85725</xdr:colOff>
          <xdr:row>0</xdr:row>
          <xdr:rowOff>0</xdr:rowOff>
        </xdr:from>
        <xdr:to>
          <xdr:col>39</xdr:col>
          <xdr:colOff>1009650</xdr:colOff>
          <xdr:row>0</xdr:row>
          <xdr:rowOff>533400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查考勤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95250</xdr:colOff>
          <xdr:row>0</xdr:row>
          <xdr:rowOff>0</xdr:rowOff>
        </xdr:from>
        <xdr:to>
          <xdr:col>39</xdr:col>
          <xdr:colOff>1009650</xdr:colOff>
          <xdr:row>0</xdr:row>
          <xdr:rowOff>533400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查考勤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HGP\Attendance\&#37995;&#29141;&#38534;&#32771;&#21220;&#35760;&#24405;&#27719;&#24635;&#34920;_V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uangguoping\Documents\My%20RTX%20Files\&#40644;&#22269;&#24179;\&#37995;&#29141;&#38534;&#32771;&#21220;&#35760;&#24405;&#27719;&#24635;&#34920;_V4%20&#26032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考勤卡"/>
      <sheetName val="程序"/>
      <sheetName val="考勤清单"/>
      <sheetName val="考勤汇总"/>
      <sheetName val="人员汇总"/>
      <sheetName val="人员汇总_正班"/>
      <sheetName val="人员汇总_加班"/>
      <sheetName val="职员"/>
      <sheetName val="项目"/>
      <sheetName val="临港模式"/>
      <sheetName val="公司模式"/>
      <sheetName val="现场考勤卡模式"/>
      <sheetName val="夜班工时标准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cPsn_Num</v>
          </cell>
          <cell r="B1" t="str">
            <v>cPsn_Name</v>
          </cell>
          <cell r="C1" t="str">
            <v>cDepName</v>
          </cell>
        </row>
        <row r="2">
          <cell r="A2" t="str">
            <v>0001</v>
          </cell>
          <cell r="B2" t="str">
            <v>张会智</v>
          </cell>
          <cell r="C2" t="str">
            <v>测量室</v>
          </cell>
        </row>
        <row r="3">
          <cell r="A3" t="str">
            <v>0002</v>
          </cell>
          <cell r="B3" t="str">
            <v>孙世洋</v>
          </cell>
          <cell r="C3" t="str">
            <v>机加车间</v>
          </cell>
        </row>
        <row r="4">
          <cell r="A4" t="str">
            <v>0003</v>
          </cell>
          <cell r="B4" t="str">
            <v>陈明亮</v>
          </cell>
          <cell r="C4" t="str">
            <v>机加车间</v>
          </cell>
        </row>
        <row r="5">
          <cell r="A5" t="str">
            <v>0004</v>
          </cell>
          <cell r="B5" t="str">
            <v>陈明建</v>
          </cell>
          <cell r="C5" t="str">
            <v>机加车间</v>
          </cell>
        </row>
        <row r="6">
          <cell r="A6" t="str">
            <v>0005</v>
          </cell>
          <cell r="B6" t="str">
            <v>于伟中</v>
          </cell>
          <cell r="C6" t="str">
            <v>铆焊车间</v>
          </cell>
        </row>
        <row r="7">
          <cell r="A7" t="str">
            <v>0006</v>
          </cell>
          <cell r="B7" t="str">
            <v>陈刚</v>
          </cell>
          <cell r="C7" t="str">
            <v>机加车间</v>
          </cell>
        </row>
        <row r="8">
          <cell r="A8" t="str">
            <v>0007</v>
          </cell>
          <cell r="B8" t="str">
            <v>杜国强</v>
          </cell>
          <cell r="C8" t="str">
            <v>机加车间</v>
          </cell>
        </row>
        <row r="9">
          <cell r="A9" t="str">
            <v>0008</v>
          </cell>
          <cell r="B9" t="str">
            <v>杜双红</v>
          </cell>
          <cell r="C9" t="str">
            <v>机加车间</v>
          </cell>
        </row>
        <row r="10">
          <cell r="A10" t="str">
            <v>0009</v>
          </cell>
          <cell r="B10" t="str">
            <v>杜双圉</v>
          </cell>
          <cell r="C10" t="str">
            <v>机加车间</v>
          </cell>
        </row>
        <row r="11">
          <cell r="A11" t="str">
            <v>0010</v>
          </cell>
          <cell r="B11" t="str">
            <v>陈明宝</v>
          </cell>
          <cell r="C11" t="str">
            <v>机加车间</v>
          </cell>
        </row>
        <row r="12">
          <cell r="A12" t="str">
            <v>0011</v>
          </cell>
          <cell r="B12" t="str">
            <v>董格格</v>
          </cell>
          <cell r="C12" t="str">
            <v>机加车间</v>
          </cell>
        </row>
        <row r="13">
          <cell r="A13" t="str">
            <v>0012</v>
          </cell>
          <cell r="B13" t="str">
            <v>李明</v>
          </cell>
          <cell r="C13" t="str">
            <v>机加车间</v>
          </cell>
        </row>
        <row r="14">
          <cell r="A14" t="str">
            <v>0013</v>
          </cell>
          <cell r="B14" t="str">
            <v>陈有富</v>
          </cell>
          <cell r="C14" t="str">
            <v>机加车间</v>
          </cell>
        </row>
        <row r="15">
          <cell r="A15" t="str">
            <v>0014</v>
          </cell>
          <cell r="B15" t="str">
            <v>陈国峰</v>
          </cell>
          <cell r="C15" t="str">
            <v>装配车间</v>
          </cell>
        </row>
        <row r="16">
          <cell r="A16" t="str">
            <v>0015</v>
          </cell>
          <cell r="B16" t="str">
            <v>文俊</v>
          </cell>
          <cell r="C16" t="str">
            <v>电气自动化部</v>
          </cell>
        </row>
        <row r="17">
          <cell r="A17" t="str">
            <v>0016</v>
          </cell>
          <cell r="B17" t="str">
            <v>张晓旭</v>
          </cell>
          <cell r="C17" t="str">
            <v>机加车间</v>
          </cell>
        </row>
        <row r="18">
          <cell r="A18" t="str">
            <v>0017</v>
          </cell>
          <cell r="B18" t="str">
            <v>姚佳露</v>
          </cell>
          <cell r="C18" t="str">
            <v>机加车间</v>
          </cell>
        </row>
        <row r="19">
          <cell r="A19" t="str">
            <v>0018</v>
          </cell>
          <cell r="B19" t="str">
            <v>卢宇</v>
          </cell>
          <cell r="C19" t="str">
            <v>机加车间</v>
          </cell>
        </row>
        <row r="20">
          <cell r="A20" t="str">
            <v>0019</v>
          </cell>
          <cell r="B20" t="str">
            <v>姜艳泽</v>
          </cell>
          <cell r="C20" t="str">
            <v>机加车间</v>
          </cell>
        </row>
        <row r="21">
          <cell r="A21" t="str">
            <v>0020</v>
          </cell>
          <cell r="B21" t="str">
            <v>杨伟</v>
          </cell>
          <cell r="C21" t="str">
            <v>机加车间</v>
          </cell>
        </row>
        <row r="22">
          <cell r="A22" t="str">
            <v>0021</v>
          </cell>
          <cell r="B22" t="str">
            <v>牛晶晶</v>
          </cell>
          <cell r="C22" t="str">
            <v>机加车间</v>
          </cell>
        </row>
        <row r="23">
          <cell r="A23" t="str">
            <v>0022</v>
          </cell>
          <cell r="B23" t="str">
            <v>于雷</v>
          </cell>
          <cell r="C23" t="str">
            <v>机加车间</v>
          </cell>
        </row>
        <row r="24">
          <cell r="A24" t="str">
            <v>0023</v>
          </cell>
          <cell r="B24" t="str">
            <v>冷志尚</v>
          </cell>
          <cell r="C24" t="str">
            <v>机加车间</v>
          </cell>
        </row>
        <row r="25">
          <cell r="A25" t="str">
            <v>0024</v>
          </cell>
          <cell r="B25" t="str">
            <v>于洋</v>
          </cell>
          <cell r="C25" t="str">
            <v>机加车间</v>
          </cell>
        </row>
        <row r="26">
          <cell r="A26" t="str">
            <v>0025</v>
          </cell>
          <cell r="B26" t="str">
            <v>黎正昌</v>
          </cell>
          <cell r="C26" t="str">
            <v>机加车间</v>
          </cell>
        </row>
        <row r="27">
          <cell r="A27" t="str">
            <v>0026</v>
          </cell>
          <cell r="B27" t="str">
            <v>刘国华</v>
          </cell>
          <cell r="C27" t="str">
            <v>机加车间</v>
          </cell>
        </row>
        <row r="28">
          <cell r="A28" t="str">
            <v>0027</v>
          </cell>
          <cell r="B28" t="str">
            <v>葛久勇</v>
          </cell>
          <cell r="C28" t="str">
            <v>机加车间</v>
          </cell>
        </row>
        <row r="29">
          <cell r="A29" t="str">
            <v>0028</v>
          </cell>
          <cell r="B29" t="str">
            <v>潘仕发</v>
          </cell>
          <cell r="C29" t="str">
            <v>机加车间</v>
          </cell>
        </row>
        <row r="30">
          <cell r="A30" t="str">
            <v>0029</v>
          </cell>
          <cell r="B30" t="str">
            <v>杜秦林</v>
          </cell>
          <cell r="C30" t="str">
            <v>机加车间</v>
          </cell>
        </row>
        <row r="31">
          <cell r="A31" t="str">
            <v>0030</v>
          </cell>
          <cell r="B31" t="str">
            <v>刘琪琛</v>
          </cell>
          <cell r="C31" t="str">
            <v>机加车间</v>
          </cell>
        </row>
        <row r="32">
          <cell r="A32" t="str">
            <v>0031</v>
          </cell>
          <cell r="B32" t="str">
            <v>张强</v>
          </cell>
          <cell r="C32" t="str">
            <v>机加车间</v>
          </cell>
        </row>
        <row r="33">
          <cell r="A33" t="str">
            <v>0032</v>
          </cell>
          <cell r="B33" t="str">
            <v>张晓卫</v>
          </cell>
          <cell r="C33" t="str">
            <v>测量室</v>
          </cell>
        </row>
        <row r="34">
          <cell r="A34" t="str">
            <v>0033</v>
          </cell>
          <cell r="B34" t="str">
            <v>刘立勇</v>
          </cell>
          <cell r="C34" t="str">
            <v>机加车间</v>
          </cell>
        </row>
        <row r="35">
          <cell r="A35" t="str">
            <v>0034</v>
          </cell>
          <cell r="B35" t="str">
            <v>陈喜峰</v>
          </cell>
          <cell r="C35" t="str">
            <v>机加车间</v>
          </cell>
        </row>
        <row r="36">
          <cell r="A36" t="str">
            <v>0035</v>
          </cell>
          <cell r="B36" t="str">
            <v>李雄_离职</v>
          </cell>
          <cell r="C36" t="str">
            <v>机加车间</v>
          </cell>
        </row>
        <row r="37">
          <cell r="A37" t="str">
            <v>0036</v>
          </cell>
          <cell r="B37" t="str">
            <v>王开金</v>
          </cell>
          <cell r="C37" t="str">
            <v>机加车间</v>
          </cell>
        </row>
        <row r="38">
          <cell r="A38" t="str">
            <v>0037</v>
          </cell>
          <cell r="B38" t="str">
            <v>刘志博</v>
          </cell>
          <cell r="C38" t="str">
            <v>机加车间</v>
          </cell>
        </row>
        <row r="39">
          <cell r="A39" t="str">
            <v>0038</v>
          </cell>
          <cell r="B39" t="str">
            <v>董虎</v>
          </cell>
          <cell r="C39" t="str">
            <v>机加车间</v>
          </cell>
        </row>
        <row r="40">
          <cell r="A40" t="str">
            <v>0039</v>
          </cell>
          <cell r="B40" t="str">
            <v>刘照炜</v>
          </cell>
          <cell r="C40" t="str">
            <v>机加车间</v>
          </cell>
        </row>
        <row r="41">
          <cell r="A41" t="str">
            <v>0040</v>
          </cell>
          <cell r="B41" t="str">
            <v>张自文</v>
          </cell>
          <cell r="C41" t="str">
            <v>机加车间</v>
          </cell>
        </row>
        <row r="42">
          <cell r="A42" t="str">
            <v>0041</v>
          </cell>
          <cell r="B42" t="str">
            <v>王波</v>
          </cell>
          <cell r="C42" t="str">
            <v>装配车间</v>
          </cell>
        </row>
        <row r="43">
          <cell r="A43" t="str">
            <v>0042</v>
          </cell>
          <cell r="B43" t="str">
            <v>王亚飞</v>
          </cell>
          <cell r="C43" t="str">
            <v>装配车间</v>
          </cell>
        </row>
        <row r="44">
          <cell r="A44" t="str">
            <v>0043</v>
          </cell>
          <cell r="B44" t="str">
            <v>陈明双</v>
          </cell>
          <cell r="C44" t="str">
            <v>测量室</v>
          </cell>
        </row>
        <row r="45">
          <cell r="A45" t="str">
            <v>0044</v>
          </cell>
          <cell r="B45" t="str">
            <v>魏强</v>
          </cell>
          <cell r="C45" t="str">
            <v>装配车间</v>
          </cell>
        </row>
        <row r="46">
          <cell r="A46" t="str">
            <v>0045</v>
          </cell>
          <cell r="B46" t="str">
            <v>梁亮亮</v>
          </cell>
          <cell r="C46" t="str">
            <v>装配车间</v>
          </cell>
        </row>
        <row r="47">
          <cell r="A47" t="str">
            <v>0046</v>
          </cell>
          <cell r="B47" t="str">
            <v>唐兵强</v>
          </cell>
          <cell r="C47" t="str">
            <v>装配车间</v>
          </cell>
        </row>
        <row r="48">
          <cell r="A48" t="str">
            <v>0047</v>
          </cell>
          <cell r="B48" t="str">
            <v>张国瑞</v>
          </cell>
          <cell r="C48" t="str">
            <v>装配车间</v>
          </cell>
        </row>
        <row r="49">
          <cell r="A49" t="str">
            <v>0048</v>
          </cell>
          <cell r="B49" t="str">
            <v>陈明权</v>
          </cell>
          <cell r="C49" t="str">
            <v>装配车间</v>
          </cell>
        </row>
        <row r="50">
          <cell r="A50" t="str">
            <v>0049</v>
          </cell>
          <cell r="B50" t="str">
            <v>杨小伟</v>
          </cell>
          <cell r="C50" t="str">
            <v>装配车间</v>
          </cell>
        </row>
        <row r="51">
          <cell r="A51" t="str">
            <v>0050</v>
          </cell>
          <cell r="B51" t="str">
            <v>尤长伟</v>
          </cell>
          <cell r="C51" t="str">
            <v>装配车间</v>
          </cell>
        </row>
        <row r="52">
          <cell r="A52" t="str">
            <v>0051</v>
          </cell>
          <cell r="B52" t="str">
            <v>宋爱</v>
          </cell>
          <cell r="C52" t="str">
            <v>6S管理部</v>
          </cell>
        </row>
        <row r="53">
          <cell r="A53" t="str">
            <v>0052</v>
          </cell>
          <cell r="B53" t="str">
            <v>张志航</v>
          </cell>
          <cell r="C53" t="str">
            <v>装配车间</v>
          </cell>
        </row>
        <row r="54">
          <cell r="A54" t="str">
            <v>0053</v>
          </cell>
          <cell r="B54" t="str">
            <v>张文锋</v>
          </cell>
          <cell r="C54" t="str">
            <v>装配车间</v>
          </cell>
        </row>
        <row r="55">
          <cell r="A55" t="str">
            <v>0054</v>
          </cell>
          <cell r="B55" t="str">
            <v>陈亭利</v>
          </cell>
          <cell r="C55" t="str">
            <v>装配车间</v>
          </cell>
        </row>
        <row r="56">
          <cell r="A56" t="str">
            <v>0055</v>
          </cell>
          <cell r="B56" t="str">
            <v>常宏茹</v>
          </cell>
          <cell r="C56" t="str">
            <v>装配车间</v>
          </cell>
        </row>
        <row r="57">
          <cell r="A57" t="str">
            <v>0056</v>
          </cell>
          <cell r="B57" t="str">
            <v>朱学林</v>
          </cell>
          <cell r="C57" t="str">
            <v>装配车间</v>
          </cell>
        </row>
        <row r="58">
          <cell r="A58" t="str">
            <v>0057</v>
          </cell>
          <cell r="B58" t="str">
            <v>杜韦</v>
          </cell>
          <cell r="C58" t="str">
            <v>装配车间</v>
          </cell>
        </row>
        <row r="59">
          <cell r="A59" t="str">
            <v>0058</v>
          </cell>
          <cell r="B59" t="str">
            <v>梁坚强</v>
          </cell>
          <cell r="C59" t="str">
            <v>装配车间</v>
          </cell>
        </row>
        <row r="60">
          <cell r="A60" t="str">
            <v>0059</v>
          </cell>
          <cell r="B60" t="str">
            <v>朱建龙</v>
          </cell>
          <cell r="C60" t="str">
            <v>工程安装部</v>
          </cell>
        </row>
        <row r="61">
          <cell r="A61" t="str">
            <v>0060</v>
          </cell>
          <cell r="B61" t="str">
            <v>戴建元</v>
          </cell>
          <cell r="C61" t="str">
            <v>工程安装部</v>
          </cell>
        </row>
        <row r="62">
          <cell r="A62" t="str">
            <v>0061</v>
          </cell>
          <cell r="B62" t="str">
            <v>张有锋</v>
          </cell>
          <cell r="C62" t="str">
            <v>装配车间</v>
          </cell>
        </row>
        <row r="63">
          <cell r="A63" t="str">
            <v>0062</v>
          </cell>
          <cell r="B63" t="str">
            <v>张家乐</v>
          </cell>
          <cell r="C63" t="str">
            <v>装配车间</v>
          </cell>
        </row>
        <row r="64">
          <cell r="A64" t="str">
            <v>0063</v>
          </cell>
          <cell r="B64" t="str">
            <v>毕经乾</v>
          </cell>
          <cell r="C64" t="str">
            <v>装配车间</v>
          </cell>
        </row>
        <row r="65">
          <cell r="A65" t="str">
            <v>0064</v>
          </cell>
          <cell r="B65" t="str">
            <v>吴先乾</v>
          </cell>
          <cell r="C65" t="str">
            <v>6S管理部</v>
          </cell>
        </row>
        <row r="66">
          <cell r="A66" t="str">
            <v>0065</v>
          </cell>
          <cell r="B66" t="str">
            <v>蔡亚南</v>
          </cell>
          <cell r="C66" t="str">
            <v>装配车间</v>
          </cell>
        </row>
        <row r="67">
          <cell r="A67" t="str">
            <v>0066</v>
          </cell>
          <cell r="B67" t="str">
            <v>孙帮超</v>
          </cell>
          <cell r="C67" t="str">
            <v>装配车间</v>
          </cell>
        </row>
        <row r="68">
          <cell r="A68" t="str">
            <v>0067</v>
          </cell>
          <cell r="B68" t="str">
            <v>郭显万</v>
          </cell>
          <cell r="C68" t="str">
            <v>装配车间</v>
          </cell>
        </row>
        <row r="69">
          <cell r="A69" t="str">
            <v>0068</v>
          </cell>
          <cell r="B69" t="str">
            <v>刘林通</v>
          </cell>
          <cell r="C69" t="str">
            <v>装配车间</v>
          </cell>
        </row>
        <row r="70">
          <cell r="A70" t="str">
            <v>0069</v>
          </cell>
          <cell r="B70" t="str">
            <v>游文杰</v>
          </cell>
          <cell r="C70" t="str">
            <v>装配车间</v>
          </cell>
        </row>
        <row r="71">
          <cell r="A71" t="str">
            <v>0070</v>
          </cell>
          <cell r="B71" t="str">
            <v>邹平</v>
          </cell>
          <cell r="C71" t="str">
            <v>装配车间</v>
          </cell>
        </row>
        <row r="72">
          <cell r="A72" t="str">
            <v>0071</v>
          </cell>
          <cell r="B72" t="str">
            <v>黄仕芳</v>
          </cell>
          <cell r="C72" t="str">
            <v>装配车间</v>
          </cell>
        </row>
        <row r="73">
          <cell r="A73" t="str">
            <v>0072</v>
          </cell>
          <cell r="B73" t="str">
            <v>殷中伟</v>
          </cell>
          <cell r="C73" t="str">
            <v>生产保障部</v>
          </cell>
        </row>
        <row r="74">
          <cell r="A74" t="str">
            <v>0073</v>
          </cell>
          <cell r="B74" t="str">
            <v>韩卫星</v>
          </cell>
          <cell r="C74" t="str">
            <v>生产保障部</v>
          </cell>
        </row>
        <row r="75">
          <cell r="A75" t="str">
            <v>0074</v>
          </cell>
          <cell r="B75" t="str">
            <v>于长辉</v>
          </cell>
          <cell r="C75" t="str">
            <v>生产保障部</v>
          </cell>
        </row>
        <row r="76">
          <cell r="A76" t="str">
            <v>0075</v>
          </cell>
          <cell r="B76" t="str">
            <v>楼学民</v>
          </cell>
          <cell r="C76" t="str">
            <v>生产保障部</v>
          </cell>
        </row>
        <row r="77">
          <cell r="A77" t="str">
            <v>0076</v>
          </cell>
          <cell r="B77" t="str">
            <v>文刚</v>
          </cell>
          <cell r="C77" t="str">
            <v>油漆车间</v>
          </cell>
        </row>
        <row r="78">
          <cell r="A78" t="str">
            <v>0077</v>
          </cell>
          <cell r="B78" t="str">
            <v>张丰丽</v>
          </cell>
          <cell r="C78" t="str">
            <v>油漆车间</v>
          </cell>
        </row>
        <row r="79">
          <cell r="A79" t="str">
            <v>0078</v>
          </cell>
          <cell r="B79" t="str">
            <v>黄仕武</v>
          </cell>
          <cell r="C79" t="str">
            <v>装配车间</v>
          </cell>
        </row>
        <row r="80">
          <cell r="A80" t="str">
            <v>0079</v>
          </cell>
          <cell r="B80" t="str">
            <v>刘国伦</v>
          </cell>
          <cell r="C80" t="str">
            <v>油漆车间</v>
          </cell>
        </row>
        <row r="81">
          <cell r="A81" t="str">
            <v>0080</v>
          </cell>
          <cell r="B81" t="str">
            <v>张勇</v>
          </cell>
          <cell r="C81" t="str">
            <v>铆焊车间</v>
          </cell>
        </row>
        <row r="82">
          <cell r="A82" t="str">
            <v>0081</v>
          </cell>
          <cell r="B82" t="str">
            <v>叶建民</v>
          </cell>
          <cell r="C82" t="str">
            <v>铆焊车间</v>
          </cell>
        </row>
        <row r="83">
          <cell r="A83" t="str">
            <v>0082</v>
          </cell>
          <cell r="B83" t="str">
            <v>韩伟峰</v>
          </cell>
          <cell r="C83" t="str">
            <v>铆焊车间</v>
          </cell>
        </row>
        <row r="84">
          <cell r="A84" t="str">
            <v>0083</v>
          </cell>
          <cell r="B84" t="str">
            <v>陈红鲁</v>
          </cell>
          <cell r="C84" t="str">
            <v>铆焊车间</v>
          </cell>
        </row>
        <row r="85">
          <cell r="A85" t="str">
            <v>0084</v>
          </cell>
          <cell r="B85" t="str">
            <v>张道富</v>
          </cell>
          <cell r="C85" t="str">
            <v>铆焊车间</v>
          </cell>
        </row>
        <row r="86">
          <cell r="A86" t="str">
            <v>0085</v>
          </cell>
          <cell r="B86" t="str">
            <v>刘宗宪</v>
          </cell>
          <cell r="C86" t="str">
            <v>铆焊车间</v>
          </cell>
        </row>
        <row r="87">
          <cell r="A87" t="str">
            <v>0086</v>
          </cell>
          <cell r="B87" t="str">
            <v>叶伟伟</v>
          </cell>
          <cell r="C87" t="str">
            <v>铆焊车间</v>
          </cell>
        </row>
        <row r="88">
          <cell r="A88" t="str">
            <v>0087</v>
          </cell>
          <cell r="B88" t="str">
            <v>许仙</v>
          </cell>
          <cell r="C88" t="str">
            <v>铆焊车间</v>
          </cell>
        </row>
        <row r="89">
          <cell r="A89" t="str">
            <v>0088</v>
          </cell>
          <cell r="B89" t="str">
            <v>何耀彩</v>
          </cell>
          <cell r="C89" t="str">
            <v>铆焊车间</v>
          </cell>
        </row>
        <row r="90">
          <cell r="A90" t="str">
            <v>0089</v>
          </cell>
          <cell r="B90" t="str">
            <v>曹玉清</v>
          </cell>
          <cell r="C90" t="str">
            <v>铆焊车间</v>
          </cell>
        </row>
        <row r="91">
          <cell r="A91" t="str">
            <v>0090</v>
          </cell>
          <cell r="B91" t="str">
            <v>秦卫珊</v>
          </cell>
          <cell r="C91" t="str">
            <v>铆焊车间</v>
          </cell>
        </row>
        <row r="92">
          <cell r="A92" t="str">
            <v>0091</v>
          </cell>
          <cell r="B92" t="str">
            <v>高汉东</v>
          </cell>
          <cell r="C92" t="str">
            <v>铆焊车间</v>
          </cell>
        </row>
        <row r="93">
          <cell r="A93" t="str">
            <v>0092</v>
          </cell>
          <cell r="B93" t="str">
            <v>胡支新</v>
          </cell>
          <cell r="C93" t="str">
            <v>铆焊车间</v>
          </cell>
        </row>
        <row r="94">
          <cell r="A94" t="str">
            <v>0093</v>
          </cell>
          <cell r="B94" t="str">
            <v>张永远</v>
          </cell>
          <cell r="C94" t="str">
            <v>6S管理部</v>
          </cell>
        </row>
        <row r="95">
          <cell r="A95" t="str">
            <v>0094</v>
          </cell>
          <cell r="B95" t="str">
            <v>黄仕斌</v>
          </cell>
          <cell r="C95" t="str">
            <v>测量室</v>
          </cell>
        </row>
        <row r="96">
          <cell r="A96" t="str">
            <v>0095</v>
          </cell>
          <cell r="B96" t="str">
            <v>陶刚路</v>
          </cell>
          <cell r="C96" t="str">
            <v>铆焊车间</v>
          </cell>
        </row>
        <row r="97">
          <cell r="A97" t="str">
            <v>0096</v>
          </cell>
          <cell r="B97" t="str">
            <v>孙智文</v>
          </cell>
          <cell r="C97" t="str">
            <v>测量室</v>
          </cell>
        </row>
        <row r="98">
          <cell r="A98" t="str">
            <v>0097</v>
          </cell>
          <cell r="B98" t="str">
            <v>吕波</v>
          </cell>
          <cell r="C98" t="str">
            <v>测量室</v>
          </cell>
        </row>
        <row r="99">
          <cell r="A99" t="str">
            <v>0098</v>
          </cell>
          <cell r="B99" t="str">
            <v>李宗泽</v>
          </cell>
          <cell r="C99" t="str">
            <v>测量室</v>
          </cell>
        </row>
        <row r="100">
          <cell r="A100" t="str">
            <v>0099</v>
          </cell>
          <cell r="B100" t="str">
            <v>陈功</v>
          </cell>
          <cell r="C100" t="str">
            <v>测量室</v>
          </cell>
        </row>
        <row r="101">
          <cell r="A101" t="str">
            <v>0100</v>
          </cell>
          <cell r="B101" t="str">
            <v>柯昌艳</v>
          </cell>
          <cell r="C101" t="str">
            <v>测量室</v>
          </cell>
        </row>
        <row r="102">
          <cell r="A102" t="str">
            <v>0101</v>
          </cell>
          <cell r="B102" t="str">
            <v>殷惠娟</v>
          </cell>
          <cell r="C102" t="str">
            <v>测量室</v>
          </cell>
        </row>
        <row r="103">
          <cell r="A103" t="str">
            <v>0102</v>
          </cell>
          <cell r="B103" t="str">
            <v>张志亮</v>
          </cell>
          <cell r="C103" t="str">
            <v>测量室</v>
          </cell>
        </row>
        <row r="104">
          <cell r="A104" t="str">
            <v>0103</v>
          </cell>
          <cell r="B104" t="str">
            <v>谭群</v>
          </cell>
          <cell r="C104" t="str">
            <v>生产保障部</v>
          </cell>
        </row>
        <row r="105">
          <cell r="A105" t="str">
            <v>0104</v>
          </cell>
          <cell r="B105" t="str">
            <v>曹湧</v>
          </cell>
          <cell r="C105" t="str">
            <v>测量室</v>
          </cell>
        </row>
        <row r="106">
          <cell r="A106" t="str">
            <v>0105</v>
          </cell>
          <cell r="B106" t="str">
            <v>何锦景</v>
          </cell>
          <cell r="C106" t="str">
            <v>测量室</v>
          </cell>
        </row>
        <row r="107">
          <cell r="A107" t="str">
            <v>0106</v>
          </cell>
          <cell r="B107" t="str">
            <v>张建成</v>
          </cell>
          <cell r="C107" t="str">
            <v>测量室</v>
          </cell>
        </row>
        <row r="108">
          <cell r="A108" t="str">
            <v>0107</v>
          </cell>
          <cell r="B108" t="str">
            <v>林逸来</v>
          </cell>
          <cell r="C108" t="str">
            <v>机械设计部</v>
          </cell>
        </row>
        <row r="109">
          <cell r="A109" t="str">
            <v>0108</v>
          </cell>
          <cell r="B109" t="str">
            <v>张奎武</v>
          </cell>
          <cell r="C109" t="str">
            <v>项目工程部</v>
          </cell>
        </row>
        <row r="110">
          <cell r="A110" t="str">
            <v>0109</v>
          </cell>
          <cell r="B110" t="str">
            <v>江涛</v>
          </cell>
          <cell r="C110" t="str">
            <v>机械设计部</v>
          </cell>
        </row>
        <row r="111">
          <cell r="A111" t="str">
            <v>0110</v>
          </cell>
          <cell r="B111" t="str">
            <v>涂蛟</v>
          </cell>
          <cell r="C111" t="str">
            <v>项目工程部</v>
          </cell>
        </row>
        <row r="112">
          <cell r="A112" t="str">
            <v>0111</v>
          </cell>
          <cell r="B112" t="str">
            <v>王军华</v>
          </cell>
          <cell r="C112" t="str">
            <v>项目工程部</v>
          </cell>
        </row>
        <row r="113">
          <cell r="A113" t="str">
            <v>0112</v>
          </cell>
          <cell r="B113" t="str">
            <v>李映华</v>
          </cell>
          <cell r="C113" t="str">
            <v>工艺规划部</v>
          </cell>
        </row>
        <row r="114">
          <cell r="A114" t="str">
            <v>0113</v>
          </cell>
          <cell r="B114" t="str">
            <v>欧阳时芬</v>
          </cell>
          <cell r="C114" t="str">
            <v>机械设计部</v>
          </cell>
        </row>
        <row r="115">
          <cell r="A115" t="str">
            <v>0114</v>
          </cell>
          <cell r="B115" t="str">
            <v>卞金龙</v>
          </cell>
          <cell r="C115" t="str">
            <v>项目工程部</v>
          </cell>
        </row>
        <row r="116">
          <cell r="A116" t="str">
            <v>0115</v>
          </cell>
          <cell r="B116" t="str">
            <v>冯倩倩</v>
          </cell>
          <cell r="C116" t="str">
            <v>工艺规划部</v>
          </cell>
        </row>
        <row r="117">
          <cell r="A117" t="str">
            <v>0116</v>
          </cell>
          <cell r="B117" t="str">
            <v>姚静</v>
          </cell>
          <cell r="C117" t="str">
            <v>工艺规划部</v>
          </cell>
        </row>
        <row r="118">
          <cell r="A118" t="str">
            <v>0117</v>
          </cell>
          <cell r="B118" t="str">
            <v>朱成云</v>
          </cell>
          <cell r="C118" t="str">
            <v>项目工程部</v>
          </cell>
        </row>
        <row r="119">
          <cell r="A119" t="str">
            <v>0118</v>
          </cell>
          <cell r="B119" t="str">
            <v>涂虎</v>
          </cell>
          <cell r="C119" t="str">
            <v>机械设计部</v>
          </cell>
        </row>
        <row r="120">
          <cell r="A120" t="str">
            <v>0119</v>
          </cell>
          <cell r="B120" t="str">
            <v>蔡忠锋</v>
          </cell>
          <cell r="C120" t="str">
            <v>项目工程部</v>
          </cell>
        </row>
        <row r="121">
          <cell r="A121" t="str">
            <v>0120</v>
          </cell>
          <cell r="B121" t="str">
            <v>陈啸林</v>
          </cell>
          <cell r="C121" t="str">
            <v>工艺规划部</v>
          </cell>
        </row>
        <row r="122">
          <cell r="A122" t="str">
            <v>0121</v>
          </cell>
          <cell r="B122" t="str">
            <v>杨永杰</v>
          </cell>
          <cell r="C122" t="str">
            <v>项目工程部</v>
          </cell>
        </row>
        <row r="123">
          <cell r="A123" t="str">
            <v>0122</v>
          </cell>
          <cell r="B123" t="str">
            <v>王涓</v>
          </cell>
          <cell r="C123" t="str">
            <v>资产财务部</v>
          </cell>
        </row>
        <row r="124">
          <cell r="A124" t="str">
            <v>0123</v>
          </cell>
          <cell r="B124" t="str">
            <v>张丹丹</v>
          </cell>
          <cell r="C124" t="str">
            <v>机械设计部</v>
          </cell>
        </row>
        <row r="125">
          <cell r="A125" t="str">
            <v>0124</v>
          </cell>
          <cell r="B125" t="str">
            <v>孟波涛</v>
          </cell>
          <cell r="C125" t="str">
            <v>机械设计部</v>
          </cell>
        </row>
        <row r="126">
          <cell r="A126" t="str">
            <v>0125</v>
          </cell>
          <cell r="B126" t="str">
            <v>薛晨</v>
          </cell>
          <cell r="C126" t="str">
            <v>项目工程部</v>
          </cell>
        </row>
        <row r="127">
          <cell r="A127" t="str">
            <v>0126</v>
          </cell>
          <cell r="B127" t="str">
            <v>郭金涛</v>
          </cell>
          <cell r="C127" t="str">
            <v>项目工程部</v>
          </cell>
        </row>
        <row r="128">
          <cell r="A128" t="str">
            <v>0127</v>
          </cell>
          <cell r="B128" t="str">
            <v>陆明</v>
          </cell>
          <cell r="C128" t="str">
            <v>机械设计部</v>
          </cell>
        </row>
        <row r="129">
          <cell r="A129" t="str">
            <v>0128</v>
          </cell>
          <cell r="B129" t="str">
            <v>杜建祝</v>
          </cell>
          <cell r="C129" t="str">
            <v>机械设计部</v>
          </cell>
        </row>
        <row r="130">
          <cell r="A130" t="str">
            <v>0129</v>
          </cell>
          <cell r="B130" t="str">
            <v>瞿伟谊</v>
          </cell>
          <cell r="C130" t="str">
            <v>后勤管理部</v>
          </cell>
        </row>
        <row r="131">
          <cell r="A131" t="str">
            <v>0130</v>
          </cell>
          <cell r="B131" t="str">
            <v>邵雅萍</v>
          </cell>
          <cell r="C131" t="str">
            <v>公司办公室</v>
          </cell>
        </row>
        <row r="132">
          <cell r="A132" t="str">
            <v>0131</v>
          </cell>
          <cell r="B132" t="str">
            <v>许才林</v>
          </cell>
          <cell r="C132" t="str">
            <v>机械设计部</v>
          </cell>
        </row>
        <row r="133">
          <cell r="A133" t="str">
            <v>0132</v>
          </cell>
          <cell r="B133" t="str">
            <v>李映贵</v>
          </cell>
          <cell r="C133" t="str">
            <v>机械设计部</v>
          </cell>
        </row>
        <row r="134">
          <cell r="A134" t="str">
            <v>0133</v>
          </cell>
          <cell r="B134" t="str">
            <v>鲁志程</v>
          </cell>
          <cell r="C134" t="str">
            <v>项目工程部</v>
          </cell>
        </row>
        <row r="135">
          <cell r="A135" t="str">
            <v>0134</v>
          </cell>
          <cell r="B135" t="str">
            <v>李咸富</v>
          </cell>
          <cell r="C135" t="str">
            <v>机械设计部</v>
          </cell>
        </row>
        <row r="136">
          <cell r="A136" t="str">
            <v>0135</v>
          </cell>
          <cell r="B136" t="str">
            <v>王旭</v>
          </cell>
          <cell r="C136" t="str">
            <v>机械设计部</v>
          </cell>
        </row>
        <row r="137">
          <cell r="A137" t="str">
            <v>0136</v>
          </cell>
          <cell r="B137" t="str">
            <v>鲍大宏</v>
          </cell>
          <cell r="C137" t="str">
            <v>机械设计部</v>
          </cell>
        </row>
        <row r="138">
          <cell r="A138" t="str">
            <v>0137</v>
          </cell>
          <cell r="B138" t="str">
            <v>许启安</v>
          </cell>
          <cell r="C138" t="str">
            <v>机械设计部</v>
          </cell>
        </row>
        <row r="139">
          <cell r="A139" t="str">
            <v>0138</v>
          </cell>
          <cell r="B139" t="str">
            <v>王文超</v>
          </cell>
          <cell r="C139" t="str">
            <v>机械设计部</v>
          </cell>
        </row>
        <row r="140">
          <cell r="A140" t="str">
            <v>0139</v>
          </cell>
          <cell r="B140" t="str">
            <v>卢家川</v>
          </cell>
          <cell r="C140" t="str">
            <v>机械设计部</v>
          </cell>
        </row>
        <row r="141">
          <cell r="A141" t="str">
            <v>0140</v>
          </cell>
          <cell r="B141" t="str">
            <v>翟明文</v>
          </cell>
          <cell r="C141" t="str">
            <v>机械设计部</v>
          </cell>
        </row>
        <row r="142">
          <cell r="A142" t="str">
            <v>0141</v>
          </cell>
          <cell r="B142" t="str">
            <v>王莉</v>
          </cell>
          <cell r="C142" t="str">
            <v>机械设计部</v>
          </cell>
        </row>
        <row r="143">
          <cell r="A143" t="str">
            <v>0142</v>
          </cell>
          <cell r="B143" t="str">
            <v>李杰</v>
          </cell>
          <cell r="C143" t="str">
            <v>项目工程部</v>
          </cell>
        </row>
        <row r="144">
          <cell r="A144" t="str">
            <v>0143</v>
          </cell>
          <cell r="B144" t="str">
            <v>刘亮</v>
          </cell>
          <cell r="C144" t="str">
            <v>项目工程部</v>
          </cell>
        </row>
        <row r="145">
          <cell r="A145" t="str">
            <v>0144</v>
          </cell>
          <cell r="B145" t="str">
            <v>郭占军</v>
          </cell>
          <cell r="C145" t="str">
            <v>项目工程部</v>
          </cell>
        </row>
        <row r="146">
          <cell r="A146" t="str">
            <v>0145</v>
          </cell>
          <cell r="B146" t="str">
            <v>刘鸿鹏</v>
          </cell>
          <cell r="C146" t="str">
            <v>工艺规划部</v>
          </cell>
        </row>
        <row r="147">
          <cell r="A147" t="str">
            <v>0146</v>
          </cell>
          <cell r="B147" t="str">
            <v>谭小高</v>
          </cell>
          <cell r="C147" t="str">
            <v>电气自动化部</v>
          </cell>
        </row>
        <row r="148">
          <cell r="A148" t="str">
            <v>0147</v>
          </cell>
          <cell r="B148" t="str">
            <v>曹敏</v>
          </cell>
          <cell r="C148" t="str">
            <v>后勤管理部</v>
          </cell>
        </row>
        <row r="149">
          <cell r="A149" t="str">
            <v>0148</v>
          </cell>
          <cell r="B149" t="str">
            <v>季海臣</v>
          </cell>
          <cell r="C149" t="str">
            <v>采购部</v>
          </cell>
        </row>
        <row r="150">
          <cell r="A150" t="str">
            <v>0149</v>
          </cell>
          <cell r="B150" t="str">
            <v>谢平</v>
          </cell>
          <cell r="C150" t="str">
            <v>工程安装部</v>
          </cell>
        </row>
        <row r="151">
          <cell r="A151" t="str">
            <v>0150</v>
          </cell>
          <cell r="B151" t="str">
            <v>张艳</v>
          </cell>
          <cell r="C151" t="str">
            <v>装配车间</v>
          </cell>
        </row>
        <row r="152">
          <cell r="A152" t="str">
            <v>0151</v>
          </cell>
          <cell r="B152" t="str">
            <v>成立仲</v>
          </cell>
          <cell r="C152" t="str">
            <v>生产保障部</v>
          </cell>
        </row>
        <row r="153">
          <cell r="A153" t="str">
            <v>0152</v>
          </cell>
          <cell r="B153" t="str">
            <v>郭仕培</v>
          </cell>
          <cell r="C153" t="str">
            <v>人力资源部</v>
          </cell>
        </row>
        <row r="154">
          <cell r="A154" t="str">
            <v>0153</v>
          </cell>
          <cell r="B154" t="str">
            <v>薛震陆</v>
          </cell>
          <cell r="C154" t="str">
            <v>仓库</v>
          </cell>
        </row>
        <row r="155">
          <cell r="A155" t="str">
            <v>0154</v>
          </cell>
          <cell r="B155" t="str">
            <v>王军</v>
          </cell>
          <cell r="C155" t="str">
            <v>装配车间</v>
          </cell>
        </row>
        <row r="156">
          <cell r="A156" t="str">
            <v>0155</v>
          </cell>
          <cell r="B156" t="str">
            <v>王小芹</v>
          </cell>
          <cell r="C156" t="str">
            <v>油漆车间</v>
          </cell>
        </row>
        <row r="157">
          <cell r="A157" t="str">
            <v>0156</v>
          </cell>
          <cell r="B157" t="str">
            <v>杜利亚</v>
          </cell>
          <cell r="C157" t="str">
            <v>后勤管理部</v>
          </cell>
        </row>
        <row r="158">
          <cell r="A158" t="str">
            <v>0157</v>
          </cell>
          <cell r="B158" t="str">
            <v>顾正仙</v>
          </cell>
          <cell r="C158" t="str">
            <v>后勤管理部</v>
          </cell>
        </row>
        <row r="159">
          <cell r="A159" t="str">
            <v>0158</v>
          </cell>
          <cell r="B159" t="str">
            <v>倪忠文</v>
          </cell>
          <cell r="C159" t="str">
            <v>后勤管理部</v>
          </cell>
        </row>
        <row r="160">
          <cell r="A160" t="str">
            <v>0159</v>
          </cell>
          <cell r="B160" t="str">
            <v>瞿光辉</v>
          </cell>
          <cell r="C160" t="str">
            <v>后勤管理部</v>
          </cell>
        </row>
        <row r="161">
          <cell r="A161" t="str">
            <v>0160</v>
          </cell>
          <cell r="B161" t="str">
            <v>苏振</v>
          </cell>
          <cell r="C161" t="str">
            <v>后勤管理部</v>
          </cell>
        </row>
        <row r="162">
          <cell r="A162" t="str">
            <v>0161</v>
          </cell>
          <cell r="B162" t="str">
            <v>陈德官</v>
          </cell>
          <cell r="C162" t="str">
            <v>后勤管理部</v>
          </cell>
        </row>
        <row r="163">
          <cell r="A163" t="str">
            <v>0162</v>
          </cell>
          <cell r="B163" t="str">
            <v>倪建国</v>
          </cell>
          <cell r="C163" t="str">
            <v>后勤管理部</v>
          </cell>
        </row>
        <row r="164">
          <cell r="A164" t="str">
            <v>0163</v>
          </cell>
          <cell r="B164" t="str">
            <v>冷笑</v>
          </cell>
          <cell r="C164" t="str">
            <v>资产财务部</v>
          </cell>
        </row>
        <row r="165">
          <cell r="A165" t="str">
            <v>0164</v>
          </cell>
          <cell r="B165" t="str">
            <v>张国平</v>
          </cell>
          <cell r="C165" t="str">
            <v>后勤管理部</v>
          </cell>
        </row>
        <row r="166">
          <cell r="A166" t="str">
            <v>0165</v>
          </cell>
          <cell r="B166" t="str">
            <v>生昌红</v>
          </cell>
          <cell r="C166" t="str">
            <v>生产保障部</v>
          </cell>
        </row>
        <row r="167">
          <cell r="A167" t="str">
            <v>0166</v>
          </cell>
          <cell r="B167" t="str">
            <v>瞿林仙</v>
          </cell>
          <cell r="C167" t="str">
            <v>后勤管理部</v>
          </cell>
        </row>
        <row r="168">
          <cell r="A168" t="str">
            <v>0167</v>
          </cell>
          <cell r="B168" t="str">
            <v>郭玉惠</v>
          </cell>
          <cell r="C168" t="str">
            <v>总经理室</v>
          </cell>
        </row>
        <row r="169">
          <cell r="A169" t="str">
            <v>0168</v>
          </cell>
          <cell r="B169" t="str">
            <v>刘良波</v>
          </cell>
          <cell r="C169" t="str">
            <v>机加车间</v>
          </cell>
        </row>
        <row r="170">
          <cell r="A170" t="str">
            <v>0169</v>
          </cell>
          <cell r="B170" t="str">
            <v>马艳雪</v>
          </cell>
          <cell r="C170" t="str">
            <v>仓库</v>
          </cell>
        </row>
        <row r="171">
          <cell r="A171" t="str">
            <v>0170</v>
          </cell>
          <cell r="B171" t="str">
            <v>林华</v>
          </cell>
          <cell r="C171" t="str">
            <v>总经理室</v>
          </cell>
        </row>
        <row r="172">
          <cell r="A172" t="str">
            <v>0171</v>
          </cell>
          <cell r="B172" t="str">
            <v>陈成</v>
          </cell>
          <cell r="C172" t="str">
            <v>总经理室</v>
          </cell>
        </row>
        <row r="173">
          <cell r="A173" t="str">
            <v>0172</v>
          </cell>
          <cell r="B173" t="str">
            <v>胥磊</v>
          </cell>
          <cell r="C173" t="str">
            <v>总经理室</v>
          </cell>
        </row>
        <row r="174">
          <cell r="A174" t="str">
            <v>0173</v>
          </cell>
          <cell r="B174" t="str">
            <v>谭秀阳</v>
          </cell>
          <cell r="C174" t="str">
            <v>总经理室</v>
          </cell>
        </row>
        <row r="175">
          <cell r="A175" t="str">
            <v>0174</v>
          </cell>
          <cell r="B175" t="str">
            <v>张峰</v>
          </cell>
          <cell r="C175" t="str">
            <v>项目工程部</v>
          </cell>
        </row>
        <row r="176">
          <cell r="A176" t="str">
            <v>0175</v>
          </cell>
          <cell r="B176" t="str">
            <v>闫妙灵</v>
          </cell>
          <cell r="C176" t="str">
            <v>机械设计部</v>
          </cell>
        </row>
        <row r="177">
          <cell r="A177" t="str">
            <v>0176</v>
          </cell>
          <cell r="B177" t="str">
            <v>张慧敏</v>
          </cell>
          <cell r="C177" t="str">
            <v>工艺规划部</v>
          </cell>
        </row>
        <row r="178">
          <cell r="A178" t="str">
            <v>0177</v>
          </cell>
          <cell r="B178" t="str">
            <v>关喜英</v>
          </cell>
          <cell r="C178" t="str">
            <v>生产保障部</v>
          </cell>
        </row>
        <row r="179">
          <cell r="A179" t="str">
            <v>0178</v>
          </cell>
          <cell r="B179" t="str">
            <v>王萍</v>
          </cell>
          <cell r="C179" t="str">
            <v>采购部</v>
          </cell>
        </row>
        <row r="180">
          <cell r="A180" t="str">
            <v>0179</v>
          </cell>
          <cell r="B180" t="str">
            <v>杨锋坪</v>
          </cell>
          <cell r="C180" t="str">
            <v>工艺规划部</v>
          </cell>
        </row>
        <row r="181">
          <cell r="A181" t="str">
            <v>0180</v>
          </cell>
          <cell r="B181" t="str">
            <v>张立泰</v>
          </cell>
          <cell r="C181" t="str">
            <v>总经理室</v>
          </cell>
        </row>
        <row r="182">
          <cell r="A182" t="str">
            <v>0181</v>
          </cell>
          <cell r="B182" t="str">
            <v>罗忠万</v>
          </cell>
          <cell r="C182" t="str">
            <v>装配车间</v>
          </cell>
        </row>
        <row r="183">
          <cell r="A183" t="str">
            <v>0182</v>
          </cell>
          <cell r="B183" t="str">
            <v>刘坤</v>
          </cell>
          <cell r="C183" t="str">
            <v>机加车间</v>
          </cell>
        </row>
        <row r="184">
          <cell r="A184" t="str">
            <v>0183</v>
          </cell>
          <cell r="B184" t="str">
            <v>肖亚东</v>
          </cell>
          <cell r="C184" t="str">
            <v>工程安装部</v>
          </cell>
        </row>
        <row r="185">
          <cell r="A185" t="str">
            <v>0184</v>
          </cell>
          <cell r="B185" t="str">
            <v>李雨洲</v>
          </cell>
          <cell r="C185" t="str">
            <v>项目工程部</v>
          </cell>
        </row>
        <row r="186">
          <cell r="A186" t="str">
            <v>0185</v>
          </cell>
          <cell r="B186" t="str">
            <v>许利明</v>
          </cell>
          <cell r="C186" t="str">
            <v>机加车间</v>
          </cell>
        </row>
        <row r="187">
          <cell r="A187" t="str">
            <v>0186</v>
          </cell>
          <cell r="B187" t="str">
            <v>陈雷</v>
          </cell>
          <cell r="C187" t="str">
            <v>机加车间</v>
          </cell>
        </row>
        <row r="188">
          <cell r="A188" t="str">
            <v>0187</v>
          </cell>
          <cell r="B188" t="str">
            <v>唐丽萍</v>
          </cell>
          <cell r="C188" t="str">
            <v>人力资源部</v>
          </cell>
        </row>
        <row r="189">
          <cell r="A189" t="str">
            <v>0188</v>
          </cell>
          <cell r="B189" t="str">
            <v>曹源</v>
          </cell>
          <cell r="C189" t="str">
            <v>后勤管理部</v>
          </cell>
        </row>
        <row r="190">
          <cell r="A190" t="str">
            <v>0189</v>
          </cell>
          <cell r="B190" t="str">
            <v>沈林华</v>
          </cell>
          <cell r="C190" t="str">
            <v>仓库</v>
          </cell>
        </row>
        <row r="191">
          <cell r="A191" t="str">
            <v>0190</v>
          </cell>
          <cell r="B191" t="str">
            <v>马军领</v>
          </cell>
          <cell r="C191" t="str">
            <v>机械设计部</v>
          </cell>
        </row>
        <row r="192">
          <cell r="A192" t="str">
            <v>0191</v>
          </cell>
          <cell r="B192" t="str">
            <v>杜伟</v>
          </cell>
          <cell r="C192" t="str">
            <v>机械设计部</v>
          </cell>
        </row>
        <row r="193">
          <cell r="A193" t="str">
            <v>0192</v>
          </cell>
          <cell r="B193" t="str">
            <v>王先位</v>
          </cell>
          <cell r="C193" t="str">
            <v>机械设计部</v>
          </cell>
        </row>
        <row r="194">
          <cell r="A194" t="str">
            <v>0193</v>
          </cell>
          <cell r="B194" t="str">
            <v>邢梦珂</v>
          </cell>
          <cell r="C194" t="str">
            <v>机械设计部</v>
          </cell>
        </row>
        <row r="195">
          <cell r="A195" t="str">
            <v>0194</v>
          </cell>
          <cell r="B195" t="str">
            <v>崔晓华</v>
          </cell>
          <cell r="C195" t="str">
            <v>装配车间</v>
          </cell>
        </row>
        <row r="196">
          <cell r="A196" t="str">
            <v>0195</v>
          </cell>
          <cell r="B196" t="str">
            <v>熊猛</v>
          </cell>
          <cell r="C196" t="str">
            <v>装配车间</v>
          </cell>
        </row>
        <row r="197">
          <cell r="A197" t="str">
            <v>0196</v>
          </cell>
          <cell r="B197" t="str">
            <v>李新红</v>
          </cell>
          <cell r="C197" t="str">
            <v>装配车间</v>
          </cell>
        </row>
        <row r="198">
          <cell r="A198" t="str">
            <v>0197</v>
          </cell>
          <cell r="B198" t="str">
            <v>瞿雷</v>
          </cell>
          <cell r="C198" t="str">
            <v>装配车间</v>
          </cell>
        </row>
        <row r="199">
          <cell r="A199" t="str">
            <v>0198</v>
          </cell>
          <cell r="B199" t="str">
            <v>王红军</v>
          </cell>
          <cell r="C199" t="str">
            <v>装配车间</v>
          </cell>
        </row>
        <row r="200">
          <cell r="A200" t="str">
            <v>0199</v>
          </cell>
          <cell r="B200" t="str">
            <v>朱娜</v>
          </cell>
          <cell r="C200" t="str">
            <v>机加车间</v>
          </cell>
        </row>
        <row r="201">
          <cell r="A201" t="str">
            <v>0200</v>
          </cell>
          <cell r="B201" t="str">
            <v>李先金</v>
          </cell>
          <cell r="C201" t="str">
            <v>机加车间</v>
          </cell>
        </row>
        <row r="202">
          <cell r="A202" t="str">
            <v>0201</v>
          </cell>
          <cell r="B202" t="str">
            <v>朱如意</v>
          </cell>
          <cell r="C202" t="str">
            <v>机加车间</v>
          </cell>
        </row>
        <row r="203">
          <cell r="A203" t="str">
            <v>0202</v>
          </cell>
          <cell r="B203" t="str">
            <v>贺毛娥</v>
          </cell>
          <cell r="C203" t="str">
            <v>油漆车间</v>
          </cell>
        </row>
        <row r="204">
          <cell r="A204" t="str">
            <v>0203</v>
          </cell>
          <cell r="B204" t="str">
            <v>梁朔映</v>
          </cell>
          <cell r="C204" t="str">
            <v>机加车间</v>
          </cell>
        </row>
        <row r="205">
          <cell r="A205" t="str">
            <v>0204</v>
          </cell>
          <cell r="B205" t="str">
            <v>王玉双</v>
          </cell>
          <cell r="C205" t="str">
            <v>油漆车间</v>
          </cell>
        </row>
        <row r="206">
          <cell r="A206" t="str">
            <v>0205</v>
          </cell>
          <cell r="B206" t="str">
            <v>张林</v>
          </cell>
          <cell r="C206" t="str">
            <v>机械设计部</v>
          </cell>
        </row>
        <row r="207">
          <cell r="A207" t="str">
            <v>0206</v>
          </cell>
          <cell r="B207" t="str">
            <v>黄国平</v>
          </cell>
          <cell r="C207" t="str">
            <v>资产财务部</v>
          </cell>
        </row>
        <row r="208">
          <cell r="A208" t="str">
            <v>0207</v>
          </cell>
          <cell r="B208" t="str">
            <v>陶明芳</v>
          </cell>
          <cell r="C208" t="str">
            <v>后勤管理部</v>
          </cell>
        </row>
        <row r="209">
          <cell r="A209" t="str">
            <v>0208</v>
          </cell>
          <cell r="B209" t="str">
            <v>唐成芳</v>
          </cell>
          <cell r="C209" t="str">
            <v>采购部</v>
          </cell>
        </row>
        <row r="210">
          <cell r="A210" t="str">
            <v>0209</v>
          </cell>
          <cell r="B210" t="str">
            <v>李义恒</v>
          </cell>
          <cell r="C210" t="str">
            <v>机加车间</v>
          </cell>
        </row>
        <row r="211">
          <cell r="A211" t="str">
            <v>0210</v>
          </cell>
          <cell r="B211" t="str">
            <v>任海峰</v>
          </cell>
          <cell r="C211" t="str">
            <v>测量室</v>
          </cell>
        </row>
        <row r="212">
          <cell r="A212" t="str">
            <v>0211</v>
          </cell>
          <cell r="B212" t="str">
            <v>许贺</v>
          </cell>
          <cell r="C212" t="str">
            <v>机加车间</v>
          </cell>
        </row>
        <row r="213">
          <cell r="A213" t="str">
            <v>0215</v>
          </cell>
          <cell r="B213" t="str">
            <v>朱伟涛</v>
          </cell>
          <cell r="C213" t="str">
            <v>项目工程部</v>
          </cell>
        </row>
        <row r="214">
          <cell r="A214" t="str">
            <v>0216</v>
          </cell>
          <cell r="B214" t="str">
            <v>杨开坂</v>
          </cell>
          <cell r="C214" t="str">
            <v>机械设计部</v>
          </cell>
        </row>
        <row r="215">
          <cell r="A215" t="str">
            <v>0217</v>
          </cell>
          <cell r="B215" t="str">
            <v>叶鑫_离职</v>
          </cell>
          <cell r="C215" t="str">
            <v>机加车间</v>
          </cell>
        </row>
        <row r="216">
          <cell r="A216" t="str">
            <v>0218</v>
          </cell>
          <cell r="B216" t="str">
            <v>郁华</v>
          </cell>
          <cell r="C216" t="str">
            <v>机械设计部</v>
          </cell>
        </row>
        <row r="217">
          <cell r="A217" t="str">
            <v>0219</v>
          </cell>
          <cell r="B217" t="str">
            <v>耿宇宙</v>
          </cell>
          <cell r="C217" t="str">
            <v>机加车间</v>
          </cell>
        </row>
        <row r="218">
          <cell r="A218" t="str">
            <v>0220</v>
          </cell>
          <cell r="B218" t="str">
            <v>王小蓉</v>
          </cell>
          <cell r="C218" t="str">
            <v>机加车间</v>
          </cell>
        </row>
        <row r="219">
          <cell r="A219" t="str">
            <v>0221</v>
          </cell>
          <cell r="B219" t="str">
            <v>王东豫</v>
          </cell>
          <cell r="C219" t="str">
            <v>机加车间</v>
          </cell>
        </row>
        <row r="220">
          <cell r="A220" t="str">
            <v>0222</v>
          </cell>
          <cell r="B220" t="str">
            <v>刘康</v>
          </cell>
          <cell r="C220" t="str">
            <v>机加车间</v>
          </cell>
        </row>
        <row r="221">
          <cell r="A221" t="str">
            <v>0223</v>
          </cell>
          <cell r="B221" t="str">
            <v>武猛</v>
          </cell>
          <cell r="C221" t="str">
            <v>装配车间</v>
          </cell>
        </row>
        <row r="222">
          <cell r="A222" t="str">
            <v>0224</v>
          </cell>
          <cell r="B222" t="str">
            <v>陈冲</v>
          </cell>
          <cell r="C222" t="str">
            <v>装配车间</v>
          </cell>
        </row>
        <row r="223">
          <cell r="A223" t="str">
            <v>0225</v>
          </cell>
          <cell r="B223" t="str">
            <v>庄世明</v>
          </cell>
          <cell r="C223" t="str">
            <v>装配车间</v>
          </cell>
        </row>
        <row r="224">
          <cell r="A224" t="str">
            <v>0226</v>
          </cell>
          <cell r="B224" t="str">
            <v>丁德</v>
          </cell>
          <cell r="C224" t="str">
            <v>后勤管理部</v>
          </cell>
        </row>
        <row r="225">
          <cell r="A225" t="str">
            <v>0227</v>
          </cell>
          <cell r="B225" t="str">
            <v>吴国文</v>
          </cell>
          <cell r="C225" t="str">
            <v>铆焊车间</v>
          </cell>
        </row>
        <row r="226">
          <cell r="A226" t="str">
            <v>0228</v>
          </cell>
          <cell r="B226" t="str">
            <v>刘占军</v>
          </cell>
          <cell r="C226" t="str">
            <v>机械设计部</v>
          </cell>
        </row>
        <row r="227">
          <cell r="A227" t="str">
            <v>0229</v>
          </cell>
          <cell r="B227" t="str">
            <v>张杰春</v>
          </cell>
          <cell r="C227" t="str">
            <v>机械设计部</v>
          </cell>
        </row>
        <row r="228">
          <cell r="A228" t="str">
            <v>0230</v>
          </cell>
          <cell r="B228" t="str">
            <v>朱波</v>
          </cell>
          <cell r="C228" t="str">
            <v>IT部</v>
          </cell>
        </row>
        <row r="229">
          <cell r="A229" t="str">
            <v>0231</v>
          </cell>
          <cell r="B229" t="str">
            <v>席天军</v>
          </cell>
          <cell r="C229" t="str">
            <v>铆焊车间</v>
          </cell>
        </row>
        <row r="230">
          <cell r="A230" t="str">
            <v>0232</v>
          </cell>
          <cell r="B230" t="str">
            <v>罗凤妹</v>
          </cell>
          <cell r="C230" t="str">
            <v>机加车间</v>
          </cell>
        </row>
        <row r="231">
          <cell r="A231" t="str">
            <v>0233</v>
          </cell>
          <cell r="B231" t="str">
            <v>董晓波</v>
          </cell>
          <cell r="C231" t="str">
            <v>机械设计部</v>
          </cell>
        </row>
        <row r="232">
          <cell r="A232" t="str">
            <v>0234</v>
          </cell>
          <cell r="B232" t="str">
            <v>宋海付</v>
          </cell>
          <cell r="C232" t="str">
            <v>装配车间</v>
          </cell>
        </row>
        <row r="233">
          <cell r="A233" t="str">
            <v>0235</v>
          </cell>
          <cell r="B233" t="str">
            <v>杨传举</v>
          </cell>
          <cell r="C233" t="str">
            <v>铆焊车间</v>
          </cell>
        </row>
        <row r="234">
          <cell r="A234" t="str">
            <v>0236</v>
          </cell>
          <cell r="B234" t="str">
            <v>陆家才</v>
          </cell>
          <cell r="C234" t="str">
            <v>铆焊车间</v>
          </cell>
        </row>
        <row r="235">
          <cell r="A235" t="str">
            <v>0237</v>
          </cell>
          <cell r="B235" t="str">
            <v>樊聪身</v>
          </cell>
          <cell r="C235" t="str">
            <v>铆焊车间</v>
          </cell>
        </row>
        <row r="236">
          <cell r="A236" t="str">
            <v>0238</v>
          </cell>
          <cell r="B236" t="str">
            <v>王效露</v>
          </cell>
          <cell r="C236" t="str">
            <v>铆焊车间</v>
          </cell>
        </row>
        <row r="237">
          <cell r="A237" t="str">
            <v>0239</v>
          </cell>
          <cell r="B237" t="str">
            <v>程训臣</v>
          </cell>
          <cell r="C237" t="str">
            <v>铆焊车间</v>
          </cell>
        </row>
        <row r="238">
          <cell r="A238" t="str">
            <v>0240</v>
          </cell>
          <cell r="B238" t="str">
            <v>董欢欢</v>
          </cell>
          <cell r="C238" t="str">
            <v>铆焊车间</v>
          </cell>
        </row>
        <row r="239">
          <cell r="A239" t="str">
            <v>0241</v>
          </cell>
          <cell r="B239" t="str">
            <v>程赛赛</v>
          </cell>
          <cell r="C239" t="str">
            <v>铆焊车间</v>
          </cell>
        </row>
        <row r="240">
          <cell r="A240" t="str">
            <v>0242</v>
          </cell>
          <cell r="B240" t="str">
            <v>梁小二</v>
          </cell>
          <cell r="C240" t="str">
            <v>铆焊车间</v>
          </cell>
        </row>
        <row r="241">
          <cell r="A241" t="str">
            <v>0243</v>
          </cell>
          <cell r="B241" t="str">
            <v>蔡可沛</v>
          </cell>
          <cell r="C241" t="str">
            <v>铆焊车间</v>
          </cell>
        </row>
        <row r="242">
          <cell r="A242" t="str">
            <v>0244</v>
          </cell>
          <cell r="B242" t="str">
            <v>程峰</v>
          </cell>
          <cell r="C242" t="str">
            <v>铆焊车间</v>
          </cell>
        </row>
        <row r="243">
          <cell r="A243" t="str">
            <v>0245</v>
          </cell>
          <cell r="B243" t="str">
            <v>苏何香</v>
          </cell>
          <cell r="C243" t="str">
            <v>铆焊车间</v>
          </cell>
        </row>
        <row r="244">
          <cell r="A244" t="str">
            <v>0246</v>
          </cell>
          <cell r="B244" t="str">
            <v>丁民警</v>
          </cell>
          <cell r="C244" t="str">
            <v>铆焊车间</v>
          </cell>
        </row>
        <row r="245">
          <cell r="A245" t="str">
            <v>0247</v>
          </cell>
          <cell r="B245" t="str">
            <v>牛德科</v>
          </cell>
          <cell r="C245" t="str">
            <v>铆焊车间</v>
          </cell>
        </row>
        <row r="246">
          <cell r="A246" t="str">
            <v>0248</v>
          </cell>
          <cell r="B246" t="str">
            <v>刘彪</v>
          </cell>
          <cell r="C246" t="str">
            <v>铆焊车间</v>
          </cell>
        </row>
        <row r="247">
          <cell r="A247" t="str">
            <v>0249</v>
          </cell>
          <cell r="B247" t="str">
            <v>刘勇</v>
          </cell>
          <cell r="C247" t="str">
            <v>铆焊车间</v>
          </cell>
        </row>
        <row r="248">
          <cell r="A248" t="str">
            <v>0250</v>
          </cell>
          <cell r="B248" t="str">
            <v>李校飞</v>
          </cell>
          <cell r="C248" t="str">
            <v>铆焊车间</v>
          </cell>
        </row>
        <row r="249">
          <cell r="A249" t="str">
            <v>0251</v>
          </cell>
          <cell r="B249" t="str">
            <v>李双林</v>
          </cell>
          <cell r="C249" t="str">
            <v>铆焊车间</v>
          </cell>
        </row>
        <row r="250">
          <cell r="A250" t="str">
            <v>0252</v>
          </cell>
          <cell r="B250" t="str">
            <v>古彦礼</v>
          </cell>
          <cell r="C250" t="str">
            <v>铆焊车间</v>
          </cell>
        </row>
        <row r="251">
          <cell r="A251" t="str">
            <v>0253</v>
          </cell>
          <cell r="B251" t="str">
            <v>黄亚军</v>
          </cell>
          <cell r="C251" t="str">
            <v>铆焊车间</v>
          </cell>
        </row>
        <row r="252">
          <cell r="A252" t="str">
            <v>0254</v>
          </cell>
          <cell r="B252" t="str">
            <v>胡芳德</v>
          </cell>
          <cell r="C252" t="str">
            <v>铆焊车间</v>
          </cell>
        </row>
        <row r="253">
          <cell r="A253" t="str">
            <v>0255</v>
          </cell>
          <cell r="B253" t="str">
            <v>倪其兵</v>
          </cell>
          <cell r="C253" t="str">
            <v>铆焊车间</v>
          </cell>
        </row>
        <row r="254">
          <cell r="A254" t="str">
            <v>0256</v>
          </cell>
          <cell r="B254" t="str">
            <v>赵立宾</v>
          </cell>
          <cell r="C254" t="str">
            <v>铆焊车间</v>
          </cell>
        </row>
        <row r="255">
          <cell r="A255" t="str">
            <v>0257</v>
          </cell>
          <cell r="B255" t="str">
            <v>温江波</v>
          </cell>
          <cell r="C255" t="str">
            <v>铆焊车间</v>
          </cell>
        </row>
        <row r="256">
          <cell r="A256" t="str">
            <v>0258</v>
          </cell>
          <cell r="B256" t="str">
            <v>谢强</v>
          </cell>
          <cell r="C256" t="str">
            <v>机加车间</v>
          </cell>
        </row>
        <row r="257">
          <cell r="A257" t="str">
            <v>0259</v>
          </cell>
          <cell r="B257" t="str">
            <v>刘彦林</v>
          </cell>
          <cell r="C257" t="str">
            <v>机加车间</v>
          </cell>
        </row>
        <row r="258">
          <cell r="A258" t="str">
            <v>0260</v>
          </cell>
          <cell r="B258" t="str">
            <v>张连春</v>
          </cell>
          <cell r="C258" t="str">
            <v>机加车间</v>
          </cell>
        </row>
        <row r="259">
          <cell r="A259" t="str">
            <v>0261</v>
          </cell>
          <cell r="B259" t="str">
            <v>石建庆</v>
          </cell>
          <cell r="C259" t="str">
            <v>机加车间</v>
          </cell>
        </row>
        <row r="260">
          <cell r="A260" t="str">
            <v>0262</v>
          </cell>
          <cell r="B260" t="str">
            <v>杨文慧</v>
          </cell>
          <cell r="C260" t="str">
            <v>项目工程部</v>
          </cell>
        </row>
        <row r="261">
          <cell r="A261" t="str">
            <v>0263</v>
          </cell>
          <cell r="B261" t="str">
            <v>刘军凯</v>
          </cell>
          <cell r="C261" t="str">
            <v>机械设计部</v>
          </cell>
        </row>
        <row r="262">
          <cell r="A262" t="str">
            <v>0264</v>
          </cell>
          <cell r="B262" t="str">
            <v>张平</v>
          </cell>
          <cell r="C262" t="str">
            <v>项目工程部</v>
          </cell>
        </row>
        <row r="263">
          <cell r="A263" t="str">
            <v>0265</v>
          </cell>
          <cell r="B263" t="str">
            <v>刘斌</v>
          </cell>
          <cell r="C263" t="str">
            <v>铆焊车间</v>
          </cell>
        </row>
        <row r="264">
          <cell r="A264" t="str">
            <v>0266</v>
          </cell>
          <cell r="B264" t="str">
            <v>吴光祥</v>
          </cell>
          <cell r="C264" t="str">
            <v>铆焊车间</v>
          </cell>
        </row>
        <row r="265">
          <cell r="A265" t="str">
            <v>0267</v>
          </cell>
          <cell r="B265" t="str">
            <v>郑永佳</v>
          </cell>
          <cell r="C265" t="str">
            <v>机械设计部</v>
          </cell>
        </row>
        <row r="266">
          <cell r="A266" t="str">
            <v>0268</v>
          </cell>
          <cell r="B266" t="str">
            <v>叶海丹</v>
          </cell>
          <cell r="C266" t="str">
            <v>人力资源部</v>
          </cell>
        </row>
        <row r="267">
          <cell r="A267" t="str">
            <v>0269</v>
          </cell>
          <cell r="B267" t="str">
            <v>唐兵毅</v>
          </cell>
          <cell r="C267" t="str">
            <v>测量室</v>
          </cell>
        </row>
        <row r="268">
          <cell r="A268" t="str">
            <v>0270</v>
          </cell>
          <cell r="B268" t="str">
            <v>邹方政</v>
          </cell>
          <cell r="C268" t="str">
            <v>装配车间</v>
          </cell>
        </row>
        <row r="269">
          <cell r="A269" t="str">
            <v>0271</v>
          </cell>
          <cell r="B269" t="str">
            <v>黄仕胜</v>
          </cell>
          <cell r="C269" t="str">
            <v>装配车间</v>
          </cell>
        </row>
        <row r="270">
          <cell r="A270" t="str">
            <v>0272</v>
          </cell>
          <cell r="B270" t="str">
            <v>阮太宝</v>
          </cell>
          <cell r="C270" t="str">
            <v>装配车间</v>
          </cell>
        </row>
        <row r="271">
          <cell r="A271" t="str">
            <v>0273</v>
          </cell>
          <cell r="B271" t="str">
            <v>段海水</v>
          </cell>
          <cell r="C271" t="str">
            <v>装配车间</v>
          </cell>
        </row>
        <row r="272">
          <cell r="A272" t="str">
            <v>0274</v>
          </cell>
          <cell r="B272" t="str">
            <v>翟向会</v>
          </cell>
          <cell r="C272" t="str">
            <v>机加车间</v>
          </cell>
        </row>
        <row r="273">
          <cell r="A273" t="str">
            <v>0275</v>
          </cell>
          <cell r="B273" t="str">
            <v>李政清</v>
          </cell>
          <cell r="C273" t="str">
            <v>铆焊车间</v>
          </cell>
        </row>
        <row r="274">
          <cell r="A274" t="str">
            <v>0276</v>
          </cell>
          <cell r="B274" t="str">
            <v>高辉松</v>
          </cell>
          <cell r="C274" t="str">
            <v>机械设计部</v>
          </cell>
        </row>
        <row r="275">
          <cell r="A275" t="str">
            <v>0277</v>
          </cell>
          <cell r="B275" t="str">
            <v>范纯一</v>
          </cell>
          <cell r="C275" t="str">
            <v>机械设计部</v>
          </cell>
        </row>
        <row r="276">
          <cell r="A276" t="str">
            <v>0278</v>
          </cell>
          <cell r="B276" t="str">
            <v>何超</v>
          </cell>
          <cell r="C276" t="str">
            <v>机械设计部</v>
          </cell>
        </row>
        <row r="277">
          <cell r="A277" t="str">
            <v>0279</v>
          </cell>
          <cell r="B277" t="str">
            <v>杨宏</v>
          </cell>
          <cell r="C277" t="str">
            <v>机械设计部</v>
          </cell>
        </row>
        <row r="278">
          <cell r="A278" t="str">
            <v>0280</v>
          </cell>
          <cell r="B278" t="str">
            <v>陈明一</v>
          </cell>
          <cell r="C278" t="str">
            <v>机械设计部</v>
          </cell>
        </row>
        <row r="279">
          <cell r="A279" t="str">
            <v>0281</v>
          </cell>
          <cell r="B279" t="str">
            <v>杨妍昱</v>
          </cell>
          <cell r="C279" t="str">
            <v>工艺规划部</v>
          </cell>
        </row>
        <row r="280">
          <cell r="A280" t="str">
            <v>0282</v>
          </cell>
          <cell r="B280" t="str">
            <v>柴利波</v>
          </cell>
          <cell r="C280" t="str">
            <v>工艺规划部</v>
          </cell>
        </row>
        <row r="281">
          <cell r="A281" t="str">
            <v>0283</v>
          </cell>
          <cell r="B281" t="str">
            <v>夏巨昆</v>
          </cell>
          <cell r="C281" t="str">
            <v>机械设计部</v>
          </cell>
        </row>
        <row r="282">
          <cell r="A282" t="str">
            <v>0284</v>
          </cell>
          <cell r="B282" t="str">
            <v>严佳晨</v>
          </cell>
          <cell r="C282" t="str">
            <v>机械设计部</v>
          </cell>
        </row>
        <row r="283">
          <cell r="A283" t="str">
            <v>0285</v>
          </cell>
          <cell r="B283" t="str">
            <v>黄树强</v>
          </cell>
          <cell r="C283" t="str">
            <v>机械设计部</v>
          </cell>
        </row>
        <row r="284">
          <cell r="A284" t="str">
            <v>0286</v>
          </cell>
          <cell r="B284" t="str">
            <v>张灿灿</v>
          </cell>
          <cell r="C284" t="str">
            <v>机械设计部</v>
          </cell>
        </row>
        <row r="285">
          <cell r="A285" t="str">
            <v>0287</v>
          </cell>
          <cell r="B285" t="str">
            <v>朱中良</v>
          </cell>
          <cell r="C285" t="str">
            <v>铆焊车间</v>
          </cell>
        </row>
        <row r="286">
          <cell r="A286" t="str">
            <v>0288</v>
          </cell>
          <cell r="B286" t="str">
            <v>吴祖先</v>
          </cell>
          <cell r="C286" t="str">
            <v>铆焊车间</v>
          </cell>
        </row>
        <row r="287">
          <cell r="A287" t="str">
            <v>0289</v>
          </cell>
          <cell r="B287" t="str">
            <v>韩东东</v>
          </cell>
          <cell r="C287" t="str">
            <v>机加车间</v>
          </cell>
        </row>
        <row r="288">
          <cell r="A288" t="str">
            <v>0290</v>
          </cell>
          <cell r="B288" t="str">
            <v>周红英</v>
          </cell>
          <cell r="C288" t="str">
            <v>机加车间</v>
          </cell>
        </row>
        <row r="289">
          <cell r="A289" t="str">
            <v>0291</v>
          </cell>
          <cell r="B289" t="str">
            <v>范以超</v>
          </cell>
          <cell r="C289" t="str">
            <v>机加车间</v>
          </cell>
        </row>
        <row r="290">
          <cell r="A290" t="str">
            <v>0292</v>
          </cell>
          <cell r="B290" t="str">
            <v>陈红波</v>
          </cell>
          <cell r="C290" t="str">
            <v>机加车间</v>
          </cell>
        </row>
        <row r="291">
          <cell r="A291" t="str">
            <v>0293</v>
          </cell>
          <cell r="B291" t="str">
            <v>李应成</v>
          </cell>
          <cell r="C291" t="str">
            <v>机加车间</v>
          </cell>
        </row>
        <row r="292">
          <cell r="A292" t="str">
            <v>0294</v>
          </cell>
          <cell r="B292" t="str">
            <v>郭峰1</v>
          </cell>
          <cell r="C292" t="str">
            <v>机械设计部</v>
          </cell>
        </row>
        <row r="293">
          <cell r="A293" t="str">
            <v>0295</v>
          </cell>
          <cell r="B293" t="str">
            <v>田金柱</v>
          </cell>
          <cell r="C293" t="str">
            <v>铆焊车间</v>
          </cell>
        </row>
        <row r="294">
          <cell r="A294" t="str">
            <v>0296</v>
          </cell>
          <cell r="B294" t="str">
            <v>罗兵兵</v>
          </cell>
          <cell r="C294" t="str">
            <v>机加车间</v>
          </cell>
        </row>
        <row r="295">
          <cell r="A295" t="str">
            <v>0297</v>
          </cell>
          <cell r="B295" t="str">
            <v>陆金根</v>
          </cell>
          <cell r="C295" t="str">
            <v>后勤管理部</v>
          </cell>
        </row>
        <row r="296">
          <cell r="A296" t="str">
            <v>0298</v>
          </cell>
          <cell r="B296" t="str">
            <v>何双六</v>
          </cell>
          <cell r="C296" t="str">
            <v>机械设计部</v>
          </cell>
        </row>
        <row r="297">
          <cell r="A297" t="str">
            <v>0299</v>
          </cell>
          <cell r="B297" t="str">
            <v>赵伟</v>
          </cell>
          <cell r="C297" t="str">
            <v>机加车间</v>
          </cell>
        </row>
        <row r="298">
          <cell r="A298" t="str">
            <v>0300</v>
          </cell>
          <cell r="B298" t="str">
            <v>范凤花</v>
          </cell>
          <cell r="C298" t="str">
            <v>后勤管理部</v>
          </cell>
        </row>
        <row r="299">
          <cell r="A299" t="str">
            <v>0302</v>
          </cell>
          <cell r="B299" t="str">
            <v>薛荣昌</v>
          </cell>
          <cell r="C299" t="str">
            <v>后勤管理部</v>
          </cell>
        </row>
        <row r="300">
          <cell r="A300" t="str">
            <v>0303</v>
          </cell>
          <cell r="B300" t="str">
            <v>梁三钢</v>
          </cell>
          <cell r="C300" t="str">
            <v>装配车间</v>
          </cell>
        </row>
        <row r="301">
          <cell r="A301" t="str">
            <v>0304</v>
          </cell>
          <cell r="B301" t="str">
            <v>刘洋</v>
          </cell>
          <cell r="C301" t="str">
            <v>装配车间</v>
          </cell>
        </row>
        <row r="302">
          <cell r="A302" t="str">
            <v>0305</v>
          </cell>
          <cell r="B302" t="str">
            <v>郭晓雷</v>
          </cell>
          <cell r="C302" t="str">
            <v>装配车间</v>
          </cell>
        </row>
        <row r="303">
          <cell r="A303" t="str">
            <v>0306</v>
          </cell>
          <cell r="B303" t="str">
            <v>熊力</v>
          </cell>
          <cell r="C303" t="str">
            <v>装配车间</v>
          </cell>
        </row>
        <row r="304">
          <cell r="A304" t="str">
            <v>0307</v>
          </cell>
          <cell r="B304" t="str">
            <v>李朋朋</v>
          </cell>
          <cell r="C304" t="str">
            <v>机加车间</v>
          </cell>
        </row>
        <row r="305">
          <cell r="A305" t="str">
            <v>0308</v>
          </cell>
          <cell r="B305" t="str">
            <v>何勇</v>
          </cell>
          <cell r="C305" t="str">
            <v>工艺规划部</v>
          </cell>
        </row>
        <row r="306">
          <cell r="A306" t="str">
            <v>0309</v>
          </cell>
          <cell r="B306" t="str">
            <v>李胜杰</v>
          </cell>
          <cell r="C306" t="str">
            <v>测量室</v>
          </cell>
        </row>
        <row r="307">
          <cell r="A307" t="str">
            <v>0310</v>
          </cell>
          <cell r="B307" t="str">
            <v>何金祥</v>
          </cell>
          <cell r="C307" t="str">
            <v>机加车间</v>
          </cell>
        </row>
        <row r="308">
          <cell r="A308" t="str">
            <v>0311</v>
          </cell>
          <cell r="B308" t="str">
            <v>瞿习平</v>
          </cell>
          <cell r="C308" t="str">
            <v>机加车间</v>
          </cell>
        </row>
        <row r="309">
          <cell r="A309" t="str">
            <v>0312</v>
          </cell>
          <cell r="B309" t="str">
            <v>倪林庚</v>
          </cell>
          <cell r="C309" t="str">
            <v>机加车间</v>
          </cell>
        </row>
        <row r="310">
          <cell r="A310" t="str">
            <v>0313</v>
          </cell>
          <cell r="B310" t="str">
            <v>翟新波</v>
          </cell>
          <cell r="C310" t="str">
            <v>机加车间</v>
          </cell>
        </row>
        <row r="311">
          <cell r="A311" t="str">
            <v>0314</v>
          </cell>
          <cell r="B311" t="str">
            <v>高俊成</v>
          </cell>
          <cell r="C311" t="str">
            <v>铆焊车间</v>
          </cell>
        </row>
        <row r="312">
          <cell r="A312" t="str">
            <v>0315</v>
          </cell>
          <cell r="B312" t="str">
            <v>鲁亮发</v>
          </cell>
          <cell r="C312" t="str">
            <v>铆焊车间</v>
          </cell>
        </row>
        <row r="313">
          <cell r="A313" t="str">
            <v>0316</v>
          </cell>
          <cell r="B313" t="str">
            <v>梁昌杰</v>
          </cell>
          <cell r="C313" t="str">
            <v>铆焊车间</v>
          </cell>
        </row>
        <row r="314">
          <cell r="A314" t="str">
            <v>0317</v>
          </cell>
          <cell r="B314" t="str">
            <v>杨旭郎</v>
          </cell>
          <cell r="C314" t="str">
            <v>项目工程部</v>
          </cell>
        </row>
        <row r="315">
          <cell r="A315" t="str">
            <v>0318</v>
          </cell>
          <cell r="B315" t="str">
            <v>秦波</v>
          </cell>
          <cell r="C315" t="str">
            <v>项目工程部</v>
          </cell>
        </row>
        <row r="316">
          <cell r="A316" t="str">
            <v>0319</v>
          </cell>
          <cell r="B316" t="str">
            <v>杨小国</v>
          </cell>
          <cell r="C316" t="str">
            <v>项目工程部</v>
          </cell>
        </row>
        <row r="317">
          <cell r="A317" t="str">
            <v>0320</v>
          </cell>
          <cell r="B317" t="str">
            <v>马杨青</v>
          </cell>
          <cell r="C317" t="str">
            <v>机械设计部</v>
          </cell>
        </row>
        <row r="318">
          <cell r="A318" t="str">
            <v>0321</v>
          </cell>
          <cell r="B318" t="str">
            <v>刘红卫</v>
          </cell>
          <cell r="C318" t="str">
            <v>铆焊车间</v>
          </cell>
        </row>
        <row r="319">
          <cell r="A319" t="str">
            <v>0322</v>
          </cell>
          <cell r="B319" t="str">
            <v>石攀辉</v>
          </cell>
          <cell r="C319" t="str">
            <v>机加车间</v>
          </cell>
        </row>
        <row r="320">
          <cell r="A320" t="str">
            <v>0323</v>
          </cell>
          <cell r="B320" t="str">
            <v>熊兵</v>
          </cell>
          <cell r="C320" t="str">
            <v>机加车间</v>
          </cell>
        </row>
        <row r="321">
          <cell r="A321" t="str">
            <v>0324</v>
          </cell>
          <cell r="B321" t="str">
            <v>李祖应</v>
          </cell>
          <cell r="C321" t="str">
            <v>机加车间</v>
          </cell>
        </row>
        <row r="322">
          <cell r="A322" t="str">
            <v>0325</v>
          </cell>
          <cell r="B322" t="str">
            <v>吴强</v>
          </cell>
          <cell r="C322" t="str">
            <v>装配车间</v>
          </cell>
        </row>
        <row r="323">
          <cell r="A323" t="str">
            <v>0326</v>
          </cell>
          <cell r="B323" t="str">
            <v>熊龙章</v>
          </cell>
          <cell r="C323" t="str">
            <v>装配车间</v>
          </cell>
        </row>
        <row r="324">
          <cell r="A324" t="str">
            <v>0327</v>
          </cell>
          <cell r="B324" t="str">
            <v>吴标</v>
          </cell>
          <cell r="C324" t="str">
            <v>装配车间</v>
          </cell>
        </row>
        <row r="325">
          <cell r="A325" t="str">
            <v>0328</v>
          </cell>
          <cell r="B325" t="str">
            <v>杨辉</v>
          </cell>
          <cell r="C325" t="str">
            <v>装配车间</v>
          </cell>
        </row>
        <row r="326">
          <cell r="A326" t="str">
            <v>0329</v>
          </cell>
          <cell r="B326" t="str">
            <v>杨新强</v>
          </cell>
          <cell r="C326" t="str">
            <v>装配车间</v>
          </cell>
        </row>
        <row r="327">
          <cell r="A327" t="str">
            <v>0330</v>
          </cell>
          <cell r="B327" t="str">
            <v>彭火平</v>
          </cell>
          <cell r="C327" t="str">
            <v>装配车间</v>
          </cell>
        </row>
        <row r="328">
          <cell r="A328" t="str">
            <v>0331</v>
          </cell>
          <cell r="B328" t="str">
            <v>张才发</v>
          </cell>
          <cell r="C328" t="str">
            <v>油漆车间</v>
          </cell>
        </row>
        <row r="329">
          <cell r="A329" t="str">
            <v>0332</v>
          </cell>
          <cell r="B329" t="str">
            <v>孙红平</v>
          </cell>
          <cell r="C329" t="str">
            <v>油漆车间</v>
          </cell>
        </row>
        <row r="330">
          <cell r="A330" t="str">
            <v>0333</v>
          </cell>
          <cell r="B330" t="str">
            <v>阮情方</v>
          </cell>
          <cell r="C330" t="str">
            <v>油漆车间</v>
          </cell>
        </row>
        <row r="331">
          <cell r="A331" t="str">
            <v>0334</v>
          </cell>
          <cell r="B331" t="str">
            <v>李卫国</v>
          </cell>
          <cell r="C331" t="str">
            <v>铆焊车间</v>
          </cell>
        </row>
        <row r="332">
          <cell r="A332" t="str">
            <v>0335</v>
          </cell>
          <cell r="B332" t="str">
            <v>范新强</v>
          </cell>
          <cell r="C332" t="str">
            <v>铆焊车间</v>
          </cell>
        </row>
        <row r="333">
          <cell r="A333" t="str">
            <v>0336</v>
          </cell>
          <cell r="B333" t="str">
            <v>冯宏胜</v>
          </cell>
          <cell r="C333" t="str">
            <v>机加车间</v>
          </cell>
        </row>
        <row r="334">
          <cell r="A334" t="str">
            <v>0337</v>
          </cell>
          <cell r="B334" t="str">
            <v>郭泽端</v>
          </cell>
          <cell r="C334" t="str">
            <v>机加车间</v>
          </cell>
        </row>
        <row r="335">
          <cell r="A335" t="str">
            <v>0338</v>
          </cell>
          <cell r="B335" t="str">
            <v>李新德</v>
          </cell>
          <cell r="C335" t="str">
            <v>机加车间</v>
          </cell>
        </row>
        <row r="336">
          <cell r="A336" t="str">
            <v>0339</v>
          </cell>
          <cell r="B336" t="str">
            <v>刘其威</v>
          </cell>
          <cell r="C336" t="str">
            <v>装配车间</v>
          </cell>
        </row>
        <row r="337">
          <cell r="A337" t="str">
            <v>0340</v>
          </cell>
          <cell r="B337" t="str">
            <v>凃龙强</v>
          </cell>
          <cell r="C337" t="str">
            <v>装配车间</v>
          </cell>
        </row>
        <row r="338">
          <cell r="A338" t="str">
            <v>0341</v>
          </cell>
          <cell r="B338" t="str">
            <v>张志宏</v>
          </cell>
          <cell r="C338" t="str">
            <v>工程安装部</v>
          </cell>
        </row>
        <row r="339">
          <cell r="A339" t="str">
            <v>0342</v>
          </cell>
          <cell r="B339" t="str">
            <v>杨亮</v>
          </cell>
          <cell r="C339" t="str">
            <v>测量室</v>
          </cell>
        </row>
        <row r="340">
          <cell r="A340" t="str">
            <v>0343</v>
          </cell>
          <cell r="B340" t="str">
            <v>李亚</v>
          </cell>
          <cell r="C340" t="str">
            <v>项目工程部</v>
          </cell>
        </row>
        <row r="341">
          <cell r="A341" t="str">
            <v>0344</v>
          </cell>
          <cell r="B341" t="str">
            <v>谢俊昆</v>
          </cell>
          <cell r="C341" t="str">
            <v>机加车间</v>
          </cell>
        </row>
        <row r="342">
          <cell r="A342" t="str">
            <v>0345</v>
          </cell>
          <cell r="B342" t="str">
            <v>徐祖祥</v>
          </cell>
          <cell r="C342" t="str">
            <v>机加车间</v>
          </cell>
        </row>
        <row r="343">
          <cell r="A343" t="str">
            <v>0346</v>
          </cell>
          <cell r="B343" t="str">
            <v>李红波</v>
          </cell>
          <cell r="C343" t="str">
            <v>机加车间</v>
          </cell>
        </row>
        <row r="344">
          <cell r="A344" t="str">
            <v>0347</v>
          </cell>
          <cell r="B344" t="str">
            <v>唐酽</v>
          </cell>
          <cell r="C344" t="str">
            <v>测量室</v>
          </cell>
        </row>
        <row r="345">
          <cell r="A345" t="str">
            <v>0348</v>
          </cell>
          <cell r="B345" t="str">
            <v>王杰</v>
          </cell>
          <cell r="C345" t="str">
            <v>装配车间</v>
          </cell>
        </row>
        <row r="346">
          <cell r="A346" t="str">
            <v>0349</v>
          </cell>
          <cell r="B346" t="str">
            <v>汪强</v>
          </cell>
          <cell r="C346" t="str">
            <v>机加车间</v>
          </cell>
        </row>
        <row r="347">
          <cell r="A347" t="str">
            <v>0350</v>
          </cell>
          <cell r="B347" t="str">
            <v>孙晶晶</v>
          </cell>
          <cell r="C347" t="str">
            <v>装配车间</v>
          </cell>
        </row>
        <row r="348">
          <cell r="A348" t="str">
            <v>0351</v>
          </cell>
          <cell r="B348" t="str">
            <v>任建通</v>
          </cell>
          <cell r="C348" t="str">
            <v>装配车间</v>
          </cell>
        </row>
        <row r="349">
          <cell r="A349" t="str">
            <v>0352</v>
          </cell>
          <cell r="B349" t="str">
            <v>刘群</v>
          </cell>
          <cell r="C349" t="str">
            <v>铆焊车间</v>
          </cell>
        </row>
        <row r="350">
          <cell r="A350" t="str">
            <v>0353</v>
          </cell>
          <cell r="B350" t="str">
            <v>何广</v>
          </cell>
          <cell r="C350" t="str">
            <v>机加车间</v>
          </cell>
        </row>
        <row r="351">
          <cell r="A351" t="str">
            <v>0354</v>
          </cell>
          <cell r="B351" t="str">
            <v>韩玉</v>
          </cell>
          <cell r="C351" t="str">
            <v>装配车间</v>
          </cell>
        </row>
        <row r="352">
          <cell r="A352" t="str">
            <v>0355</v>
          </cell>
          <cell r="B352" t="str">
            <v>帅世海</v>
          </cell>
          <cell r="C352" t="str">
            <v>机加车间</v>
          </cell>
        </row>
        <row r="353">
          <cell r="A353" t="str">
            <v>0356</v>
          </cell>
          <cell r="B353" t="str">
            <v>李建国</v>
          </cell>
          <cell r="C353" t="str">
            <v>装配车间</v>
          </cell>
        </row>
        <row r="354">
          <cell r="A354" t="str">
            <v>0357</v>
          </cell>
          <cell r="B354" t="str">
            <v>孟燕</v>
          </cell>
          <cell r="C354" t="str">
            <v>采购部</v>
          </cell>
        </row>
        <row r="355">
          <cell r="A355" t="str">
            <v>0358</v>
          </cell>
          <cell r="B355" t="str">
            <v>陈凯丽</v>
          </cell>
          <cell r="C355" t="str">
            <v>采购部</v>
          </cell>
        </row>
        <row r="356">
          <cell r="A356" t="str">
            <v>0359</v>
          </cell>
          <cell r="B356" t="str">
            <v>吴建</v>
          </cell>
          <cell r="C356" t="str">
            <v>装配车间</v>
          </cell>
        </row>
        <row r="357">
          <cell r="A357" t="str">
            <v>0360</v>
          </cell>
          <cell r="B357" t="str">
            <v>王刘峰</v>
          </cell>
          <cell r="C357" t="str">
            <v>装配车间</v>
          </cell>
        </row>
        <row r="358">
          <cell r="A358" t="str">
            <v>0361</v>
          </cell>
          <cell r="B358" t="str">
            <v>谭友法</v>
          </cell>
          <cell r="C358" t="str">
            <v>机加车间</v>
          </cell>
        </row>
        <row r="359">
          <cell r="A359" t="str">
            <v>0362</v>
          </cell>
          <cell r="B359" t="str">
            <v>彭孝琼</v>
          </cell>
          <cell r="C359" t="str">
            <v>装配车间</v>
          </cell>
        </row>
        <row r="360">
          <cell r="A360" t="str">
            <v>0363</v>
          </cell>
          <cell r="B360" t="str">
            <v>张月忠</v>
          </cell>
          <cell r="C360" t="str">
            <v>装配车间</v>
          </cell>
        </row>
        <row r="361">
          <cell r="A361" t="str">
            <v>0364</v>
          </cell>
          <cell r="B361" t="str">
            <v>王芳</v>
          </cell>
          <cell r="C361" t="str">
            <v>装配车间</v>
          </cell>
        </row>
        <row r="362">
          <cell r="A362" t="str">
            <v>0365</v>
          </cell>
          <cell r="B362" t="str">
            <v>高春艳</v>
          </cell>
          <cell r="C362" t="str">
            <v>油漆车间</v>
          </cell>
        </row>
        <row r="363">
          <cell r="A363" t="str">
            <v>0366</v>
          </cell>
          <cell r="B363" t="str">
            <v>谢良文</v>
          </cell>
          <cell r="C363" t="str">
            <v>机加车间</v>
          </cell>
        </row>
        <row r="364">
          <cell r="A364" t="str">
            <v>0367</v>
          </cell>
          <cell r="B364" t="str">
            <v>母顺顺</v>
          </cell>
          <cell r="C364" t="str">
            <v>机加车间</v>
          </cell>
        </row>
        <row r="365">
          <cell r="A365" t="str">
            <v>0368</v>
          </cell>
          <cell r="B365" t="str">
            <v>刘双江</v>
          </cell>
          <cell r="C365" t="str">
            <v>装配车间</v>
          </cell>
        </row>
        <row r="366">
          <cell r="A366" t="str">
            <v>0369</v>
          </cell>
          <cell r="B366" t="str">
            <v>张威</v>
          </cell>
          <cell r="C366" t="str">
            <v>机械设计部</v>
          </cell>
        </row>
        <row r="367">
          <cell r="A367" t="str">
            <v>0370</v>
          </cell>
          <cell r="B367" t="str">
            <v>薛帅帅</v>
          </cell>
          <cell r="C367" t="str">
            <v>项目工程部</v>
          </cell>
        </row>
        <row r="368">
          <cell r="A368" t="str">
            <v>0371</v>
          </cell>
          <cell r="B368" t="str">
            <v>王传华</v>
          </cell>
          <cell r="C368" t="str">
            <v>机械设计部</v>
          </cell>
        </row>
        <row r="369">
          <cell r="A369" t="str">
            <v>0372</v>
          </cell>
          <cell r="B369" t="str">
            <v>邱言浩</v>
          </cell>
          <cell r="C369" t="str">
            <v>机械设计部</v>
          </cell>
        </row>
        <row r="370">
          <cell r="A370" t="str">
            <v>0373</v>
          </cell>
          <cell r="B370" t="str">
            <v>徐昭帆</v>
          </cell>
          <cell r="C370" t="str">
            <v>机械设计部</v>
          </cell>
        </row>
        <row r="371">
          <cell r="A371" t="str">
            <v>0374</v>
          </cell>
          <cell r="B371" t="str">
            <v>陈少恒</v>
          </cell>
          <cell r="C371" t="str">
            <v>机械设计部</v>
          </cell>
        </row>
        <row r="372">
          <cell r="A372" t="str">
            <v>0375</v>
          </cell>
          <cell r="B372" t="str">
            <v>陶祥季</v>
          </cell>
          <cell r="C372" t="str">
            <v>机械设计部</v>
          </cell>
        </row>
        <row r="373">
          <cell r="A373" t="str">
            <v>0376</v>
          </cell>
          <cell r="B373" t="str">
            <v>李强</v>
          </cell>
          <cell r="C373" t="str">
            <v>机械设计部</v>
          </cell>
        </row>
        <row r="374">
          <cell r="A374" t="str">
            <v>0377</v>
          </cell>
          <cell r="B374" t="str">
            <v>杨创</v>
          </cell>
          <cell r="C374" t="str">
            <v>机械设计部</v>
          </cell>
        </row>
        <row r="375">
          <cell r="A375" t="str">
            <v>0378</v>
          </cell>
          <cell r="B375" t="str">
            <v>郭雄文</v>
          </cell>
          <cell r="C375" t="str">
            <v>装配车间</v>
          </cell>
        </row>
        <row r="376">
          <cell r="A376" t="str">
            <v>0379</v>
          </cell>
          <cell r="B376" t="str">
            <v>李翠红</v>
          </cell>
          <cell r="C376" t="str">
            <v>测量室</v>
          </cell>
        </row>
        <row r="377">
          <cell r="A377" t="str">
            <v>0380</v>
          </cell>
          <cell r="B377" t="str">
            <v>张和平</v>
          </cell>
          <cell r="C377" t="str">
            <v>装配车间</v>
          </cell>
        </row>
        <row r="378">
          <cell r="A378" t="str">
            <v>0381</v>
          </cell>
          <cell r="B378" t="str">
            <v>赵宇</v>
          </cell>
          <cell r="C378" t="str">
            <v>机械设计部</v>
          </cell>
        </row>
        <row r="379">
          <cell r="A379" t="str">
            <v>0382</v>
          </cell>
          <cell r="B379" t="str">
            <v>罗瑞</v>
          </cell>
          <cell r="C379" t="str">
            <v>机械设计部</v>
          </cell>
        </row>
        <row r="380">
          <cell r="A380" t="str">
            <v>0383</v>
          </cell>
          <cell r="B380" t="str">
            <v>禄旭园</v>
          </cell>
          <cell r="C380" t="str">
            <v>机械设计部</v>
          </cell>
        </row>
        <row r="381">
          <cell r="A381" t="str">
            <v>0384</v>
          </cell>
          <cell r="B381" t="str">
            <v>梁京凯</v>
          </cell>
          <cell r="C381" t="str">
            <v>工艺规划部</v>
          </cell>
        </row>
        <row r="382">
          <cell r="A382" t="str">
            <v>0385</v>
          </cell>
          <cell r="B382" t="str">
            <v>陆亦斌</v>
          </cell>
          <cell r="C382" t="str">
            <v>工艺规划部</v>
          </cell>
        </row>
        <row r="383">
          <cell r="A383" t="str">
            <v>0386</v>
          </cell>
          <cell r="B383" t="str">
            <v>闫璐伟</v>
          </cell>
          <cell r="C383" t="str">
            <v>工艺规划部</v>
          </cell>
        </row>
        <row r="384">
          <cell r="A384" t="str">
            <v>0387</v>
          </cell>
          <cell r="B384" t="str">
            <v>王雷雨</v>
          </cell>
          <cell r="C384" t="str">
            <v>装配车间</v>
          </cell>
        </row>
        <row r="385">
          <cell r="A385" t="str">
            <v>0388</v>
          </cell>
          <cell r="B385" t="str">
            <v>郭慧</v>
          </cell>
          <cell r="C385" t="str">
            <v>机械设计部</v>
          </cell>
        </row>
        <row r="386">
          <cell r="A386" t="str">
            <v>0389</v>
          </cell>
          <cell r="B386" t="str">
            <v>张艳丽</v>
          </cell>
          <cell r="C386" t="str">
            <v>电气自动化部</v>
          </cell>
        </row>
        <row r="387">
          <cell r="A387" t="str">
            <v>0390</v>
          </cell>
          <cell r="B387" t="str">
            <v>刘晓庆</v>
          </cell>
          <cell r="C387" t="str">
            <v>装配车间</v>
          </cell>
        </row>
        <row r="388">
          <cell r="A388" t="str">
            <v>0391</v>
          </cell>
          <cell r="B388" t="str">
            <v>刘刚</v>
          </cell>
          <cell r="C388" t="str">
            <v>装配车间</v>
          </cell>
        </row>
        <row r="389">
          <cell r="A389" t="str">
            <v>0392</v>
          </cell>
          <cell r="B389" t="str">
            <v>董顺利</v>
          </cell>
          <cell r="C389" t="str">
            <v>机加车间</v>
          </cell>
        </row>
        <row r="390">
          <cell r="A390" t="str">
            <v>0393</v>
          </cell>
          <cell r="B390" t="str">
            <v>吕倩</v>
          </cell>
          <cell r="C390" t="str">
            <v>采购部</v>
          </cell>
        </row>
        <row r="391">
          <cell r="A391" t="str">
            <v>0394</v>
          </cell>
          <cell r="B391" t="str">
            <v>张华来</v>
          </cell>
          <cell r="C391" t="str">
            <v>铆焊车间</v>
          </cell>
        </row>
        <row r="392">
          <cell r="A392" t="str">
            <v>0395</v>
          </cell>
          <cell r="B392" t="str">
            <v>景海浪</v>
          </cell>
          <cell r="C392" t="str">
            <v>项目工程部</v>
          </cell>
        </row>
        <row r="393">
          <cell r="A393" t="str">
            <v>0396</v>
          </cell>
          <cell r="B393" t="str">
            <v>林克华</v>
          </cell>
          <cell r="C393" t="str">
            <v>工艺规划部</v>
          </cell>
        </row>
        <row r="394">
          <cell r="A394" t="str">
            <v>0397</v>
          </cell>
          <cell r="B394" t="str">
            <v>张七妹</v>
          </cell>
          <cell r="C394" t="str">
            <v>后勤管理部</v>
          </cell>
        </row>
        <row r="395">
          <cell r="A395" t="str">
            <v>0398</v>
          </cell>
          <cell r="B395" t="str">
            <v>赵凤仙</v>
          </cell>
          <cell r="C395" t="str">
            <v>后勤管理部</v>
          </cell>
        </row>
        <row r="396">
          <cell r="A396" t="str">
            <v>0399</v>
          </cell>
          <cell r="B396" t="str">
            <v>瞿根妹</v>
          </cell>
          <cell r="C396" t="str">
            <v>后勤管理部</v>
          </cell>
        </row>
        <row r="397">
          <cell r="A397" t="str">
            <v>0400</v>
          </cell>
          <cell r="B397" t="str">
            <v>王海旭</v>
          </cell>
          <cell r="C397" t="str">
            <v>工艺规划部</v>
          </cell>
        </row>
        <row r="398">
          <cell r="A398" t="str">
            <v>0401</v>
          </cell>
          <cell r="B398" t="str">
            <v>祁昌虎</v>
          </cell>
          <cell r="C398" t="str">
            <v>装配车间</v>
          </cell>
        </row>
        <row r="399">
          <cell r="A399" t="str">
            <v>0402</v>
          </cell>
          <cell r="B399" t="str">
            <v>娄维维</v>
          </cell>
          <cell r="C399" t="str">
            <v>工艺规划部</v>
          </cell>
        </row>
        <row r="400">
          <cell r="A400" t="str">
            <v>0403</v>
          </cell>
          <cell r="B400" t="str">
            <v>屈爱国</v>
          </cell>
          <cell r="C400" t="str">
            <v>机加车间</v>
          </cell>
        </row>
        <row r="401">
          <cell r="A401" t="str">
            <v>0404</v>
          </cell>
          <cell r="B401" t="str">
            <v>朱井中</v>
          </cell>
          <cell r="C401" t="str">
            <v>机加车间</v>
          </cell>
        </row>
        <row r="402">
          <cell r="A402" t="str">
            <v>0405</v>
          </cell>
          <cell r="B402" t="str">
            <v>刘宗国</v>
          </cell>
          <cell r="C402" t="str">
            <v>铆焊车间</v>
          </cell>
        </row>
        <row r="403">
          <cell r="A403" t="str">
            <v>0406</v>
          </cell>
          <cell r="B403" t="str">
            <v>安冬野</v>
          </cell>
          <cell r="C403" t="str">
            <v>机加车间</v>
          </cell>
        </row>
        <row r="404">
          <cell r="A404" t="str">
            <v>0407</v>
          </cell>
          <cell r="B404" t="str">
            <v>张佩佩</v>
          </cell>
          <cell r="C404" t="str">
            <v>采购部</v>
          </cell>
        </row>
        <row r="405">
          <cell r="A405" t="str">
            <v>0408</v>
          </cell>
          <cell r="B405" t="str">
            <v>李新强</v>
          </cell>
          <cell r="C405" t="str">
            <v>装配车间</v>
          </cell>
        </row>
        <row r="406">
          <cell r="A406" t="str">
            <v>0409</v>
          </cell>
          <cell r="B406" t="str">
            <v>刘国青</v>
          </cell>
          <cell r="C406" t="str">
            <v>铆焊车间</v>
          </cell>
        </row>
        <row r="407">
          <cell r="A407" t="str">
            <v>0410</v>
          </cell>
          <cell r="B407" t="str">
            <v>李响</v>
          </cell>
          <cell r="C407" t="str">
            <v>装配车间</v>
          </cell>
        </row>
        <row r="408">
          <cell r="A408" t="str">
            <v>0411</v>
          </cell>
          <cell r="B408" t="str">
            <v>温乃强</v>
          </cell>
          <cell r="C408" t="str">
            <v>工艺规划部</v>
          </cell>
        </row>
        <row r="409">
          <cell r="A409" t="str">
            <v>0412</v>
          </cell>
          <cell r="B409" t="str">
            <v>蔡鹏飞</v>
          </cell>
          <cell r="C409" t="str">
            <v>工艺规划部</v>
          </cell>
        </row>
        <row r="410">
          <cell r="A410" t="str">
            <v>0413</v>
          </cell>
          <cell r="B410" t="str">
            <v>孙梁宏</v>
          </cell>
          <cell r="C410" t="str">
            <v>工艺规划部</v>
          </cell>
        </row>
        <row r="411">
          <cell r="A411" t="str">
            <v>0414</v>
          </cell>
          <cell r="B411" t="str">
            <v>何文好</v>
          </cell>
          <cell r="C411" t="str">
            <v>油漆车间</v>
          </cell>
        </row>
        <row r="412">
          <cell r="A412" t="str">
            <v>0415</v>
          </cell>
          <cell r="B412" t="str">
            <v>罗健华</v>
          </cell>
          <cell r="C412" t="str">
            <v>生产保障部</v>
          </cell>
        </row>
        <row r="413">
          <cell r="A413" t="str">
            <v>0416</v>
          </cell>
          <cell r="B413" t="str">
            <v>汤传明</v>
          </cell>
          <cell r="C413" t="str">
            <v>装配车间</v>
          </cell>
        </row>
        <row r="414">
          <cell r="A414" t="str">
            <v>0417</v>
          </cell>
          <cell r="B414" t="str">
            <v>潘川</v>
          </cell>
          <cell r="C414" t="str">
            <v>装配车间</v>
          </cell>
        </row>
        <row r="415">
          <cell r="A415" t="str">
            <v>0418</v>
          </cell>
          <cell r="B415" t="str">
            <v>夏福章</v>
          </cell>
          <cell r="C415" t="str">
            <v>装配车间</v>
          </cell>
        </row>
        <row r="416">
          <cell r="A416" t="str">
            <v>0419</v>
          </cell>
          <cell r="B416" t="str">
            <v>许之文</v>
          </cell>
          <cell r="C416" t="str">
            <v>装配车间</v>
          </cell>
        </row>
        <row r="417">
          <cell r="A417" t="str">
            <v>0420</v>
          </cell>
          <cell r="B417" t="str">
            <v>秦智力</v>
          </cell>
          <cell r="C417" t="str">
            <v>铆焊车间</v>
          </cell>
        </row>
        <row r="418">
          <cell r="A418" t="str">
            <v>0421</v>
          </cell>
          <cell r="B418" t="str">
            <v>郭遵行</v>
          </cell>
          <cell r="C418" t="str">
            <v>机加车间</v>
          </cell>
        </row>
        <row r="419">
          <cell r="A419" t="str">
            <v>0422</v>
          </cell>
          <cell r="B419" t="str">
            <v>张森华</v>
          </cell>
          <cell r="C419" t="str">
            <v>工艺规划部</v>
          </cell>
        </row>
        <row r="420">
          <cell r="A420" t="str">
            <v>0423</v>
          </cell>
          <cell r="B420" t="str">
            <v>周冠东</v>
          </cell>
          <cell r="C420" t="str">
            <v>铆焊车间</v>
          </cell>
        </row>
        <row r="421">
          <cell r="A421" t="str">
            <v>0424</v>
          </cell>
          <cell r="B421" t="str">
            <v>柯家平</v>
          </cell>
          <cell r="C421" t="str">
            <v>铆焊车间</v>
          </cell>
        </row>
        <row r="422">
          <cell r="A422" t="str">
            <v>0425</v>
          </cell>
          <cell r="B422" t="str">
            <v>肖和平</v>
          </cell>
          <cell r="C422" t="str">
            <v>装配车间</v>
          </cell>
        </row>
        <row r="423">
          <cell r="A423" t="str">
            <v>0426</v>
          </cell>
          <cell r="B423" t="str">
            <v>张霞</v>
          </cell>
          <cell r="C423" t="str">
            <v>装配车间</v>
          </cell>
        </row>
        <row r="424">
          <cell r="A424" t="str">
            <v>0427</v>
          </cell>
          <cell r="B424" t="str">
            <v>张丰</v>
          </cell>
          <cell r="C424" t="str">
            <v>机加车间</v>
          </cell>
        </row>
        <row r="425">
          <cell r="A425" t="str">
            <v>0428</v>
          </cell>
          <cell r="B425" t="str">
            <v>王银华</v>
          </cell>
          <cell r="C425" t="str">
            <v>采购部</v>
          </cell>
        </row>
        <row r="426">
          <cell r="A426" t="str">
            <v>0429</v>
          </cell>
          <cell r="B426" t="str">
            <v>李光金</v>
          </cell>
          <cell r="C426" t="str">
            <v>装配车间</v>
          </cell>
        </row>
        <row r="427">
          <cell r="A427" t="str">
            <v>0430</v>
          </cell>
          <cell r="B427" t="str">
            <v>黄东旭重</v>
          </cell>
          <cell r="C427" t="str">
            <v>装配车间</v>
          </cell>
        </row>
        <row r="428">
          <cell r="A428" t="str">
            <v>0431</v>
          </cell>
          <cell r="B428" t="str">
            <v>姚红卫</v>
          </cell>
          <cell r="C428" t="str">
            <v>装配车间</v>
          </cell>
        </row>
        <row r="429">
          <cell r="A429" t="str">
            <v>0432</v>
          </cell>
          <cell r="B429" t="str">
            <v>项光辉</v>
          </cell>
          <cell r="C429" t="str">
            <v>装配车间</v>
          </cell>
        </row>
        <row r="430">
          <cell r="A430" t="str">
            <v>0433</v>
          </cell>
          <cell r="B430" t="str">
            <v>陈林国</v>
          </cell>
          <cell r="C430" t="str">
            <v>铆焊车间</v>
          </cell>
        </row>
        <row r="431">
          <cell r="A431" t="str">
            <v>0434</v>
          </cell>
          <cell r="B431" t="str">
            <v>金单单</v>
          </cell>
          <cell r="C431" t="str">
            <v>铆焊车间</v>
          </cell>
        </row>
        <row r="432">
          <cell r="A432" t="str">
            <v>0435</v>
          </cell>
          <cell r="B432" t="str">
            <v>章小飞</v>
          </cell>
          <cell r="C432" t="str">
            <v>铆焊车间</v>
          </cell>
        </row>
        <row r="433">
          <cell r="A433" t="str">
            <v>0436</v>
          </cell>
          <cell r="B433" t="str">
            <v>章小民</v>
          </cell>
          <cell r="C433" t="str">
            <v>铆焊车间</v>
          </cell>
        </row>
        <row r="434">
          <cell r="A434" t="str">
            <v>0437</v>
          </cell>
          <cell r="B434" t="str">
            <v>何林蒙</v>
          </cell>
          <cell r="C434" t="str">
            <v>机加车间</v>
          </cell>
        </row>
        <row r="435">
          <cell r="A435" t="str">
            <v>0438</v>
          </cell>
          <cell r="B435" t="str">
            <v>余灵永</v>
          </cell>
          <cell r="C435" t="str">
            <v>工艺规划部</v>
          </cell>
        </row>
        <row r="436">
          <cell r="A436" t="str">
            <v>0439</v>
          </cell>
          <cell r="B436" t="str">
            <v>许哲强</v>
          </cell>
          <cell r="C436" t="str">
            <v>工艺规划部</v>
          </cell>
        </row>
        <row r="437">
          <cell r="A437" t="str">
            <v>0440</v>
          </cell>
          <cell r="B437" t="str">
            <v>高军</v>
          </cell>
          <cell r="C437" t="str">
            <v>铆焊车间</v>
          </cell>
        </row>
        <row r="438">
          <cell r="A438" t="str">
            <v>0441</v>
          </cell>
          <cell r="B438" t="str">
            <v>李先义</v>
          </cell>
          <cell r="C438" t="str">
            <v>机加车间</v>
          </cell>
        </row>
        <row r="439">
          <cell r="A439" t="str">
            <v>0442</v>
          </cell>
          <cell r="B439" t="str">
            <v>余佳盛</v>
          </cell>
          <cell r="C439" t="str">
            <v>工艺规划部</v>
          </cell>
        </row>
        <row r="440">
          <cell r="A440" t="str">
            <v>0443</v>
          </cell>
          <cell r="B440" t="str">
            <v>侯志辉</v>
          </cell>
          <cell r="C440" t="str">
            <v>装配车间</v>
          </cell>
        </row>
        <row r="441">
          <cell r="A441" t="str">
            <v>0444</v>
          </cell>
          <cell r="B441" t="str">
            <v>王永益</v>
          </cell>
          <cell r="C441" t="str">
            <v>机加车间</v>
          </cell>
        </row>
        <row r="442">
          <cell r="A442" t="str">
            <v>0446</v>
          </cell>
          <cell r="B442" t="str">
            <v>苏正书</v>
          </cell>
          <cell r="C442" t="str">
            <v>后勤管理部</v>
          </cell>
        </row>
        <row r="443">
          <cell r="A443" t="str">
            <v>0447</v>
          </cell>
          <cell r="B443" t="str">
            <v>宋爱芳</v>
          </cell>
          <cell r="C443" t="str">
            <v>测量室</v>
          </cell>
        </row>
        <row r="444">
          <cell r="A444" t="str">
            <v>0448</v>
          </cell>
          <cell r="B444" t="str">
            <v>孙学奎</v>
          </cell>
          <cell r="C444" t="str">
            <v>装配车间</v>
          </cell>
        </row>
        <row r="445">
          <cell r="A445" t="str">
            <v>0449</v>
          </cell>
          <cell r="B445" t="str">
            <v>孙贝贝</v>
          </cell>
          <cell r="C445" t="str">
            <v>装配车间</v>
          </cell>
        </row>
        <row r="446">
          <cell r="A446" t="str">
            <v>0450</v>
          </cell>
          <cell r="B446" t="str">
            <v>孙兵兵</v>
          </cell>
          <cell r="C446" t="str">
            <v>装配车间</v>
          </cell>
        </row>
        <row r="447">
          <cell r="A447" t="str">
            <v>0451</v>
          </cell>
          <cell r="B447" t="str">
            <v>安为民</v>
          </cell>
          <cell r="C447" t="str">
            <v>装配车间</v>
          </cell>
        </row>
        <row r="448">
          <cell r="A448" t="str">
            <v>0452</v>
          </cell>
          <cell r="B448" t="str">
            <v>徐海英</v>
          </cell>
          <cell r="C448" t="str">
            <v>资产财务部</v>
          </cell>
        </row>
        <row r="449">
          <cell r="A449" t="str">
            <v>0453</v>
          </cell>
          <cell r="B449" t="str">
            <v>田正轩</v>
          </cell>
          <cell r="C449" t="str">
            <v>机械设计部</v>
          </cell>
        </row>
        <row r="450">
          <cell r="A450" t="str">
            <v>0454</v>
          </cell>
          <cell r="B450" t="str">
            <v>李雄</v>
          </cell>
          <cell r="C450" t="str">
            <v>机加车间</v>
          </cell>
        </row>
        <row r="451">
          <cell r="A451" t="str">
            <v>0455</v>
          </cell>
          <cell r="B451" t="str">
            <v>温乃年</v>
          </cell>
          <cell r="C451" t="str">
            <v>工艺规划部</v>
          </cell>
        </row>
        <row r="452">
          <cell r="A452" t="str">
            <v>0456</v>
          </cell>
          <cell r="B452" t="str">
            <v>王梦波</v>
          </cell>
          <cell r="C452" t="str">
            <v>测量室</v>
          </cell>
        </row>
        <row r="453">
          <cell r="A453" t="str">
            <v>0457</v>
          </cell>
          <cell r="B453" t="str">
            <v>丁诗萍</v>
          </cell>
          <cell r="C453" t="str">
            <v>项目工程部</v>
          </cell>
        </row>
        <row r="454">
          <cell r="A454" t="str">
            <v>0458</v>
          </cell>
          <cell r="B454" t="str">
            <v>王金智</v>
          </cell>
          <cell r="C454" t="str">
            <v>机加车间</v>
          </cell>
        </row>
        <row r="455">
          <cell r="A455" t="str">
            <v>0459</v>
          </cell>
          <cell r="B455" t="str">
            <v>李先羲</v>
          </cell>
          <cell r="C455" t="str">
            <v>机加车间</v>
          </cell>
        </row>
        <row r="456">
          <cell r="A456" t="str">
            <v>0460</v>
          </cell>
          <cell r="B456" t="str">
            <v>何新平</v>
          </cell>
          <cell r="C456" t="str">
            <v>机加车间</v>
          </cell>
        </row>
        <row r="457">
          <cell r="A457" t="str">
            <v>0461</v>
          </cell>
          <cell r="B457" t="str">
            <v>刘衍志</v>
          </cell>
          <cell r="C457" t="str">
            <v>装配车间</v>
          </cell>
        </row>
        <row r="458">
          <cell r="A458" t="str">
            <v>0462</v>
          </cell>
          <cell r="B458" t="str">
            <v>杨珍龙</v>
          </cell>
          <cell r="C458" t="str">
            <v>工艺规划部</v>
          </cell>
        </row>
        <row r="459">
          <cell r="A459" t="str">
            <v>0463</v>
          </cell>
          <cell r="B459" t="str">
            <v>张印</v>
          </cell>
          <cell r="C459" t="str">
            <v>装配车间</v>
          </cell>
        </row>
        <row r="460">
          <cell r="A460" t="str">
            <v>0464</v>
          </cell>
          <cell r="B460" t="str">
            <v>何生</v>
          </cell>
          <cell r="C460" t="str">
            <v>机加车间</v>
          </cell>
        </row>
        <row r="461">
          <cell r="A461" t="str">
            <v>0465</v>
          </cell>
          <cell r="B461" t="str">
            <v>李栋良</v>
          </cell>
          <cell r="C461" t="str">
            <v>机加车间</v>
          </cell>
        </row>
        <row r="462">
          <cell r="A462" t="str">
            <v>0466</v>
          </cell>
          <cell r="B462" t="str">
            <v>郭芝中</v>
          </cell>
          <cell r="C462" t="str">
            <v>装配车间</v>
          </cell>
        </row>
        <row r="463">
          <cell r="A463" t="str">
            <v>0467</v>
          </cell>
          <cell r="B463" t="str">
            <v>吴超超</v>
          </cell>
          <cell r="C463" t="str">
            <v>机加车间</v>
          </cell>
        </row>
        <row r="464">
          <cell r="A464" t="str">
            <v>0468</v>
          </cell>
          <cell r="B464" t="str">
            <v>李利波</v>
          </cell>
          <cell r="C464" t="str">
            <v>装配车间</v>
          </cell>
        </row>
        <row r="465">
          <cell r="A465" t="str">
            <v>0469</v>
          </cell>
          <cell r="B465" t="str">
            <v>何芝平</v>
          </cell>
          <cell r="C465" t="str">
            <v>装配车间</v>
          </cell>
        </row>
        <row r="466">
          <cell r="A466" t="str">
            <v>0470</v>
          </cell>
          <cell r="B466" t="str">
            <v>杨志勇</v>
          </cell>
          <cell r="C466" t="str">
            <v>工艺规划部</v>
          </cell>
        </row>
        <row r="467">
          <cell r="A467" t="str">
            <v>0471</v>
          </cell>
          <cell r="B467" t="str">
            <v>时洪波</v>
          </cell>
          <cell r="C467" t="str">
            <v>机械设计部</v>
          </cell>
        </row>
        <row r="468">
          <cell r="A468" t="str">
            <v>0472</v>
          </cell>
          <cell r="B468" t="str">
            <v>乔中朋</v>
          </cell>
          <cell r="C468" t="str">
            <v>工艺规划部</v>
          </cell>
        </row>
        <row r="469">
          <cell r="A469" t="str">
            <v>0473</v>
          </cell>
          <cell r="B469" t="str">
            <v>田俊领</v>
          </cell>
          <cell r="C469" t="str">
            <v>装配车间</v>
          </cell>
        </row>
        <row r="470">
          <cell r="A470" t="str">
            <v>0474</v>
          </cell>
          <cell r="B470" t="str">
            <v>李漫辉</v>
          </cell>
          <cell r="C470" t="str">
            <v>工艺规划部</v>
          </cell>
        </row>
        <row r="471">
          <cell r="A471" t="str">
            <v>0475</v>
          </cell>
          <cell r="B471" t="str">
            <v>涂春</v>
          </cell>
          <cell r="C471" t="str">
            <v>油漆车间</v>
          </cell>
        </row>
        <row r="472">
          <cell r="A472" t="str">
            <v>0476</v>
          </cell>
          <cell r="B472" t="str">
            <v>张昊</v>
          </cell>
          <cell r="C472" t="str">
            <v>装配车间</v>
          </cell>
        </row>
        <row r="473">
          <cell r="A473" t="str">
            <v>0477</v>
          </cell>
          <cell r="B473" t="str">
            <v>吴明山</v>
          </cell>
          <cell r="C473" t="str">
            <v>工艺规划部</v>
          </cell>
        </row>
        <row r="474">
          <cell r="A474" t="str">
            <v>0478</v>
          </cell>
          <cell r="B474" t="str">
            <v>李富胜</v>
          </cell>
          <cell r="C474" t="str">
            <v>工艺规划部</v>
          </cell>
        </row>
        <row r="475">
          <cell r="A475" t="str">
            <v>0479</v>
          </cell>
          <cell r="B475" t="str">
            <v>张柳</v>
          </cell>
          <cell r="C475" t="str">
            <v>装配车间</v>
          </cell>
        </row>
        <row r="476">
          <cell r="A476" t="str">
            <v>0483</v>
          </cell>
          <cell r="B476" t="str">
            <v>张培民</v>
          </cell>
          <cell r="C476" t="str">
            <v>电气自动化部</v>
          </cell>
        </row>
        <row r="477">
          <cell r="A477" t="str">
            <v>0484</v>
          </cell>
          <cell r="B477" t="str">
            <v>姚凤</v>
          </cell>
          <cell r="C477" t="str">
            <v>采购部</v>
          </cell>
        </row>
        <row r="478">
          <cell r="A478" t="str">
            <v>0485</v>
          </cell>
          <cell r="B478" t="str">
            <v>闫俊生</v>
          </cell>
          <cell r="C478" t="str">
            <v>装配车间</v>
          </cell>
        </row>
        <row r="479">
          <cell r="A479" t="str">
            <v>0486</v>
          </cell>
          <cell r="B479" t="str">
            <v>游文博</v>
          </cell>
          <cell r="C479" t="str">
            <v>装配车间</v>
          </cell>
        </row>
        <row r="480">
          <cell r="A480" t="str">
            <v>0487</v>
          </cell>
          <cell r="B480" t="str">
            <v>李老三</v>
          </cell>
          <cell r="C480" t="str">
            <v>装配车间</v>
          </cell>
        </row>
        <row r="481">
          <cell r="A481" t="str">
            <v>0488</v>
          </cell>
          <cell r="B481" t="str">
            <v>佘中荣</v>
          </cell>
          <cell r="C481" t="str">
            <v>机加车间</v>
          </cell>
        </row>
        <row r="482">
          <cell r="A482" t="str">
            <v>0489</v>
          </cell>
          <cell r="B482" t="str">
            <v>曹佳佳</v>
          </cell>
          <cell r="C482" t="str">
            <v>机加车间</v>
          </cell>
        </row>
        <row r="483">
          <cell r="A483" t="str">
            <v>0490</v>
          </cell>
          <cell r="B483" t="str">
            <v>刘国云</v>
          </cell>
          <cell r="C483" t="str">
            <v>铆焊车间</v>
          </cell>
        </row>
        <row r="484">
          <cell r="A484" t="str">
            <v>0491</v>
          </cell>
          <cell r="B484" t="str">
            <v>韩红正</v>
          </cell>
          <cell r="C484" t="str">
            <v>项目工程部</v>
          </cell>
        </row>
        <row r="485">
          <cell r="A485" t="str">
            <v>0492</v>
          </cell>
          <cell r="B485" t="str">
            <v>王贺炳</v>
          </cell>
          <cell r="C485" t="str">
            <v>项目工程部</v>
          </cell>
        </row>
        <row r="486">
          <cell r="A486" t="str">
            <v>0493</v>
          </cell>
          <cell r="B486" t="str">
            <v>贾双鹏</v>
          </cell>
          <cell r="C486" t="str">
            <v>工艺规划部</v>
          </cell>
        </row>
        <row r="487">
          <cell r="A487" t="str">
            <v>0494</v>
          </cell>
          <cell r="B487" t="str">
            <v>刘强</v>
          </cell>
          <cell r="C487" t="str">
            <v>电气自动化部</v>
          </cell>
        </row>
        <row r="488">
          <cell r="A488" t="str">
            <v>0495</v>
          </cell>
          <cell r="B488" t="str">
            <v>蔡生勤</v>
          </cell>
          <cell r="C488" t="str">
            <v>6S管理部</v>
          </cell>
        </row>
        <row r="489">
          <cell r="A489" t="str">
            <v>0496</v>
          </cell>
          <cell r="B489" t="str">
            <v>李洋</v>
          </cell>
          <cell r="C489" t="str">
            <v>工艺规划部</v>
          </cell>
        </row>
        <row r="490">
          <cell r="A490" t="str">
            <v>0497</v>
          </cell>
          <cell r="B490" t="str">
            <v>孙振明</v>
          </cell>
          <cell r="C490" t="str">
            <v>机械设计部</v>
          </cell>
        </row>
        <row r="491">
          <cell r="A491" t="str">
            <v>0498</v>
          </cell>
          <cell r="B491" t="str">
            <v>王志刚</v>
          </cell>
          <cell r="C491" t="str">
            <v>工艺规划部</v>
          </cell>
        </row>
        <row r="492">
          <cell r="A492" t="str">
            <v>0499</v>
          </cell>
          <cell r="B492" t="str">
            <v>徐成香</v>
          </cell>
          <cell r="C492" t="str">
            <v>装配车间</v>
          </cell>
        </row>
        <row r="493">
          <cell r="A493" t="str">
            <v>0500</v>
          </cell>
          <cell r="B493" t="str">
            <v>奚秋镇</v>
          </cell>
          <cell r="C493" t="str">
            <v>机械设计部</v>
          </cell>
        </row>
        <row r="494">
          <cell r="A494" t="str">
            <v>0501</v>
          </cell>
          <cell r="B494" t="str">
            <v>罗林</v>
          </cell>
          <cell r="C494" t="str">
            <v>机械设计部</v>
          </cell>
        </row>
        <row r="495">
          <cell r="A495" t="str">
            <v>0502</v>
          </cell>
          <cell r="B495" t="str">
            <v>吴鹏</v>
          </cell>
          <cell r="C495" t="str">
            <v>工艺规划部</v>
          </cell>
        </row>
        <row r="496">
          <cell r="A496" t="str">
            <v>0503</v>
          </cell>
          <cell r="B496" t="str">
            <v>崔帅军</v>
          </cell>
          <cell r="C496" t="str">
            <v>装配车间</v>
          </cell>
        </row>
        <row r="497">
          <cell r="A497" t="str">
            <v>0504</v>
          </cell>
          <cell r="B497" t="str">
            <v>陈巧荣</v>
          </cell>
          <cell r="C497" t="str">
            <v>机械设计部</v>
          </cell>
        </row>
        <row r="498">
          <cell r="A498" t="str">
            <v>0505</v>
          </cell>
          <cell r="B498" t="str">
            <v>刘红俊</v>
          </cell>
          <cell r="C498" t="str">
            <v>机械设计部</v>
          </cell>
        </row>
        <row r="499">
          <cell r="A499" t="str">
            <v>0506</v>
          </cell>
          <cell r="B499" t="str">
            <v>刘昌帆</v>
          </cell>
          <cell r="C499" t="str">
            <v>机械设计部</v>
          </cell>
        </row>
        <row r="500">
          <cell r="A500" t="str">
            <v>0507</v>
          </cell>
          <cell r="B500" t="str">
            <v>朱友民</v>
          </cell>
          <cell r="C500" t="str">
            <v>铆焊车间</v>
          </cell>
        </row>
        <row r="501">
          <cell r="A501" t="str">
            <v>0508</v>
          </cell>
          <cell r="B501" t="str">
            <v>彭潇旭</v>
          </cell>
          <cell r="C501" t="str">
            <v>采购部</v>
          </cell>
        </row>
        <row r="502">
          <cell r="A502" t="str">
            <v>0509</v>
          </cell>
          <cell r="B502" t="str">
            <v>宋华美</v>
          </cell>
          <cell r="C502" t="str">
            <v>采购部</v>
          </cell>
        </row>
        <row r="503">
          <cell r="A503" t="str">
            <v>0510</v>
          </cell>
          <cell r="B503" t="str">
            <v>李宁宁</v>
          </cell>
          <cell r="C503" t="str">
            <v>装配车间</v>
          </cell>
        </row>
        <row r="504">
          <cell r="A504" t="str">
            <v>0511</v>
          </cell>
          <cell r="B504" t="str">
            <v>叶冬冬</v>
          </cell>
          <cell r="C504" t="str">
            <v>装配车间</v>
          </cell>
        </row>
        <row r="505">
          <cell r="A505" t="str">
            <v>0512</v>
          </cell>
          <cell r="B505" t="str">
            <v>褚玲玲</v>
          </cell>
          <cell r="C505" t="str">
            <v>仓库</v>
          </cell>
        </row>
        <row r="506">
          <cell r="A506" t="str">
            <v>0513</v>
          </cell>
          <cell r="B506" t="str">
            <v>胡志华</v>
          </cell>
          <cell r="C506" t="str">
            <v>仓库</v>
          </cell>
        </row>
        <row r="507">
          <cell r="A507" t="str">
            <v>0514</v>
          </cell>
          <cell r="B507" t="str">
            <v>张磊</v>
          </cell>
          <cell r="C507" t="str">
            <v>装配车间</v>
          </cell>
        </row>
        <row r="508">
          <cell r="A508" t="str">
            <v>0515</v>
          </cell>
          <cell r="B508" t="str">
            <v>姚丽莹</v>
          </cell>
          <cell r="C508" t="str">
            <v>采购部</v>
          </cell>
        </row>
        <row r="509">
          <cell r="A509" t="str">
            <v>0516</v>
          </cell>
          <cell r="B509" t="str">
            <v>冉茂全</v>
          </cell>
          <cell r="C509" t="str">
            <v>铆焊车间</v>
          </cell>
        </row>
        <row r="510">
          <cell r="A510" t="str">
            <v>0517</v>
          </cell>
          <cell r="B510" t="str">
            <v>樊华兴</v>
          </cell>
          <cell r="C510" t="str">
            <v>铆焊车间</v>
          </cell>
        </row>
        <row r="511">
          <cell r="A511" t="str">
            <v>0518</v>
          </cell>
          <cell r="B511" t="str">
            <v>刘航</v>
          </cell>
          <cell r="C511" t="str">
            <v>电气自动化部</v>
          </cell>
        </row>
        <row r="512">
          <cell r="A512" t="str">
            <v>0519</v>
          </cell>
          <cell r="B512" t="str">
            <v>陶振</v>
          </cell>
          <cell r="C512" t="str">
            <v>仓库</v>
          </cell>
        </row>
        <row r="513">
          <cell r="A513" t="str">
            <v>0520</v>
          </cell>
          <cell r="B513" t="str">
            <v>田艳飞</v>
          </cell>
          <cell r="C513" t="str">
            <v>装配车间</v>
          </cell>
        </row>
        <row r="514">
          <cell r="A514" t="str">
            <v>0521</v>
          </cell>
          <cell r="B514" t="str">
            <v>李中伟</v>
          </cell>
          <cell r="C514" t="str">
            <v>采购部</v>
          </cell>
        </row>
        <row r="515">
          <cell r="A515" t="str">
            <v>0522</v>
          </cell>
          <cell r="B515" t="str">
            <v>顾林林</v>
          </cell>
          <cell r="C515" t="str">
            <v>公司办公室</v>
          </cell>
        </row>
        <row r="516">
          <cell r="A516" t="str">
            <v>0523</v>
          </cell>
          <cell r="B516" t="str">
            <v>李燕菲</v>
          </cell>
          <cell r="C516" t="str">
            <v>工艺规划部</v>
          </cell>
        </row>
        <row r="517">
          <cell r="A517" t="str">
            <v>0524</v>
          </cell>
          <cell r="B517" t="str">
            <v>张语晴</v>
          </cell>
          <cell r="C517" t="str">
            <v>工艺规划部</v>
          </cell>
        </row>
        <row r="518">
          <cell r="A518" t="str">
            <v>0525</v>
          </cell>
          <cell r="B518" t="str">
            <v>顾晨</v>
          </cell>
          <cell r="C518" t="str">
            <v>机械设计部</v>
          </cell>
        </row>
        <row r="519">
          <cell r="A519" t="str">
            <v>0526</v>
          </cell>
          <cell r="B519" t="str">
            <v>周季</v>
          </cell>
          <cell r="C519" t="str">
            <v>项目工程部</v>
          </cell>
        </row>
        <row r="520">
          <cell r="A520" t="str">
            <v>0527</v>
          </cell>
          <cell r="B520" t="str">
            <v>张林</v>
          </cell>
          <cell r="C520" t="str">
            <v>铆焊车间</v>
          </cell>
        </row>
        <row r="521">
          <cell r="A521" t="str">
            <v>0528</v>
          </cell>
          <cell r="B521" t="str">
            <v>赵逢</v>
          </cell>
          <cell r="C521" t="str">
            <v>装配车间</v>
          </cell>
        </row>
        <row r="522">
          <cell r="A522" t="str">
            <v>0529</v>
          </cell>
          <cell r="B522" t="str">
            <v>熊雷</v>
          </cell>
          <cell r="C522" t="str">
            <v>装配车间</v>
          </cell>
        </row>
        <row r="523">
          <cell r="A523" t="str">
            <v>0530</v>
          </cell>
          <cell r="B523" t="str">
            <v>尹文强</v>
          </cell>
          <cell r="C523" t="str">
            <v>机加车间</v>
          </cell>
        </row>
        <row r="524">
          <cell r="A524" t="str">
            <v>0531</v>
          </cell>
          <cell r="B524" t="str">
            <v>顾峰</v>
          </cell>
          <cell r="C524" t="str">
            <v>项目工程部</v>
          </cell>
        </row>
        <row r="525">
          <cell r="A525" t="str">
            <v>0532</v>
          </cell>
          <cell r="B525" t="str">
            <v>魏萌</v>
          </cell>
          <cell r="C525" t="str">
            <v>机加车间</v>
          </cell>
        </row>
        <row r="526">
          <cell r="A526" t="str">
            <v>0533</v>
          </cell>
          <cell r="B526" t="str">
            <v>宋阳</v>
          </cell>
          <cell r="C526" t="str">
            <v>机加车间</v>
          </cell>
        </row>
        <row r="527">
          <cell r="A527" t="str">
            <v>0534</v>
          </cell>
          <cell r="B527" t="str">
            <v>戴新亮</v>
          </cell>
          <cell r="C527" t="str">
            <v>装配车间</v>
          </cell>
        </row>
        <row r="528">
          <cell r="A528" t="str">
            <v>0535</v>
          </cell>
          <cell r="B528" t="str">
            <v>吴成龙</v>
          </cell>
          <cell r="C528" t="str">
            <v>工艺规划部</v>
          </cell>
        </row>
        <row r="529">
          <cell r="A529" t="str">
            <v>0536</v>
          </cell>
          <cell r="B529" t="str">
            <v>吴华兵</v>
          </cell>
          <cell r="C529" t="str">
            <v>机械设计部</v>
          </cell>
        </row>
        <row r="530">
          <cell r="A530" t="str">
            <v>0537</v>
          </cell>
          <cell r="B530" t="str">
            <v>于常龙</v>
          </cell>
          <cell r="C530" t="str">
            <v>机械设计部</v>
          </cell>
        </row>
        <row r="531">
          <cell r="A531" t="str">
            <v>0538</v>
          </cell>
          <cell r="B531" t="str">
            <v>倪振</v>
          </cell>
          <cell r="C531" t="str">
            <v>机械设计部</v>
          </cell>
        </row>
        <row r="532">
          <cell r="A532" t="str">
            <v>0539</v>
          </cell>
          <cell r="B532" t="str">
            <v>郭智慧</v>
          </cell>
          <cell r="C532" t="str">
            <v>机械设计部</v>
          </cell>
        </row>
        <row r="533">
          <cell r="A533" t="str">
            <v>0540</v>
          </cell>
          <cell r="B533" t="str">
            <v>曹龙飞</v>
          </cell>
          <cell r="C533" t="str">
            <v>机械设计部</v>
          </cell>
        </row>
        <row r="534">
          <cell r="A534" t="str">
            <v>0541</v>
          </cell>
          <cell r="B534" t="str">
            <v>涂魁</v>
          </cell>
          <cell r="C534" t="str">
            <v>装配车间</v>
          </cell>
        </row>
        <row r="535">
          <cell r="A535" t="str">
            <v>0542</v>
          </cell>
          <cell r="B535" t="str">
            <v>黄武平</v>
          </cell>
          <cell r="C535" t="str">
            <v>机加车间</v>
          </cell>
        </row>
        <row r="536">
          <cell r="A536" t="str">
            <v>0543</v>
          </cell>
          <cell r="B536" t="str">
            <v>孔德宇</v>
          </cell>
          <cell r="C536" t="str">
            <v>装配车间</v>
          </cell>
        </row>
        <row r="537">
          <cell r="A537" t="str">
            <v>0544</v>
          </cell>
          <cell r="B537" t="str">
            <v>王斌</v>
          </cell>
          <cell r="C537" t="str">
            <v>机械设计部</v>
          </cell>
        </row>
        <row r="538">
          <cell r="A538" t="str">
            <v>0545</v>
          </cell>
          <cell r="B538" t="str">
            <v>王洁伟</v>
          </cell>
          <cell r="C538" t="str">
            <v>项目工程部</v>
          </cell>
        </row>
        <row r="539">
          <cell r="A539" t="str">
            <v>0546</v>
          </cell>
          <cell r="B539" t="str">
            <v>黄凯晨</v>
          </cell>
          <cell r="C539" t="str">
            <v>项目工程部</v>
          </cell>
        </row>
        <row r="540">
          <cell r="A540" t="str">
            <v>0547</v>
          </cell>
          <cell r="B540" t="str">
            <v>朱平</v>
          </cell>
          <cell r="C540" t="str">
            <v>工艺规划部</v>
          </cell>
        </row>
        <row r="541">
          <cell r="A541" t="str">
            <v>0548</v>
          </cell>
          <cell r="B541" t="str">
            <v>韩帆</v>
          </cell>
          <cell r="C541" t="str">
            <v>机械设计部</v>
          </cell>
        </row>
        <row r="542">
          <cell r="A542" t="str">
            <v>0549</v>
          </cell>
          <cell r="B542" t="str">
            <v>刘志鹏</v>
          </cell>
          <cell r="C542" t="str">
            <v>工艺规划部</v>
          </cell>
        </row>
        <row r="543">
          <cell r="A543" t="str">
            <v>0550</v>
          </cell>
          <cell r="B543" t="str">
            <v>王洪武</v>
          </cell>
          <cell r="C543" t="str">
            <v>项目工程部</v>
          </cell>
        </row>
        <row r="544">
          <cell r="A544" t="str">
            <v>0551</v>
          </cell>
          <cell r="B544" t="str">
            <v>封静轩</v>
          </cell>
          <cell r="C544" t="str">
            <v>机械设计部</v>
          </cell>
        </row>
        <row r="545">
          <cell r="A545" t="str">
            <v>0552</v>
          </cell>
          <cell r="B545" t="str">
            <v>陈建荣</v>
          </cell>
          <cell r="C545" t="str">
            <v>装配车间</v>
          </cell>
        </row>
        <row r="546">
          <cell r="A546" t="str">
            <v>0553</v>
          </cell>
          <cell r="B546" t="str">
            <v>曹进</v>
          </cell>
          <cell r="C546" t="str">
            <v>项目工程部</v>
          </cell>
        </row>
        <row r="547">
          <cell r="A547" t="str">
            <v>0554</v>
          </cell>
          <cell r="B547" t="str">
            <v>余雅丽</v>
          </cell>
          <cell r="C547" t="str">
            <v>工艺规划部</v>
          </cell>
        </row>
        <row r="548">
          <cell r="A548" t="str">
            <v>0555</v>
          </cell>
          <cell r="B548" t="str">
            <v>李明贵</v>
          </cell>
          <cell r="C548" t="str">
            <v>机加车间</v>
          </cell>
        </row>
        <row r="549">
          <cell r="A549" t="str">
            <v>0556</v>
          </cell>
          <cell r="B549" t="str">
            <v>冉星运</v>
          </cell>
          <cell r="C549" t="str">
            <v>机加车间</v>
          </cell>
        </row>
        <row r="550">
          <cell r="A550" t="str">
            <v>0557</v>
          </cell>
          <cell r="B550" t="str">
            <v>许兴</v>
          </cell>
          <cell r="C550" t="str">
            <v>装配车间</v>
          </cell>
        </row>
        <row r="551">
          <cell r="A551" t="str">
            <v>0558</v>
          </cell>
          <cell r="B551" t="str">
            <v>郭峰</v>
          </cell>
          <cell r="C551" t="str">
            <v>装配车间</v>
          </cell>
        </row>
        <row r="552">
          <cell r="A552" t="str">
            <v>0559</v>
          </cell>
          <cell r="B552" t="str">
            <v>勾湃</v>
          </cell>
          <cell r="C552" t="str">
            <v>装配车间</v>
          </cell>
        </row>
        <row r="553">
          <cell r="A553" t="str">
            <v>0560</v>
          </cell>
          <cell r="B553" t="str">
            <v>何磊</v>
          </cell>
          <cell r="C553" t="str">
            <v>机加车间</v>
          </cell>
        </row>
        <row r="554">
          <cell r="A554" t="str">
            <v>0561</v>
          </cell>
          <cell r="B554" t="str">
            <v>陈科</v>
          </cell>
          <cell r="C554" t="str">
            <v>项目工程部</v>
          </cell>
        </row>
        <row r="555">
          <cell r="A555" t="str">
            <v>0562</v>
          </cell>
          <cell r="B555" t="str">
            <v>邓桂红</v>
          </cell>
          <cell r="C555" t="str">
            <v>机械设计部</v>
          </cell>
        </row>
        <row r="556">
          <cell r="A556" t="str">
            <v>0563</v>
          </cell>
          <cell r="B556" t="str">
            <v>郭化民</v>
          </cell>
          <cell r="C556" t="str">
            <v>机加车间</v>
          </cell>
        </row>
        <row r="557">
          <cell r="A557" t="str">
            <v>0564</v>
          </cell>
          <cell r="B557" t="str">
            <v>张亚军</v>
          </cell>
          <cell r="C557" t="str">
            <v>机加车间</v>
          </cell>
        </row>
        <row r="558">
          <cell r="A558" t="str">
            <v>0565</v>
          </cell>
          <cell r="B558" t="str">
            <v>冯康清</v>
          </cell>
          <cell r="C558" t="str">
            <v>项目工程部</v>
          </cell>
        </row>
        <row r="559">
          <cell r="A559" t="str">
            <v>0566</v>
          </cell>
          <cell r="B559" t="str">
            <v>刘高洋</v>
          </cell>
          <cell r="C559" t="str">
            <v>项目工程部</v>
          </cell>
        </row>
        <row r="560">
          <cell r="A560" t="str">
            <v>0567</v>
          </cell>
          <cell r="B560" t="str">
            <v>王修稳</v>
          </cell>
          <cell r="C560" t="str">
            <v>项目工程部</v>
          </cell>
        </row>
        <row r="561">
          <cell r="A561" t="str">
            <v>0568</v>
          </cell>
          <cell r="B561" t="str">
            <v>杜大刚</v>
          </cell>
          <cell r="C561" t="str">
            <v>工艺规划部</v>
          </cell>
        </row>
        <row r="562">
          <cell r="A562" t="str">
            <v>0569</v>
          </cell>
          <cell r="B562" t="str">
            <v>彭小恩</v>
          </cell>
          <cell r="C562" t="str">
            <v>工艺规划部</v>
          </cell>
        </row>
        <row r="563">
          <cell r="A563" t="str">
            <v>0570</v>
          </cell>
          <cell r="B563" t="str">
            <v>龚攀攀</v>
          </cell>
          <cell r="C563" t="str">
            <v>工艺规划部</v>
          </cell>
        </row>
        <row r="564">
          <cell r="A564" t="str">
            <v>0571</v>
          </cell>
          <cell r="B564" t="str">
            <v>黄腾</v>
          </cell>
          <cell r="C564" t="str">
            <v>项目工程部</v>
          </cell>
        </row>
        <row r="565">
          <cell r="A565" t="str">
            <v>0572</v>
          </cell>
          <cell r="B565" t="str">
            <v>邹双</v>
          </cell>
          <cell r="C565" t="str">
            <v>6S管理部</v>
          </cell>
        </row>
        <row r="566">
          <cell r="A566" t="str">
            <v>0573</v>
          </cell>
          <cell r="B566" t="str">
            <v>瞿金明</v>
          </cell>
          <cell r="C566" t="str">
            <v>机械设计部</v>
          </cell>
        </row>
        <row r="567">
          <cell r="A567" t="str">
            <v>0574</v>
          </cell>
          <cell r="B567" t="str">
            <v>马艳梅</v>
          </cell>
          <cell r="C567" t="str">
            <v>人力资源部</v>
          </cell>
        </row>
        <row r="568">
          <cell r="A568" t="str">
            <v>0575</v>
          </cell>
          <cell r="B568" t="str">
            <v>范利献</v>
          </cell>
          <cell r="C568" t="str">
            <v>机加车间</v>
          </cell>
        </row>
        <row r="569">
          <cell r="A569" t="str">
            <v>0576</v>
          </cell>
          <cell r="B569" t="str">
            <v>冯晨晨</v>
          </cell>
          <cell r="C569" t="str">
            <v>装配车间</v>
          </cell>
        </row>
        <row r="570">
          <cell r="A570" t="str">
            <v>0577</v>
          </cell>
          <cell r="B570" t="str">
            <v>高杰</v>
          </cell>
          <cell r="C570" t="str">
            <v>装配车间</v>
          </cell>
        </row>
        <row r="571">
          <cell r="A571" t="str">
            <v>0578</v>
          </cell>
          <cell r="B571" t="str">
            <v>张懿然</v>
          </cell>
          <cell r="C571" t="str">
            <v>机械设计部</v>
          </cell>
        </row>
        <row r="572">
          <cell r="A572" t="str">
            <v>0579</v>
          </cell>
          <cell r="B572" t="str">
            <v>王永成</v>
          </cell>
          <cell r="C572" t="str">
            <v>电气自动化部</v>
          </cell>
        </row>
        <row r="573">
          <cell r="A573" t="str">
            <v>0580</v>
          </cell>
          <cell r="B573" t="str">
            <v>李华霖</v>
          </cell>
          <cell r="C573" t="str">
            <v>项目工程部</v>
          </cell>
        </row>
        <row r="574">
          <cell r="A574" t="str">
            <v>0581</v>
          </cell>
          <cell r="B574" t="str">
            <v>方清</v>
          </cell>
          <cell r="C574" t="str">
            <v>项目工程部</v>
          </cell>
        </row>
        <row r="575">
          <cell r="A575" t="str">
            <v>0582</v>
          </cell>
          <cell r="B575" t="str">
            <v>李方超</v>
          </cell>
          <cell r="C575" t="str">
            <v>工艺规划部</v>
          </cell>
        </row>
        <row r="576">
          <cell r="A576" t="str">
            <v>0583</v>
          </cell>
          <cell r="B576" t="str">
            <v>商宠</v>
          </cell>
          <cell r="C576" t="str">
            <v>装配车间</v>
          </cell>
        </row>
        <row r="577">
          <cell r="A577" t="str">
            <v>0584</v>
          </cell>
          <cell r="B577" t="str">
            <v>赵军</v>
          </cell>
          <cell r="C577" t="str">
            <v>项目工程部</v>
          </cell>
        </row>
        <row r="578">
          <cell r="A578" t="str">
            <v>0585</v>
          </cell>
          <cell r="B578" t="str">
            <v>杨飞</v>
          </cell>
          <cell r="C578" t="str">
            <v>电气自动化部</v>
          </cell>
        </row>
        <row r="579">
          <cell r="A579" t="str">
            <v>0586</v>
          </cell>
          <cell r="B579" t="str">
            <v>刘芝全</v>
          </cell>
          <cell r="C579" t="str">
            <v>电气自动化部</v>
          </cell>
        </row>
        <row r="580">
          <cell r="A580" t="str">
            <v>0587</v>
          </cell>
          <cell r="B580" t="str">
            <v>王强</v>
          </cell>
          <cell r="C580" t="str">
            <v>电气自动化部</v>
          </cell>
        </row>
        <row r="581">
          <cell r="A581" t="str">
            <v>0588</v>
          </cell>
          <cell r="B581" t="str">
            <v>高祥</v>
          </cell>
          <cell r="C581" t="str">
            <v>电气自动化部</v>
          </cell>
        </row>
        <row r="582">
          <cell r="A582" t="str">
            <v>0589</v>
          </cell>
          <cell r="B582" t="str">
            <v>卢伟</v>
          </cell>
          <cell r="C582" t="str">
            <v>电气自动化部</v>
          </cell>
        </row>
        <row r="583">
          <cell r="A583" t="str">
            <v>0590</v>
          </cell>
          <cell r="B583" t="str">
            <v>唐权</v>
          </cell>
          <cell r="C583" t="str">
            <v>机械设计部</v>
          </cell>
        </row>
        <row r="584">
          <cell r="A584" t="str">
            <v>0591</v>
          </cell>
          <cell r="B584" t="str">
            <v>王小宝</v>
          </cell>
          <cell r="C584" t="str">
            <v>电气自动化部</v>
          </cell>
        </row>
        <row r="585">
          <cell r="A585" t="str">
            <v>0592</v>
          </cell>
          <cell r="B585" t="str">
            <v>沈显庆</v>
          </cell>
          <cell r="C585" t="str">
            <v>电气自动化部</v>
          </cell>
        </row>
        <row r="586">
          <cell r="A586" t="str">
            <v>0593</v>
          </cell>
          <cell r="B586" t="str">
            <v>杨涵</v>
          </cell>
          <cell r="C586" t="str">
            <v>采购部</v>
          </cell>
        </row>
        <row r="587">
          <cell r="A587" t="str">
            <v>0594</v>
          </cell>
          <cell r="B587" t="str">
            <v>侣沙平</v>
          </cell>
          <cell r="C587" t="str">
            <v>电气自动化部</v>
          </cell>
        </row>
        <row r="588">
          <cell r="A588" t="str">
            <v>0595</v>
          </cell>
          <cell r="B588" t="str">
            <v>杜华奇</v>
          </cell>
          <cell r="C588" t="str">
            <v>铆焊车间</v>
          </cell>
        </row>
        <row r="589">
          <cell r="A589" t="str">
            <v>0596</v>
          </cell>
          <cell r="B589" t="str">
            <v>刘艳</v>
          </cell>
          <cell r="C589" t="str">
            <v>测量室</v>
          </cell>
        </row>
        <row r="590">
          <cell r="A590" t="str">
            <v>0597</v>
          </cell>
          <cell r="B590" t="str">
            <v>夏少芸</v>
          </cell>
          <cell r="C590" t="str">
            <v>IT部</v>
          </cell>
        </row>
        <row r="591">
          <cell r="A591" t="str">
            <v>0598</v>
          </cell>
          <cell r="B591" t="str">
            <v>程小斌</v>
          </cell>
          <cell r="C591" t="str">
            <v>电气自动化部</v>
          </cell>
        </row>
        <row r="592">
          <cell r="A592" t="str">
            <v>0599</v>
          </cell>
          <cell r="B592" t="str">
            <v>王建锋</v>
          </cell>
          <cell r="C592" t="str">
            <v>项目工程部</v>
          </cell>
        </row>
        <row r="593">
          <cell r="A593" t="str">
            <v>0600</v>
          </cell>
          <cell r="B593" t="str">
            <v>赵朋飞</v>
          </cell>
          <cell r="C593" t="str">
            <v>装配车间</v>
          </cell>
        </row>
        <row r="594">
          <cell r="A594" t="str">
            <v>0601</v>
          </cell>
          <cell r="B594" t="str">
            <v>徐晓琳</v>
          </cell>
          <cell r="C594" t="str">
            <v>项目工程部</v>
          </cell>
        </row>
        <row r="595">
          <cell r="A595" t="str">
            <v>0602</v>
          </cell>
          <cell r="B595" t="str">
            <v>王顶</v>
          </cell>
          <cell r="C595" t="str">
            <v>项目工程部</v>
          </cell>
        </row>
        <row r="596">
          <cell r="A596" t="str">
            <v>0603</v>
          </cell>
          <cell r="B596" t="str">
            <v>李雷</v>
          </cell>
          <cell r="C596" t="str">
            <v>电气自动化部</v>
          </cell>
        </row>
        <row r="597">
          <cell r="A597" t="str">
            <v>0604</v>
          </cell>
          <cell r="B597" t="str">
            <v>陈献光</v>
          </cell>
          <cell r="C597" t="str">
            <v>电气自动化部</v>
          </cell>
        </row>
        <row r="598">
          <cell r="A598" t="str">
            <v>0605</v>
          </cell>
          <cell r="B598" t="str">
            <v>李映鸿</v>
          </cell>
          <cell r="C598" t="str">
            <v>电气自动化部</v>
          </cell>
        </row>
        <row r="599">
          <cell r="A599" t="str">
            <v>0606</v>
          </cell>
          <cell r="B599" t="str">
            <v>陈昊佑</v>
          </cell>
          <cell r="C599" t="str">
            <v>电气自动化部</v>
          </cell>
        </row>
        <row r="600">
          <cell r="A600" t="str">
            <v>0607</v>
          </cell>
          <cell r="B600" t="str">
            <v>李少宾</v>
          </cell>
          <cell r="C600" t="str">
            <v>装配车间</v>
          </cell>
        </row>
        <row r="601">
          <cell r="A601" t="str">
            <v>0608</v>
          </cell>
          <cell r="B601" t="str">
            <v>谢明锋</v>
          </cell>
          <cell r="C601" t="str">
            <v>电气自动化部</v>
          </cell>
        </row>
        <row r="602">
          <cell r="A602" t="str">
            <v>0609</v>
          </cell>
          <cell r="B602" t="str">
            <v>周国军</v>
          </cell>
          <cell r="C602" t="str">
            <v>工艺规划部</v>
          </cell>
        </row>
        <row r="603">
          <cell r="A603" t="str">
            <v>0610</v>
          </cell>
          <cell r="B603" t="str">
            <v>勾吉</v>
          </cell>
          <cell r="C603" t="str">
            <v>装配车间</v>
          </cell>
        </row>
        <row r="604">
          <cell r="A604" t="str">
            <v>0611</v>
          </cell>
          <cell r="B604" t="str">
            <v>苏茂源</v>
          </cell>
          <cell r="C604" t="str">
            <v>铆焊车间</v>
          </cell>
        </row>
        <row r="605">
          <cell r="A605" t="str">
            <v>0612</v>
          </cell>
          <cell r="B605" t="str">
            <v>司庆海</v>
          </cell>
          <cell r="C605" t="str">
            <v>铆焊车间</v>
          </cell>
        </row>
        <row r="606">
          <cell r="A606" t="str">
            <v>0613</v>
          </cell>
          <cell r="B606" t="str">
            <v>苏杨</v>
          </cell>
          <cell r="C606" t="str">
            <v>铆焊车间</v>
          </cell>
        </row>
        <row r="607">
          <cell r="A607" t="str">
            <v>0614</v>
          </cell>
          <cell r="B607" t="str">
            <v>余建</v>
          </cell>
          <cell r="C607" t="str">
            <v>电气自动化部</v>
          </cell>
        </row>
        <row r="608">
          <cell r="A608" t="str">
            <v>0615</v>
          </cell>
          <cell r="B608" t="str">
            <v>王韶峰</v>
          </cell>
          <cell r="C608" t="str">
            <v>采购部</v>
          </cell>
        </row>
        <row r="609">
          <cell r="A609" t="str">
            <v>0616</v>
          </cell>
          <cell r="B609" t="str">
            <v>孙超</v>
          </cell>
          <cell r="C609" t="str">
            <v>电气自动化部</v>
          </cell>
        </row>
        <row r="610">
          <cell r="A610" t="str">
            <v>0617</v>
          </cell>
          <cell r="B610" t="str">
            <v>曾辉</v>
          </cell>
          <cell r="C610" t="str">
            <v>项目工程部</v>
          </cell>
        </row>
        <row r="611">
          <cell r="A611" t="str">
            <v>0618</v>
          </cell>
          <cell r="B611" t="str">
            <v>姜鑫</v>
          </cell>
          <cell r="C611" t="str">
            <v>机加车间</v>
          </cell>
        </row>
        <row r="612">
          <cell r="A612" t="str">
            <v>0619</v>
          </cell>
          <cell r="B612" t="str">
            <v>张宏健</v>
          </cell>
          <cell r="C612" t="str">
            <v>6S管理部</v>
          </cell>
        </row>
        <row r="613">
          <cell r="A613" t="str">
            <v>0620</v>
          </cell>
          <cell r="B613" t="str">
            <v>李丹</v>
          </cell>
          <cell r="C613" t="str">
            <v>项目工程部</v>
          </cell>
        </row>
        <row r="614">
          <cell r="A614" t="str">
            <v>0621</v>
          </cell>
          <cell r="B614" t="str">
            <v>唐剑飞</v>
          </cell>
          <cell r="C614" t="str">
            <v>制造质量部</v>
          </cell>
        </row>
        <row r="615">
          <cell r="A615" t="str">
            <v>0622</v>
          </cell>
          <cell r="B615" t="str">
            <v>贾德志</v>
          </cell>
          <cell r="C615" t="str">
            <v>铆焊车间</v>
          </cell>
        </row>
        <row r="616">
          <cell r="A616" t="str">
            <v>0623</v>
          </cell>
          <cell r="B616" t="str">
            <v>王佳旭</v>
          </cell>
          <cell r="C616" t="str">
            <v>装配车间</v>
          </cell>
        </row>
        <row r="617">
          <cell r="A617" t="str">
            <v>0624</v>
          </cell>
          <cell r="B617" t="str">
            <v>孙鹤</v>
          </cell>
          <cell r="C617" t="str">
            <v>电气自动化部</v>
          </cell>
        </row>
        <row r="618">
          <cell r="A618" t="str">
            <v>0625</v>
          </cell>
          <cell r="B618" t="str">
            <v>李国华</v>
          </cell>
          <cell r="C618" t="str">
            <v>铆焊车间</v>
          </cell>
        </row>
        <row r="619">
          <cell r="A619" t="str">
            <v>0626</v>
          </cell>
          <cell r="B619" t="str">
            <v>何远阳</v>
          </cell>
          <cell r="C619" t="str">
            <v>装配车间</v>
          </cell>
        </row>
        <row r="620">
          <cell r="A620" t="str">
            <v>0627</v>
          </cell>
          <cell r="B620" t="str">
            <v>何远文</v>
          </cell>
          <cell r="C620" t="str">
            <v>装配车间</v>
          </cell>
        </row>
        <row r="621">
          <cell r="A621" t="str">
            <v>0628</v>
          </cell>
          <cell r="B621" t="str">
            <v>苏燕芳</v>
          </cell>
          <cell r="C621" t="str">
            <v>仓库</v>
          </cell>
        </row>
        <row r="622">
          <cell r="A622" t="str">
            <v>0629</v>
          </cell>
          <cell r="B622" t="str">
            <v>郭李平</v>
          </cell>
          <cell r="C622" t="str">
            <v>电气自动化部</v>
          </cell>
        </row>
        <row r="623">
          <cell r="A623" t="str">
            <v>0632</v>
          </cell>
          <cell r="B623" t="str">
            <v>戴鹏飞</v>
          </cell>
          <cell r="C623" t="str">
            <v>6S管理部</v>
          </cell>
        </row>
        <row r="624">
          <cell r="A624" t="str">
            <v>0633</v>
          </cell>
          <cell r="B624" t="str">
            <v>王婷婷</v>
          </cell>
          <cell r="C624" t="str">
            <v>电气自动化部</v>
          </cell>
        </row>
        <row r="625">
          <cell r="A625" t="str">
            <v>0634</v>
          </cell>
          <cell r="B625" t="str">
            <v>朱晓明</v>
          </cell>
          <cell r="C625" t="str">
            <v>生产保障部</v>
          </cell>
        </row>
        <row r="626">
          <cell r="A626" t="str">
            <v>0636</v>
          </cell>
          <cell r="B626" t="str">
            <v>金焰</v>
          </cell>
          <cell r="C626" t="str">
            <v>仓库</v>
          </cell>
        </row>
        <row r="627">
          <cell r="A627" t="str">
            <v>0637</v>
          </cell>
          <cell r="B627" t="str">
            <v>金爱华</v>
          </cell>
          <cell r="C627" t="str">
            <v>仓库</v>
          </cell>
        </row>
        <row r="628">
          <cell r="A628" t="str">
            <v>0638</v>
          </cell>
          <cell r="B628" t="str">
            <v>陈小克</v>
          </cell>
          <cell r="C628" t="str">
            <v>装配车间</v>
          </cell>
        </row>
        <row r="629">
          <cell r="A629" t="str">
            <v>0639</v>
          </cell>
          <cell r="B629" t="str">
            <v>耿文涛</v>
          </cell>
          <cell r="C629" t="str">
            <v>装配车间</v>
          </cell>
        </row>
        <row r="630">
          <cell r="A630" t="str">
            <v>0640</v>
          </cell>
          <cell r="B630" t="str">
            <v>江游</v>
          </cell>
          <cell r="C630" t="str">
            <v>工艺规划部</v>
          </cell>
        </row>
        <row r="631">
          <cell r="A631" t="str">
            <v>0641</v>
          </cell>
          <cell r="B631" t="str">
            <v>林佳威</v>
          </cell>
          <cell r="C631" t="str">
            <v>电气自动化部</v>
          </cell>
        </row>
        <row r="632">
          <cell r="A632" t="str">
            <v>0642</v>
          </cell>
          <cell r="B632" t="str">
            <v>刘伟</v>
          </cell>
          <cell r="C632" t="str">
            <v>装配车间</v>
          </cell>
        </row>
        <row r="633">
          <cell r="A633" t="str">
            <v>0643</v>
          </cell>
          <cell r="B633" t="str">
            <v>尚东亮</v>
          </cell>
          <cell r="C633" t="str">
            <v>装配车间</v>
          </cell>
        </row>
        <row r="634">
          <cell r="A634" t="str">
            <v>0644</v>
          </cell>
          <cell r="B634" t="str">
            <v>潘金刚</v>
          </cell>
          <cell r="C634" t="str">
            <v>装配车间</v>
          </cell>
        </row>
        <row r="635">
          <cell r="A635" t="str">
            <v>0645</v>
          </cell>
          <cell r="B635" t="str">
            <v>彭映彩</v>
          </cell>
          <cell r="C635" t="str">
            <v>测量室</v>
          </cell>
        </row>
        <row r="636">
          <cell r="A636" t="str">
            <v>0646</v>
          </cell>
          <cell r="B636" t="str">
            <v>耿桂升</v>
          </cell>
          <cell r="C636" t="str">
            <v>机加车间</v>
          </cell>
        </row>
        <row r="637">
          <cell r="A637" t="str">
            <v>0647</v>
          </cell>
          <cell r="B637" t="str">
            <v>孙红军</v>
          </cell>
          <cell r="C637" t="str">
            <v>机加车间</v>
          </cell>
        </row>
        <row r="638">
          <cell r="A638" t="str">
            <v>0648</v>
          </cell>
          <cell r="B638" t="str">
            <v>冯剑英</v>
          </cell>
          <cell r="C638" t="str">
            <v>后勤管理部</v>
          </cell>
        </row>
        <row r="639">
          <cell r="A639" t="str">
            <v>0649</v>
          </cell>
          <cell r="B639" t="str">
            <v>刘建芳</v>
          </cell>
          <cell r="C639" t="str">
            <v>后勤管理部</v>
          </cell>
        </row>
        <row r="640">
          <cell r="A640" t="str">
            <v>0650</v>
          </cell>
          <cell r="B640" t="str">
            <v>时健</v>
          </cell>
          <cell r="C640" t="str">
            <v>后勤管理部</v>
          </cell>
        </row>
        <row r="641">
          <cell r="A641" t="str">
            <v>0651</v>
          </cell>
          <cell r="B641" t="str">
            <v>陆建忠</v>
          </cell>
          <cell r="C641" t="str">
            <v>后勤管理部</v>
          </cell>
        </row>
        <row r="642">
          <cell r="A642" t="str">
            <v>0652</v>
          </cell>
          <cell r="B642" t="str">
            <v>沈巍</v>
          </cell>
          <cell r="C642" t="str">
            <v>后勤管理部</v>
          </cell>
        </row>
        <row r="643">
          <cell r="A643" t="str">
            <v>0653</v>
          </cell>
          <cell r="B643" t="str">
            <v>陈珍珠</v>
          </cell>
          <cell r="C643" t="str">
            <v>人力资源部</v>
          </cell>
        </row>
        <row r="644">
          <cell r="A644" t="str">
            <v>0654</v>
          </cell>
          <cell r="B644" t="str">
            <v>文燕</v>
          </cell>
          <cell r="C644" t="str">
            <v>工艺规划部</v>
          </cell>
        </row>
        <row r="645">
          <cell r="A645" t="str">
            <v>0655</v>
          </cell>
          <cell r="B645" t="str">
            <v>徐嘉元</v>
          </cell>
          <cell r="C645" t="str">
            <v>IT部</v>
          </cell>
        </row>
        <row r="646">
          <cell r="A646" t="str">
            <v>0656</v>
          </cell>
          <cell r="B646" t="str">
            <v>曹辉清</v>
          </cell>
          <cell r="C646" t="str">
            <v>工艺规划部</v>
          </cell>
        </row>
        <row r="647">
          <cell r="A647" t="str">
            <v>0657</v>
          </cell>
          <cell r="B647" t="str">
            <v>胡巍巍</v>
          </cell>
          <cell r="C647" t="str">
            <v>铆焊车间</v>
          </cell>
        </row>
        <row r="648">
          <cell r="A648" t="str">
            <v>0658</v>
          </cell>
          <cell r="B648" t="str">
            <v>詹士增</v>
          </cell>
          <cell r="C648" t="str">
            <v>铆焊车间</v>
          </cell>
        </row>
        <row r="649">
          <cell r="A649" t="str">
            <v>0659</v>
          </cell>
          <cell r="B649" t="str">
            <v>牛进文</v>
          </cell>
          <cell r="C649" t="str">
            <v>油漆车间</v>
          </cell>
        </row>
        <row r="650">
          <cell r="A650" t="str">
            <v>0660</v>
          </cell>
          <cell r="B650" t="str">
            <v>翟世强</v>
          </cell>
          <cell r="C650" t="str">
            <v>测量室</v>
          </cell>
        </row>
        <row r="651">
          <cell r="A651" t="str">
            <v>0661</v>
          </cell>
          <cell r="B651" t="str">
            <v>李一宸</v>
          </cell>
          <cell r="C651" t="str">
            <v>仓库</v>
          </cell>
        </row>
        <row r="652">
          <cell r="A652" t="str">
            <v>0662</v>
          </cell>
          <cell r="B652" t="str">
            <v>陆剑皓</v>
          </cell>
          <cell r="C652" t="str">
            <v>仓库</v>
          </cell>
        </row>
        <row r="653">
          <cell r="A653" t="str">
            <v>0663</v>
          </cell>
          <cell r="B653" t="str">
            <v>周艳华</v>
          </cell>
          <cell r="C653" t="str">
            <v>仓库</v>
          </cell>
        </row>
        <row r="654">
          <cell r="A654" t="str">
            <v>0664</v>
          </cell>
          <cell r="B654" t="str">
            <v>方港</v>
          </cell>
          <cell r="C654" t="str">
            <v>装配车间</v>
          </cell>
        </row>
        <row r="655">
          <cell r="A655" t="str">
            <v>0665</v>
          </cell>
          <cell r="B655" t="str">
            <v>刘路遥</v>
          </cell>
          <cell r="C655" t="str">
            <v>装配车间</v>
          </cell>
        </row>
        <row r="656">
          <cell r="A656" t="str">
            <v>0666</v>
          </cell>
          <cell r="B656" t="str">
            <v>位志波</v>
          </cell>
          <cell r="C656" t="str">
            <v>装配车间</v>
          </cell>
        </row>
        <row r="657">
          <cell r="A657" t="str">
            <v>0667</v>
          </cell>
          <cell r="B657" t="str">
            <v>张高举</v>
          </cell>
          <cell r="C657" t="str">
            <v>装配车间</v>
          </cell>
        </row>
        <row r="658">
          <cell r="A658" t="str">
            <v>0668</v>
          </cell>
          <cell r="B658" t="str">
            <v>蔡凤军</v>
          </cell>
          <cell r="C658" t="str">
            <v>装配车间</v>
          </cell>
        </row>
        <row r="659">
          <cell r="A659" t="str">
            <v>0669</v>
          </cell>
          <cell r="B659" t="str">
            <v>何小琼</v>
          </cell>
          <cell r="C659" t="str">
            <v>装配车间</v>
          </cell>
        </row>
        <row r="660">
          <cell r="A660" t="str">
            <v>0670</v>
          </cell>
          <cell r="B660" t="str">
            <v>贺毅飞</v>
          </cell>
          <cell r="C660" t="str">
            <v>装配车间</v>
          </cell>
        </row>
        <row r="661">
          <cell r="A661" t="str">
            <v>0671</v>
          </cell>
          <cell r="B661" t="str">
            <v>张琼华</v>
          </cell>
          <cell r="C661" t="str">
            <v>油漆车间</v>
          </cell>
        </row>
        <row r="662">
          <cell r="A662" t="str">
            <v>0672</v>
          </cell>
          <cell r="B662" t="str">
            <v>胡东升</v>
          </cell>
          <cell r="C662" t="str">
            <v>机加车间</v>
          </cell>
        </row>
        <row r="663">
          <cell r="A663" t="str">
            <v>0673</v>
          </cell>
          <cell r="B663" t="str">
            <v>杨静</v>
          </cell>
          <cell r="C663" t="str">
            <v>机加车间</v>
          </cell>
        </row>
        <row r="664">
          <cell r="A664" t="str">
            <v>0674</v>
          </cell>
          <cell r="B664" t="str">
            <v>陈治国</v>
          </cell>
          <cell r="C664" t="str">
            <v>机加车间</v>
          </cell>
        </row>
        <row r="665">
          <cell r="A665" t="str">
            <v>0675</v>
          </cell>
          <cell r="B665" t="str">
            <v>张红伟</v>
          </cell>
          <cell r="C665" t="str">
            <v>机加车间</v>
          </cell>
        </row>
        <row r="666">
          <cell r="A666" t="str">
            <v>0676</v>
          </cell>
          <cell r="B666" t="str">
            <v>何双霞</v>
          </cell>
          <cell r="C666" t="str">
            <v>机加车间</v>
          </cell>
        </row>
        <row r="667">
          <cell r="A667" t="str">
            <v>0677</v>
          </cell>
          <cell r="B667" t="str">
            <v>孙红霞</v>
          </cell>
          <cell r="C667" t="str">
            <v>机加车间</v>
          </cell>
        </row>
        <row r="668">
          <cell r="A668" t="str">
            <v>0678</v>
          </cell>
          <cell r="B668" t="str">
            <v>蔡国飞</v>
          </cell>
          <cell r="C668" t="str">
            <v>机加车间</v>
          </cell>
        </row>
        <row r="669">
          <cell r="A669" t="str">
            <v>0679</v>
          </cell>
          <cell r="B669" t="str">
            <v>段先凯</v>
          </cell>
          <cell r="C669" t="str">
            <v>机加车间</v>
          </cell>
        </row>
        <row r="670">
          <cell r="A670" t="str">
            <v>0680</v>
          </cell>
          <cell r="B670" t="str">
            <v>刘庆飞</v>
          </cell>
          <cell r="C670" t="str">
            <v>机加车间</v>
          </cell>
        </row>
        <row r="671">
          <cell r="A671" t="str">
            <v>0681</v>
          </cell>
          <cell r="B671" t="str">
            <v>张站松</v>
          </cell>
          <cell r="C671" t="str">
            <v>机加车间</v>
          </cell>
        </row>
        <row r="672">
          <cell r="A672" t="str">
            <v>0682</v>
          </cell>
          <cell r="B672" t="str">
            <v>杨利洋</v>
          </cell>
          <cell r="C672" t="str">
            <v>机加车间</v>
          </cell>
        </row>
        <row r="673">
          <cell r="A673" t="str">
            <v>0683</v>
          </cell>
          <cell r="B673" t="str">
            <v>朱志豪</v>
          </cell>
          <cell r="C673" t="str">
            <v>机加车间</v>
          </cell>
        </row>
        <row r="674">
          <cell r="A674" t="str">
            <v>0684</v>
          </cell>
          <cell r="B674" t="str">
            <v>王贵成</v>
          </cell>
          <cell r="C674" t="str">
            <v>机加车间</v>
          </cell>
        </row>
        <row r="675">
          <cell r="A675" t="str">
            <v>0685</v>
          </cell>
          <cell r="B675" t="str">
            <v>刘莲</v>
          </cell>
          <cell r="C675" t="str">
            <v>机加车间</v>
          </cell>
        </row>
        <row r="676">
          <cell r="A676" t="str">
            <v>0686</v>
          </cell>
          <cell r="B676" t="str">
            <v>雷勇</v>
          </cell>
          <cell r="C676" t="str">
            <v>铆焊车间</v>
          </cell>
        </row>
        <row r="677">
          <cell r="A677" t="str">
            <v>0687</v>
          </cell>
          <cell r="B677" t="str">
            <v>王冬冬</v>
          </cell>
          <cell r="C677" t="str">
            <v>铆焊车间</v>
          </cell>
        </row>
        <row r="678">
          <cell r="A678" t="str">
            <v>0688</v>
          </cell>
          <cell r="B678" t="str">
            <v>曹猛</v>
          </cell>
          <cell r="C678" t="str">
            <v>机加车间</v>
          </cell>
        </row>
        <row r="679">
          <cell r="A679" t="str">
            <v>0689</v>
          </cell>
          <cell r="B679" t="str">
            <v>付世冰</v>
          </cell>
          <cell r="C679" t="str">
            <v>机加车间</v>
          </cell>
        </row>
        <row r="680">
          <cell r="A680" t="str">
            <v>0690</v>
          </cell>
          <cell r="B680" t="str">
            <v>杨科</v>
          </cell>
          <cell r="C680" t="str">
            <v>机加车间</v>
          </cell>
        </row>
        <row r="681">
          <cell r="A681" t="str">
            <v>0691</v>
          </cell>
          <cell r="B681" t="str">
            <v>黄士章</v>
          </cell>
          <cell r="C681" t="str">
            <v>生产保障部</v>
          </cell>
        </row>
        <row r="682">
          <cell r="A682" t="str">
            <v>0692</v>
          </cell>
          <cell r="B682" t="str">
            <v>李顺</v>
          </cell>
          <cell r="C682" t="str">
            <v>机加车间</v>
          </cell>
        </row>
        <row r="683">
          <cell r="A683" t="str">
            <v>0693</v>
          </cell>
          <cell r="B683" t="str">
            <v>岳克精</v>
          </cell>
          <cell r="C683" t="str">
            <v>机加车间</v>
          </cell>
        </row>
        <row r="684">
          <cell r="A684" t="str">
            <v>0694</v>
          </cell>
          <cell r="B684" t="str">
            <v>于欢欢</v>
          </cell>
          <cell r="C684" t="str">
            <v>生产保障部</v>
          </cell>
        </row>
        <row r="685">
          <cell r="A685" t="str">
            <v>0695</v>
          </cell>
          <cell r="B685" t="str">
            <v>刘飞</v>
          </cell>
          <cell r="C685" t="str">
            <v>电气自动化部</v>
          </cell>
        </row>
        <row r="686">
          <cell r="A686" t="str">
            <v>0696</v>
          </cell>
          <cell r="B686" t="str">
            <v>沈明浩</v>
          </cell>
          <cell r="C686" t="str">
            <v>电气自动化部</v>
          </cell>
        </row>
        <row r="687">
          <cell r="A687" t="str">
            <v>0697</v>
          </cell>
          <cell r="B687" t="str">
            <v>潘燕</v>
          </cell>
          <cell r="C687" t="str">
            <v>资产财务部</v>
          </cell>
        </row>
        <row r="688">
          <cell r="A688" t="str">
            <v>0698</v>
          </cell>
          <cell r="B688" t="str">
            <v>杨爱琴</v>
          </cell>
          <cell r="C688" t="str">
            <v>后勤管理部</v>
          </cell>
        </row>
        <row r="689">
          <cell r="A689" t="str">
            <v>0699</v>
          </cell>
          <cell r="B689" t="str">
            <v>史松松</v>
          </cell>
          <cell r="C689" t="str">
            <v>机加车间</v>
          </cell>
        </row>
        <row r="690">
          <cell r="A690" t="str">
            <v>0700</v>
          </cell>
          <cell r="B690" t="str">
            <v>李刚</v>
          </cell>
          <cell r="C690" t="str">
            <v>铆焊车间</v>
          </cell>
        </row>
        <row r="691">
          <cell r="A691" t="str">
            <v>0701</v>
          </cell>
          <cell r="B691" t="str">
            <v>何发章</v>
          </cell>
          <cell r="C691" t="str">
            <v>6S管理部</v>
          </cell>
        </row>
        <row r="692">
          <cell r="A692" t="str">
            <v>0702</v>
          </cell>
          <cell r="B692" t="str">
            <v>韩明宇</v>
          </cell>
          <cell r="C692" t="str">
            <v>机加车间</v>
          </cell>
        </row>
        <row r="693">
          <cell r="A693" t="str">
            <v>0703</v>
          </cell>
          <cell r="B693" t="str">
            <v>陶磊</v>
          </cell>
          <cell r="C693" t="str">
            <v>机加车间</v>
          </cell>
        </row>
        <row r="694">
          <cell r="A694" t="str">
            <v>0704</v>
          </cell>
          <cell r="B694" t="str">
            <v>刘万香</v>
          </cell>
          <cell r="C694" t="str">
            <v>机加车间</v>
          </cell>
        </row>
        <row r="695">
          <cell r="A695" t="str">
            <v>0705</v>
          </cell>
          <cell r="B695" t="str">
            <v>郭振春</v>
          </cell>
          <cell r="C695" t="str">
            <v>油漆车间</v>
          </cell>
        </row>
        <row r="696">
          <cell r="A696" t="str">
            <v>0706</v>
          </cell>
          <cell r="B696" t="str">
            <v>苏斌</v>
          </cell>
          <cell r="C696" t="str">
            <v>测量室</v>
          </cell>
        </row>
        <row r="697">
          <cell r="A697" t="str">
            <v>0707</v>
          </cell>
          <cell r="B697" t="str">
            <v>刘秀岭</v>
          </cell>
          <cell r="C697" t="str">
            <v>测量室</v>
          </cell>
        </row>
        <row r="698">
          <cell r="A698" t="str">
            <v>0708</v>
          </cell>
          <cell r="B698" t="str">
            <v>韩明轩</v>
          </cell>
          <cell r="C698" t="str">
            <v>测量室</v>
          </cell>
        </row>
        <row r="699">
          <cell r="A699" t="str">
            <v>0709</v>
          </cell>
          <cell r="B699" t="str">
            <v>刘云</v>
          </cell>
          <cell r="C699" t="str">
            <v>机加车间</v>
          </cell>
        </row>
        <row r="700">
          <cell r="A700" t="str">
            <v>0710</v>
          </cell>
          <cell r="B700" t="str">
            <v>谢伟</v>
          </cell>
          <cell r="C700" t="str">
            <v>仓库</v>
          </cell>
        </row>
        <row r="701">
          <cell r="A701" t="str">
            <v>0711</v>
          </cell>
          <cell r="B701" t="str">
            <v>林青</v>
          </cell>
          <cell r="C701" t="str">
            <v>电气自动化部</v>
          </cell>
        </row>
        <row r="702">
          <cell r="A702" t="str">
            <v>0712</v>
          </cell>
          <cell r="B702" t="str">
            <v>王一帆</v>
          </cell>
          <cell r="C702" t="str">
            <v>工艺规划部</v>
          </cell>
        </row>
        <row r="703">
          <cell r="A703" t="str">
            <v>0713</v>
          </cell>
          <cell r="B703" t="str">
            <v>何勇芳</v>
          </cell>
          <cell r="C703" t="str">
            <v>电气自动化部</v>
          </cell>
        </row>
        <row r="704">
          <cell r="A704" t="str">
            <v>0714</v>
          </cell>
          <cell r="B704" t="str">
            <v>王春洪</v>
          </cell>
          <cell r="C704" t="str">
            <v>机加车间</v>
          </cell>
        </row>
        <row r="705">
          <cell r="A705" t="str">
            <v>0715</v>
          </cell>
          <cell r="B705" t="str">
            <v>王昀</v>
          </cell>
          <cell r="C705" t="str">
            <v>制造质量部</v>
          </cell>
        </row>
        <row r="706">
          <cell r="A706" t="str">
            <v>0716</v>
          </cell>
          <cell r="B706" t="str">
            <v>倪军</v>
          </cell>
          <cell r="C706" t="str">
            <v>电气自动化部</v>
          </cell>
        </row>
        <row r="707">
          <cell r="A707" t="str">
            <v>0717</v>
          </cell>
          <cell r="B707" t="str">
            <v>周熙玲</v>
          </cell>
          <cell r="C707" t="str">
            <v>电气自动化部</v>
          </cell>
        </row>
        <row r="708">
          <cell r="A708" t="str">
            <v>0718</v>
          </cell>
          <cell r="B708" t="str">
            <v>齐亚梦</v>
          </cell>
          <cell r="C708" t="str">
            <v>机械设计部</v>
          </cell>
        </row>
        <row r="709">
          <cell r="A709" t="str">
            <v>0719</v>
          </cell>
          <cell r="B709" t="str">
            <v>孙高阳</v>
          </cell>
          <cell r="C709" t="str">
            <v>装配车间</v>
          </cell>
        </row>
        <row r="710">
          <cell r="A710" t="str">
            <v>0720</v>
          </cell>
          <cell r="B710" t="str">
            <v>冯季林</v>
          </cell>
          <cell r="C710" t="str">
            <v>机加车间</v>
          </cell>
        </row>
        <row r="711">
          <cell r="A711" t="str">
            <v>0721</v>
          </cell>
          <cell r="B711" t="str">
            <v>马登雄</v>
          </cell>
          <cell r="C711" t="str">
            <v>机加车间</v>
          </cell>
        </row>
        <row r="712">
          <cell r="A712" t="str">
            <v>0722</v>
          </cell>
          <cell r="B712" t="str">
            <v>刘文兴</v>
          </cell>
          <cell r="C712" t="str">
            <v>装配车间</v>
          </cell>
        </row>
        <row r="713">
          <cell r="A713" t="str">
            <v>0723</v>
          </cell>
          <cell r="B713" t="str">
            <v>曾祥油</v>
          </cell>
          <cell r="C713" t="str">
            <v>电气自动化部</v>
          </cell>
        </row>
        <row r="714">
          <cell r="A714" t="str">
            <v>0724</v>
          </cell>
          <cell r="B714" t="str">
            <v>陈东风</v>
          </cell>
          <cell r="C714" t="str">
            <v>铆焊车间</v>
          </cell>
        </row>
        <row r="715">
          <cell r="A715" t="str">
            <v>0725</v>
          </cell>
          <cell r="B715" t="str">
            <v>郭凤得</v>
          </cell>
          <cell r="C715" t="str">
            <v>铆焊车间</v>
          </cell>
        </row>
        <row r="716">
          <cell r="A716" t="str">
            <v>0726</v>
          </cell>
          <cell r="B716" t="str">
            <v>李阳杰</v>
          </cell>
          <cell r="C716" t="str">
            <v>电气自动化部</v>
          </cell>
        </row>
        <row r="717">
          <cell r="A717" t="str">
            <v>0727</v>
          </cell>
          <cell r="B717" t="str">
            <v>高磊</v>
          </cell>
          <cell r="C717" t="str">
            <v>项目工程部</v>
          </cell>
        </row>
        <row r="718">
          <cell r="A718" t="str">
            <v>0728</v>
          </cell>
          <cell r="B718" t="str">
            <v>朱冬明</v>
          </cell>
          <cell r="C718" t="str">
            <v>后勤管理部</v>
          </cell>
        </row>
        <row r="719">
          <cell r="A719" t="str">
            <v>0729</v>
          </cell>
          <cell r="B719" t="str">
            <v>陆永全</v>
          </cell>
          <cell r="C719" t="str">
            <v>电气自动化部</v>
          </cell>
        </row>
        <row r="720">
          <cell r="A720" t="str">
            <v>0730</v>
          </cell>
          <cell r="B720" t="str">
            <v>朱成</v>
          </cell>
          <cell r="C720" t="str">
            <v>机械设计部</v>
          </cell>
        </row>
        <row r="721">
          <cell r="A721" t="str">
            <v>0731</v>
          </cell>
          <cell r="B721" t="str">
            <v>梁朝容</v>
          </cell>
          <cell r="C721" t="str">
            <v>油漆车间</v>
          </cell>
        </row>
        <row r="722">
          <cell r="A722" t="str">
            <v>0732</v>
          </cell>
          <cell r="B722" t="str">
            <v>万宇环</v>
          </cell>
          <cell r="C722" t="str">
            <v>铆焊车间</v>
          </cell>
        </row>
        <row r="723">
          <cell r="A723" t="str">
            <v>0733</v>
          </cell>
          <cell r="B723" t="str">
            <v>郭亚伟</v>
          </cell>
          <cell r="C723" t="str">
            <v>铆焊车间</v>
          </cell>
        </row>
        <row r="724">
          <cell r="A724" t="str">
            <v>0734</v>
          </cell>
          <cell r="B724" t="str">
            <v>蔡育成</v>
          </cell>
          <cell r="C724" t="str">
            <v>铆焊车间</v>
          </cell>
        </row>
        <row r="725">
          <cell r="A725" t="str">
            <v>0735</v>
          </cell>
          <cell r="B725" t="str">
            <v>侯彦青</v>
          </cell>
          <cell r="C725" t="str">
            <v>铆焊车间</v>
          </cell>
        </row>
        <row r="726">
          <cell r="A726" t="str">
            <v>0736</v>
          </cell>
          <cell r="B726" t="str">
            <v>王鹏</v>
          </cell>
          <cell r="C726" t="str">
            <v>铆焊车间</v>
          </cell>
        </row>
        <row r="727">
          <cell r="A727" t="str">
            <v>0737</v>
          </cell>
          <cell r="B727" t="str">
            <v>陈文峰</v>
          </cell>
          <cell r="C727" t="str">
            <v>铆焊车间</v>
          </cell>
        </row>
        <row r="728">
          <cell r="A728" t="str">
            <v>0738</v>
          </cell>
          <cell r="B728" t="str">
            <v>徐元明</v>
          </cell>
          <cell r="C728" t="str">
            <v>铆焊车间</v>
          </cell>
        </row>
        <row r="729">
          <cell r="A729" t="str">
            <v>0739</v>
          </cell>
          <cell r="B729" t="str">
            <v>廖少怀</v>
          </cell>
          <cell r="C729" t="str">
            <v>铆焊车间</v>
          </cell>
        </row>
        <row r="730">
          <cell r="A730" t="str">
            <v>0740</v>
          </cell>
          <cell r="B730" t="str">
            <v>何世雄</v>
          </cell>
          <cell r="C730" t="str">
            <v>铆焊车间</v>
          </cell>
        </row>
        <row r="731">
          <cell r="A731" t="str">
            <v>0741</v>
          </cell>
          <cell r="B731" t="str">
            <v>何瑞强</v>
          </cell>
          <cell r="C731" t="str">
            <v>铆焊车间</v>
          </cell>
        </row>
        <row r="732">
          <cell r="A732" t="str">
            <v>0742</v>
          </cell>
          <cell r="B732" t="str">
            <v>王亚军</v>
          </cell>
          <cell r="C732" t="str">
            <v>机加车间</v>
          </cell>
        </row>
        <row r="733">
          <cell r="A733" t="str">
            <v>0743</v>
          </cell>
          <cell r="B733" t="str">
            <v>雷修民</v>
          </cell>
          <cell r="C733" t="str">
            <v>电气自动化部</v>
          </cell>
        </row>
        <row r="734">
          <cell r="A734" t="str">
            <v>0744</v>
          </cell>
          <cell r="B734" t="str">
            <v>王小标</v>
          </cell>
          <cell r="C734" t="str">
            <v>机械设计部</v>
          </cell>
        </row>
        <row r="735">
          <cell r="A735" t="str">
            <v>0745</v>
          </cell>
          <cell r="B735" t="str">
            <v>张武</v>
          </cell>
          <cell r="C735" t="str">
            <v>机械设计部</v>
          </cell>
        </row>
        <row r="736">
          <cell r="A736" t="str">
            <v>0746</v>
          </cell>
          <cell r="B736" t="str">
            <v>何芝红</v>
          </cell>
          <cell r="C736" t="str">
            <v>机加车间</v>
          </cell>
        </row>
        <row r="737">
          <cell r="A737" t="str">
            <v>0747</v>
          </cell>
          <cell r="B737" t="str">
            <v>孙猛</v>
          </cell>
          <cell r="C737" t="str">
            <v>装配车间</v>
          </cell>
        </row>
        <row r="738">
          <cell r="A738" t="str">
            <v>0748</v>
          </cell>
          <cell r="B738" t="str">
            <v>冉海荣</v>
          </cell>
          <cell r="C738" t="str">
            <v>装配车间</v>
          </cell>
        </row>
        <row r="739">
          <cell r="A739" t="str">
            <v>0749</v>
          </cell>
          <cell r="B739" t="str">
            <v>何文祥</v>
          </cell>
          <cell r="C739" t="str">
            <v>油漆车间</v>
          </cell>
        </row>
        <row r="740">
          <cell r="A740" t="str">
            <v>0750</v>
          </cell>
          <cell r="B740" t="str">
            <v>陈虎</v>
          </cell>
          <cell r="C740" t="str">
            <v>机加车间</v>
          </cell>
        </row>
        <row r="741">
          <cell r="A741" t="str">
            <v>0751</v>
          </cell>
          <cell r="B741" t="str">
            <v>程武</v>
          </cell>
          <cell r="C741" t="str">
            <v>机加车间</v>
          </cell>
        </row>
        <row r="742">
          <cell r="A742" t="str">
            <v>0752</v>
          </cell>
          <cell r="B742" t="str">
            <v>任小钢</v>
          </cell>
          <cell r="C742" t="str">
            <v>装配车间</v>
          </cell>
        </row>
        <row r="743">
          <cell r="A743" t="str">
            <v>0753</v>
          </cell>
          <cell r="B743" t="str">
            <v>江虎</v>
          </cell>
          <cell r="C743" t="str">
            <v>机加车间</v>
          </cell>
        </row>
        <row r="744">
          <cell r="A744" t="str">
            <v>0754</v>
          </cell>
          <cell r="B744" t="str">
            <v>宋羽翼</v>
          </cell>
          <cell r="C744" t="str">
            <v>机加车间</v>
          </cell>
        </row>
        <row r="745">
          <cell r="A745" t="str">
            <v>0755</v>
          </cell>
          <cell r="B745" t="str">
            <v>郑星飞</v>
          </cell>
          <cell r="C745" t="str">
            <v>项目工程部</v>
          </cell>
        </row>
        <row r="746">
          <cell r="A746" t="str">
            <v>0756</v>
          </cell>
          <cell r="B746" t="str">
            <v>王成兵</v>
          </cell>
          <cell r="C746" t="str">
            <v>机加车间</v>
          </cell>
        </row>
        <row r="747">
          <cell r="A747" t="str">
            <v>0757</v>
          </cell>
          <cell r="B747" t="str">
            <v>林小军</v>
          </cell>
          <cell r="C747" t="str">
            <v>装配车间</v>
          </cell>
        </row>
        <row r="748">
          <cell r="A748" t="str">
            <v>0758</v>
          </cell>
          <cell r="B748" t="str">
            <v>郑艳明</v>
          </cell>
          <cell r="C748" t="str">
            <v>铆焊车间</v>
          </cell>
        </row>
        <row r="749">
          <cell r="A749" t="str">
            <v>0760</v>
          </cell>
          <cell r="B749" t="str">
            <v>赵义俊</v>
          </cell>
          <cell r="C749" t="str">
            <v>铆焊车间</v>
          </cell>
        </row>
        <row r="750">
          <cell r="A750" t="str">
            <v>0761</v>
          </cell>
          <cell r="B750" t="str">
            <v>张叶</v>
          </cell>
          <cell r="C750" t="str">
            <v>人力资源部</v>
          </cell>
        </row>
        <row r="751">
          <cell r="A751" t="str">
            <v>0762</v>
          </cell>
          <cell r="B751" t="str">
            <v>李敬山</v>
          </cell>
          <cell r="C751" t="str">
            <v>机加车间</v>
          </cell>
        </row>
        <row r="752">
          <cell r="A752" t="str">
            <v>0763</v>
          </cell>
          <cell r="B752" t="str">
            <v>卜电业</v>
          </cell>
          <cell r="C752" t="str">
            <v>机加车间</v>
          </cell>
        </row>
        <row r="753">
          <cell r="A753" t="str">
            <v>0764</v>
          </cell>
          <cell r="B753" t="str">
            <v>毕诗翔</v>
          </cell>
          <cell r="C753" t="str">
            <v>机加车间</v>
          </cell>
        </row>
        <row r="754">
          <cell r="A754" t="str">
            <v>0765</v>
          </cell>
          <cell r="B754" t="str">
            <v>蔡丽楠</v>
          </cell>
          <cell r="C754" t="str">
            <v>6S管理部</v>
          </cell>
        </row>
        <row r="755">
          <cell r="A755" t="str">
            <v>0766</v>
          </cell>
          <cell r="B755" t="str">
            <v>姬健</v>
          </cell>
          <cell r="C755" t="str">
            <v>装配车间</v>
          </cell>
        </row>
        <row r="756">
          <cell r="A756" t="str">
            <v>0767</v>
          </cell>
          <cell r="B756" t="str">
            <v>方天全</v>
          </cell>
          <cell r="C756" t="str">
            <v>装配车间</v>
          </cell>
        </row>
        <row r="757">
          <cell r="A757" t="str">
            <v>0768</v>
          </cell>
          <cell r="B757" t="str">
            <v>余旭东</v>
          </cell>
          <cell r="C757" t="str">
            <v>装配车间</v>
          </cell>
        </row>
        <row r="758">
          <cell r="A758" t="str">
            <v>0769</v>
          </cell>
          <cell r="B758" t="str">
            <v>张洪源</v>
          </cell>
          <cell r="C758" t="str">
            <v>铆焊车间</v>
          </cell>
        </row>
        <row r="759">
          <cell r="A759" t="str">
            <v>0770</v>
          </cell>
          <cell r="B759" t="str">
            <v>朱健</v>
          </cell>
          <cell r="C759" t="str">
            <v>电气自动化部</v>
          </cell>
        </row>
        <row r="760">
          <cell r="A760" t="str">
            <v>0771</v>
          </cell>
          <cell r="B760" t="str">
            <v>王少钦</v>
          </cell>
          <cell r="C760" t="str">
            <v>项目工程部</v>
          </cell>
        </row>
        <row r="761">
          <cell r="A761" t="str">
            <v>0772</v>
          </cell>
          <cell r="B761" t="str">
            <v>张勇</v>
          </cell>
          <cell r="C761" t="str">
            <v>机加车间</v>
          </cell>
        </row>
        <row r="762">
          <cell r="A762" t="str">
            <v>0773</v>
          </cell>
          <cell r="B762" t="str">
            <v>王圣松</v>
          </cell>
          <cell r="C762" t="str">
            <v>机加车间</v>
          </cell>
        </row>
        <row r="763">
          <cell r="A763" t="str">
            <v>0774</v>
          </cell>
          <cell r="B763" t="str">
            <v>李生宽</v>
          </cell>
          <cell r="C763" t="str">
            <v>机加车间</v>
          </cell>
        </row>
        <row r="764">
          <cell r="A764" t="str">
            <v>0775</v>
          </cell>
          <cell r="B764" t="str">
            <v>彭群辉</v>
          </cell>
          <cell r="C764" t="str">
            <v>生产保障部</v>
          </cell>
        </row>
        <row r="765">
          <cell r="A765" t="str">
            <v>0776</v>
          </cell>
          <cell r="B765" t="str">
            <v>林鑫</v>
          </cell>
          <cell r="C765" t="str">
            <v>机加车间</v>
          </cell>
        </row>
        <row r="766">
          <cell r="A766" t="str">
            <v>0777</v>
          </cell>
          <cell r="B766" t="str">
            <v>义志和</v>
          </cell>
          <cell r="C766" t="str">
            <v>铆焊车间</v>
          </cell>
        </row>
        <row r="767">
          <cell r="A767" t="str">
            <v>0778</v>
          </cell>
          <cell r="B767" t="str">
            <v>黄智勇</v>
          </cell>
          <cell r="C767" t="str">
            <v>电气自动化部</v>
          </cell>
        </row>
        <row r="768">
          <cell r="A768" t="str">
            <v>0779</v>
          </cell>
          <cell r="B768" t="str">
            <v>刘成云</v>
          </cell>
          <cell r="C768" t="str">
            <v>铆焊车间</v>
          </cell>
        </row>
        <row r="769">
          <cell r="A769" t="str">
            <v>0780</v>
          </cell>
          <cell r="B769" t="str">
            <v>陈维国</v>
          </cell>
          <cell r="C769" t="str">
            <v>铆焊车间</v>
          </cell>
        </row>
        <row r="770">
          <cell r="A770" t="str">
            <v>0781</v>
          </cell>
          <cell r="B770" t="str">
            <v>李树德</v>
          </cell>
          <cell r="C770" t="str">
            <v>铆焊车间</v>
          </cell>
        </row>
        <row r="771">
          <cell r="A771" t="str">
            <v>0782</v>
          </cell>
          <cell r="B771" t="str">
            <v>袁洪平</v>
          </cell>
          <cell r="C771" t="str">
            <v>铆焊车间</v>
          </cell>
        </row>
        <row r="772">
          <cell r="A772" t="str">
            <v>0783</v>
          </cell>
          <cell r="B772" t="str">
            <v>义智君</v>
          </cell>
          <cell r="C772" t="str">
            <v>铆焊车间</v>
          </cell>
        </row>
        <row r="773">
          <cell r="A773" t="str">
            <v>0784</v>
          </cell>
          <cell r="B773" t="str">
            <v>李维领</v>
          </cell>
          <cell r="C773" t="str">
            <v>铆焊车间</v>
          </cell>
        </row>
        <row r="774">
          <cell r="A774" t="str">
            <v>0785</v>
          </cell>
          <cell r="B774" t="str">
            <v>王俊俊</v>
          </cell>
          <cell r="C774" t="str">
            <v>机加车间</v>
          </cell>
        </row>
        <row r="775">
          <cell r="A775" t="str">
            <v>0786</v>
          </cell>
          <cell r="B775" t="str">
            <v>陈红新</v>
          </cell>
          <cell r="C775" t="str">
            <v>电气自动化部</v>
          </cell>
        </row>
        <row r="776">
          <cell r="A776" t="str">
            <v>0787</v>
          </cell>
          <cell r="B776" t="str">
            <v>陈怀东</v>
          </cell>
          <cell r="C776" t="str">
            <v>机加车间</v>
          </cell>
        </row>
        <row r="777">
          <cell r="A777" t="str">
            <v>0788</v>
          </cell>
          <cell r="B777" t="str">
            <v>陈祥伟</v>
          </cell>
          <cell r="C777" t="str">
            <v>机械设计部</v>
          </cell>
        </row>
        <row r="778">
          <cell r="A778" t="str">
            <v>0789</v>
          </cell>
          <cell r="B778" t="str">
            <v>单乾坤</v>
          </cell>
          <cell r="C778" t="str">
            <v>机加车间</v>
          </cell>
        </row>
        <row r="779">
          <cell r="A779" t="str">
            <v>0790</v>
          </cell>
          <cell r="B779" t="str">
            <v>王明</v>
          </cell>
          <cell r="C779" t="str">
            <v>装配车间</v>
          </cell>
        </row>
        <row r="780">
          <cell r="A780" t="str">
            <v>0791</v>
          </cell>
          <cell r="B780" t="str">
            <v>王婷婷</v>
          </cell>
          <cell r="C780" t="str">
            <v>电气自动化部</v>
          </cell>
        </row>
        <row r="781">
          <cell r="A781" t="str">
            <v>0792</v>
          </cell>
          <cell r="B781" t="str">
            <v>王晓飞</v>
          </cell>
          <cell r="C781" t="str">
            <v>机加车间</v>
          </cell>
        </row>
        <row r="782">
          <cell r="A782" t="str">
            <v>0793</v>
          </cell>
          <cell r="B782" t="str">
            <v>苏沈华</v>
          </cell>
          <cell r="C782" t="str">
            <v>机加车间</v>
          </cell>
        </row>
        <row r="783">
          <cell r="A783" t="str">
            <v>0794</v>
          </cell>
          <cell r="B783" t="str">
            <v>李正青</v>
          </cell>
          <cell r="C783" t="str">
            <v>机加车间</v>
          </cell>
        </row>
        <row r="784">
          <cell r="A784" t="str">
            <v>0795</v>
          </cell>
          <cell r="B784" t="str">
            <v>郭瑞奇</v>
          </cell>
          <cell r="C784" t="str">
            <v>装配车间</v>
          </cell>
        </row>
        <row r="785">
          <cell r="A785" t="str">
            <v>0796</v>
          </cell>
          <cell r="B785" t="str">
            <v>周韧</v>
          </cell>
          <cell r="C785" t="str">
            <v>机加车间</v>
          </cell>
        </row>
        <row r="786">
          <cell r="A786" t="str">
            <v>0797</v>
          </cell>
          <cell r="B786" t="str">
            <v>顾宇杰</v>
          </cell>
          <cell r="C786" t="str">
            <v>机加车间</v>
          </cell>
        </row>
        <row r="787">
          <cell r="A787" t="str">
            <v>0798</v>
          </cell>
          <cell r="B787" t="str">
            <v>彭小雨</v>
          </cell>
          <cell r="C787" t="str">
            <v>机加车间</v>
          </cell>
        </row>
        <row r="788">
          <cell r="A788" t="str">
            <v>0799</v>
          </cell>
          <cell r="B788" t="str">
            <v>金磊</v>
          </cell>
          <cell r="C788" t="str">
            <v>装配车间</v>
          </cell>
        </row>
        <row r="789">
          <cell r="A789" t="str">
            <v>0800</v>
          </cell>
          <cell r="B789" t="str">
            <v>化新友</v>
          </cell>
          <cell r="C789" t="str">
            <v>装配车间</v>
          </cell>
        </row>
        <row r="790">
          <cell r="A790" t="str">
            <v>0801</v>
          </cell>
          <cell r="B790" t="str">
            <v>柳丹宇</v>
          </cell>
          <cell r="C790" t="str">
            <v>机加车间</v>
          </cell>
        </row>
        <row r="791">
          <cell r="A791" t="str">
            <v>0802</v>
          </cell>
          <cell r="B791" t="str">
            <v>马财春</v>
          </cell>
          <cell r="C791" t="str">
            <v>铆焊车间</v>
          </cell>
        </row>
        <row r="792">
          <cell r="A792" t="str">
            <v>0803</v>
          </cell>
          <cell r="B792" t="str">
            <v>晏闯</v>
          </cell>
          <cell r="C792" t="str">
            <v>工程安装部</v>
          </cell>
        </row>
        <row r="793">
          <cell r="A793" t="str">
            <v>0804</v>
          </cell>
          <cell r="B793" t="str">
            <v>庄壮</v>
          </cell>
          <cell r="C793" t="str">
            <v>工程安装部</v>
          </cell>
        </row>
        <row r="794">
          <cell r="A794" t="str">
            <v>0805</v>
          </cell>
          <cell r="B794" t="str">
            <v>孙广旭</v>
          </cell>
          <cell r="C794" t="str">
            <v>工程安装部</v>
          </cell>
        </row>
        <row r="795">
          <cell r="A795" t="str">
            <v>0806</v>
          </cell>
          <cell r="B795" t="str">
            <v>徐宝成</v>
          </cell>
          <cell r="C795" t="str">
            <v>工程安装部</v>
          </cell>
        </row>
        <row r="796">
          <cell r="A796" t="str">
            <v>0807</v>
          </cell>
          <cell r="B796" t="str">
            <v>毛驰航</v>
          </cell>
          <cell r="C796" t="str">
            <v>装配车间</v>
          </cell>
        </row>
        <row r="797">
          <cell r="A797" t="str">
            <v>0808</v>
          </cell>
          <cell r="B797" t="str">
            <v>孙遨</v>
          </cell>
          <cell r="C797" t="str">
            <v>工艺规划部</v>
          </cell>
        </row>
        <row r="798">
          <cell r="A798" t="str">
            <v>0809</v>
          </cell>
          <cell r="B798" t="str">
            <v>田发旭</v>
          </cell>
          <cell r="C798" t="str">
            <v>工艺规划部</v>
          </cell>
        </row>
        <row r="799">
          <cell r="A799" t="str">
            <v>0810</v>
          </cell>
          <cell r="B799" t="str">
            <v>周泽</v>
          </cell>
          <cell r="C799" t="str">
            <v>工艺规划部</v>
          </cell>
        </row>
        <row r="800">
          <cell r="A800" t="str">
            <v>0811</v>
          </cell>
          <cell r="B800" t="str">
            <v>黎海波</v>
          </cell>
          <cell r="C800" t="str">
            <v>项目工程部</v>
          </cell>
        </row>
        <row r="801">
          <cell r="A801" t="str">
            <v>0812</v>
          </cell>
          <cell r="B801" t="str">
            <v>高波</v>
          </cell>
          <cell r="C801" t="str">
            <v>项目工程部</v>
          </cell>
        </row>
        <row r="802">
          <cell r="A802" t="str">
            <v>0813</v>
          </cell>
          <cell r="B802" t="str">
            <v>杨春雨</v>
          </cell>
          <cell r="C802" t="str">
            <v>项目工程部</v>
          </cell>
        </row>
        <row r="803">
          <cell r="A803" t="str">
            <v>0814</v>
          </cell>
          <cell r="B803" t="str">
            <v>常振敏</v>
          </cell>
          <cell r="C803" t="str">
            <v>项目工程部</v>
          </cell>
        </row>
        <row r="804">
          <cell r="A804" t="str">
            <v>0815</v>
          </cell>
          <cell r="B804" t="str">
            <v>罗维祯</v>
          </cell>
          <cell r="C804" t="str">
            <v>机械设计部</v>
          </cell>
        </row>
        <row r="805">
          <cell r="A805" t="str">
            <v>0816</v>
          </cell>
          <cell r="B805" t="str">
            <v>吴冰</v>
          </cell>
          <cell r="C805" t="str">
            <v>机械设计部</v>
          </cell>
        </row>
        <row r="806">
          <cell r="A806" t="str">
            <v>0817</v>
          </cell>
          <cell r="B806" t="str">
            <v>杜丹</v>
          </cell>
          <cell r="C806" t="str">
            <v>机械设计部</v>
          </cell>
        </row>
        <row r="807">
          <cell r="A807" t="str">
            <v>0818</v>
          </cell>
          <cell r="B807" t="str">
            <v>陈丹</v>
          </cell>
          <cell r="C807" t="str">
            <v>机械设计部</v>
          </cell>
        </row>
        <row r="808">
          <cell r="A808" t="str">
            <v>0819</v>
          </cell>
          <cell r="B808" t="str">
            <v>赫连晓倩</v>
          </cell>
          <cell r="C808" t="str">
            <v>机械设计部</v>
          </cell>
        </row>
        <row r="809">
          <cell r="A809" t="str">
            <v>0820</v>
          </cell>
          <cell r="B809" t="str">
            <v>过佩文</v>
          </cell>
          <cell r="C809" t="str">
            <v>机械设计部</v>
          </cell>
        </row>
        <row r="810">
          <cell r="A810" t="str">
            <v>0821</v>
          </cell>
          <cell r="B810" t="str">
            <v>周忠明</v>
          </cell>
          <cell r="C810" t="str">
            <v>机加车间</v>
          </cell>
        </row>
        <row r="811">
          <cell r="A811" t="str">
            <v>0822</v>
          </cell>
          <cell r="B811" t="str">
            <v>周边炜</v>
          </cell>
          <cell r="C811" t="str">
            <v>机加车间</v>
          </cell>
        </row>
        <row r="812">
          <cell r="A812" t="str">
            <v>0823</v>
          </cell>
          <cell r="B812" t="str">
            <v>吕智刚</v>
          </cell>
          <cell r="C812" t="str">
            <v>电气自动化部</v>
          </cell>
        </row>
        <row r="813">
          <cell r="A813" t="str">
            <v>0824</v>
          </cell>
          <cell r="B813" t="str">
            <v>蔡中刚</v>
          </cell>
          <cell r="C813" t="str">
            <v>铆焊车间</v>
          </cell>
        </row>
        <row r="814">
          <cell r="A814" t="str">
            <v>0825</v>
          </cell>
          <cell r="B814" t="str">
            <v>张慈顺</v>
          </cell>
          <cell r="C814" t="str">
            <v>机加车间</v>
          </cell>
        </row>
        <row r="815">
          <cell r="A815" t="str">
            <v>0826</v>
          </cell>
          <cell r="B815" t="str">
            <v>刘钢强</v>
          </cell>
          <cell r="C815" t="str">
            <v>机加车间</v>
          </cell>
        </row>
        <row r="816">
          <cell r="A816" t="str">
            <v>0827</v>
          </cell>
          <cell r="B816" t="str">
            <v>邵贺朋</v>
          </cell>
          <cell r="C816" t="str">
            <v>工艺规划部</v>
          </cell>
        </row>
        <row r="817">
          <cell r="A817" t="str">
            <v>0828</v>
          </cell>
          <cell r="B817" t="str">
            <v>李晓沛</v>
          </cell>
          <cell r="C817" t="str">
            <v>工艺规划部</v>
          </cell>
        </row>
        <row r="818">
          <cell r="A818" t="str">
            <v>0829</v>
          </cell>
          <cell r="B818" t="str">
            <v>袁野</v>
          </cell>
          <cell r="C818" t="str">
            <v>机加车间</v>
          </cell>
        </row>
        <row r="819">
          <cell r="A819" t="str">
            <v>0830</v>
          </cell>
          <cell r="B819" t="str">
            <v>刘继豪</v>
          </cell>
          <cell r="C819" t="str">
            <v>装配车间</v>
          </cell>
        </row>
        <row r="820">
          <cell r="A820" t="str">
            <v>0831</v>
          </cell>
          <cell r="B820" t="str">
            <v>范同云</v>
          </cell>
          <cell r="C820" t="str">
            <v>机加车间</v>
          </cell>
        </row>
        <row r="821">
          <cell r="A821" t="str">
            <v>0832</v>
          </cell>
          <cell r="B821" t="str">
            <v>董磊</v>
          </cell>
          <cell r="C821" t="str">
            <v>电气自动化部</v>
          </cell>
        </row>
        <row r="822">
          <cell r="A822" t="str">
            <v>0833</v>
          </cell>
          <cell r="B822" t="str">
            <v>陈开勇</v>
          </cell>
          <cell r="C822" t="str">
            <v>机加车间</v>
          </cell>
        </row>
        <row r="823">
          <cell r="A823" t="str">
            <v>0834</v>
          </cell>
          <cell r="B823" t="str">
            <v>义海青</v>
          </cell>
          <cell r="C823" t="str">
            <v>机加车间</v>
          </cell>
        </row>
        <row r="824">
          <cell r="A824" t="str">
            <v>0835</v>
          </cell>
          <cell r="B824" t="str">
            <v>廉鹏</v>
          </cell>
          <cell r="C824" t="str">
            <v>工艺规划部</v>
          </cell>
        </row>
        <row r="825">
          <cell r="A825" t="str">
            <v>0836</v>
          </cell>
          <cell r="B825" t="str">
            <v>张金顺</v>
          </cell>
          <cell r="C825" t="str">
            <v>铆焊车间</v>
          </cell>
        </row>
        <row r="826">
          <cell r="A826" t="str">
            <v>0837</v>
          </cell>
          <cell r="B826" t="str">
            <v>张克胜</v>
          </cell>
          <cell r="C826" t="str">
            <v>铆焊车间</v>
          </cell>
        </row>
        <row r="827">
          <cell r="A827" t="str">
            <v>0838</v>
          </cell>
          <cell r="B827" t="str">
            <v>石勇要</v>
          </cell>
          <cell r="C827" t="str">
            <v>装配车间</v>
          </cell>
        </row>
        <row r="828">
          <cell r="A828" t="str">
            <v>0839</v>
          </cell>
          <cell r="B828" t="str">
            <v>耿朋</v>
          </cell>
          <cell r="C828" t="str">
            <v>采购部</v>
          </cell>
        </row>
        <row r="829">
          <cell r="A829" t="str">
            <v>0840</v>
          </cell>
          <cell r="B829" t="str">
            <v>李肖俊</v>
          </cell>
          <cell r="C829" t="str">
            <v>电气自动化部</v>
          </cell>
        </row>
        <row r="830">
          <cell r="A830" t="str">
            <v>0841</v>
          </cell>
          <cell r="B830" t="str">
            <v>智荣坤</v>
          </cell>
          <cell r="C830" t="str">
            <v>测量室</v>
          </cell>
        </row>
        <row r="831">
          <cell r="A831" t="str">
            <v>0842</v>
          </cell>
          <cell r="B831" t="str">
            <v>韩龙平</v>
          </cell>
          <cell r="C831" t="str">
            <v>机加车间</v>
          </cell>
        </row>
        <row r="832">
          <cell r="A832" t="str">
            <v>0843</v>
          </cell>
          <cell r="B832" t="str">
            <v>何如华</v>
          </cell>
          <cell r="C832" t="str">
            <v>铆焊车间</v>
          </cell>
        </row>
        <row r="833">
          <cell r="A833" t="str">
            <v>0844</v>
          </cell>
          <cell r="B833" t="str">
            <v>邱智民</v>
          </cell>
          <cell r="C833" t="str">
            <v>铆焊车间</v>
          </cell>
        </row>
        <row r="834">
          <cell r="A834" t="str">
            <v>0845</v>
          </cell>
          <cell r="B834" t="str">
            <v>张付龙</v>
          </cell>
          <cell r="C834" t="str">
            <v>机加车间</v>
          </cell>
        </row>
        <row r="835">
          <cell r="A835" t="str">
            <v>0846</v>
          </cell>
          <cell r="B835" t="str">
            <v>周云龙</v>
          </cell>
          <cell r="C835" t="str">
            <v>工艺规划部</v>
          </cell>
        </row>
        <row r="836">
          <cell r="A836" t="str">
            <v>0847</v>
          </cell>
          <cell r="B836" t="str">
            <v>莫燕玲</v>
          </cell>
          <cell r="C836" t="str">
            <v>项目工程部</v>
          </cell>
        </row>
        <row r="837">
          <cell r="A837" t="str">
            <v>0848</v>
          </cell>
          <cell r="B837" t="str">
            <v>钱光锦</v>
          </cell>
          <cell r="C837" t="str">
            <v>铆焊车间</v>
          </cell>
        </row>
        <row r="838">
          <cell r="A838" t="str">
            <v>0849</v>
          </cell>
          <cell r="B838" t="str">
            <v>刘恩志</v>
          </cell>
          <cell r="C838" t="str">
            <v>机加车间</v>
          </cell>
        </row>
        <row r="839">
          <cell r="A839" t="str">
            <v>0850</v>
          </cell>
          <cell r="B839" t="str">
            <v>石恒胜</v>
          </cell>
          <cell r="C839" t="str">
            <v>工程安装部</v>
          </cell>
        </row>
        <row r="840">
          <cell r="A840" t="str">
            <v>0851</v>
          </cell>
          <cell r="B840" t="str">
            <v>李凤祥</v>
          </cell>
          <cell r="C840" t="str">
            <v>装配车间</v>
          </cell>
        </row>
        <row r="841">
          <cell r="A841" t="str">
            <v>0852</v>
          </cell>
          <cell r="B841" t="str">
            <v>叶小伟</v>
          </cell>
          <cell r="C841" t="str">
            <v>机加车间</v>
          </cell>
        </row>
        <row r="842">
          <cell r="A842" t="str">
            <v>0853</v>
          </cell>
          <cell r="B842" t="str">
            <v>吉东升</v>
          </cell>
          <cell r="C842" t="str">
            <v>工程安装部</v>
          </cell>
        </row>
        <row r="843">
          <cell r="A843" t="str">
            <v>0854</v>
          </cell>
          <cell r="B843" t="str">
            <v>李峰</v>
          </cell>
          <cell r="C843" t="str">
            <v>机加车间</v>
          </cell>
        </row>
        <row r="844">
          <cell r="A844" t="str">
            <v>0855</v>
          </cell>
          <cell r="B844" t="str">
            <v>徐顺阳</v>
          </cell>
          <cell r="C844" t="str">
            <v>机加车间</v>
          </cell>
        </row>
        <row r="845">
          <cell r="A845" t="str">
            <v>0856</v>
          </cell>
          <cell r="B845" t="str">
            <v>叶鑫</v>
          </cell>
          <cell r="C845" t="str">
            <v>机加车间</v>
          </cell>
        </row>
        <row r="846">
          <cell r="A846" t="str">
            <v>0857</v>
          </cell>
          <cell r="B846" t="str">
            <v>高俊</v>
          </cell>
          <cell r="C846" t="str">
            <v>测量室</v>
          </cell>
        </row>
        <row r="847">
          <cell r="A847" t="str">
            <v>0858</v>
          </cell>
          <cell r="B847" t="str">
            <v>万孝远</v>
          </cell>
          <cell r="C847" t="str">
            <v>装配车间</v>
          </cell>
        </row>
        <row r="848">
          <cell r="A848" t="str">
            <v>0859</v>
          </cell>
          <cell r="B848" t="str">
            <v>曹磊</v>
          </cell>
          <cell r="C848" t="str">
            <v>工程安装部</v>
          </cell>
        </row>
        <row r="849">
          <cell r="A849" t="str">
            <v>0860</v>
          </cell>
          <cell r="B849" t="str">
            <v>李宝军</v>
          </cell>
          <cell r="C849" t="str">
            <v>机加车间</v>
          </cell>
        </row>
        <row r="850">
          <cell r="A850" t="str">
            <v>0861</v>
          </cell>
          <cell r="B850" t="str">
            <v>王大东</v>
          </cell>
          <cell r="C850" t="str">
            <v>铆焊车间</v>
          </cell>
        </row>
        <row r="851">
          <cell r="A851" t="str">
            <v>0862</v>
          </cell>
          <cell r="B851" t="str">
            <v>王许伟</v>
          </cell>
          <cell r="C851" t="str">
            <v>铆焊车间</v>
          </cell>
        </row>
        <row r="852">
          <cell r="A852" t="str">
            <v>0863</v>
          </cell>
          <cell r="B852" t="str">
            <v>王海峰</v>
          </cell>
          <cell r="C852" t="str">
            <v>铆焊车间</v>
          </cell>
        </row>
        <row r="853">
          <cell r="A853" t="str">
            <v>0864</v>
          </cell>
          <cell r="B853" t="str">
            <v>刘志</v>
          </cell>
          <cell r="C853" t="str">
            <v>机加车间</v>
          </cell>
        </row>
        <row r="854">
          <cell r="A854" t="str">
            <v>0865</v>
          </cell>
          <cell r="B854" t="str">
            <v>刘艳华</v>
          </cell>
          <cell r="C854" t="str">
            <v>油漆车间</v>
          </cell>
        </row>
        <row r="855">
          <cell r="A855" t="str">
            <v>0866</v>
          </cell>
          <cell r="B855" t="str">
            <v>赵晓光</v>
          </cell>
          <cell r="C855" t="str">
            <v>机加车间</v>
          </cell>
        </row>
        <row r="856">
          <cell r="A856" t="str">
            <v>0867</v>
          </cell>
          <cell r="B856" t="str">
            <v>霍爱兰</v>
          </cell>
          <cell r="C856" t="str">
            <v>铆焊车间</v>
          </cell>
        </row>
        <row r="857">
          <cell r="A857" t="str">
            <v>0868</v>
          </cell>
          <cell r="B857" t="str">
            <v>范光全</v>
          </cell>
          <cell r="C857" t="str">
            <v>油漆车间</v>
          </cell>
        </row>
        <row r="858">
          <cell r="A858" t="str">
            <v>0869</v>
          </cell>
          <cell r="B858" t="str">
            <v>段青</v>
          </cell>
          <cell r="C858" t="str">
            <v>电气自动化部</v>
          </cell>
        </row>
        <row r="859">
          <cell r="A859" t="str">
            <v>0870</v>
          </cell>
          <cell r="B859" t="str">
            <v>刘宗伍</v>
          </cell>
          <cell r="C859" t="str">
            <v>铆焊车间</v>
          </cell>
        </row>
        <row r="860">
          <cell r="A860" t="str">
            <v>0871</v>
          </cell>
          <cell r="B860" t="str">
            <v>孙标标</v>
          </cell>
          <cell r="C860" t="str">
            <v>电气自动化部</v>
          </cell>
        </row>
        <row r="861">
          <cell r="A861" t="str">
            <v>0872</v>
          </cell>
          <cell r="B861" t="str">
            <v>苏仕强</v>
          </cell>
          <cell r="C861" t="str">
            <v>装配车间</v>
          </cell>
        </row>
        <row r="862">
          <cell r="A862" t="str">
            <v>0873</v>
          </cell>
          <cell r="B862" t="str">
            <v>母元超</v>
          </cell>
          <cell r="C862" t="str">
            <v>铆焊车间</v>
          </cell>
        </row>
        <row r="863">
          <cell r="A863" t="str">
            <v>0874</v>
          </cell>
          <cell r="B863" t="str">
            <v>赵欢欢</v>
          </cell>
          <cell r="C863" t="str">
            <v>铆焊车间</v>
          </cell>
        </row>
        <row r="864">
          <cell r="A864" t="str">
            <v>0875</v>
          </cell>
          <cell r="B864" t="str">
            <v>刘洋</v>
          </cell>
          <cell r="C864" t="str">
            <v>IT部</v>
          </cell>
        </row>
        <row r="865">
          <cell r="A865" t="str">
            <v>0876</v>
          </cell>
          <cell r="B865" t="str">
            <v>杨建华</v>
          </cell>
          <cell r="C865" t="str">
            <v>仓库</v>
          </cell>
        </row>
        <row r="866">
          <cell r="A866" t="str">
            <v>0877</v>
          </cell>
          <cell r="B866" t="str">
            <v>才晓莉</v>
          </cell>
          <cell r="C866" t="str">
            <v>测量室</v>
          </cell>
        </row>
        <row r="867">
          <cell r="A867" t="str">
            <v>0878</v>
          </cell>
          <cell r="B867" t="str">
            <v>张英豪</v>
          </cell>
          <cell r="C867" t="str">
            <v>机械设计部</v>
          </cell>
        </row>
        <row r="868">
          <cell r="A868" t="str">
            <v>0879</v>
          </cell>
          <cell r="B868" t="str">
            <v>文鹏</v>
          </cell>
          <cell r="C868" t="str">
            <v>装配车间</v>
          </cell>
        </row>
        <row r="869">
          <cell r="A869" t="str">
            <v>0880</v>
          </cell>
          <cell r="B869" t="str">
            <v>熊彬</v>
          </cell>
          <cell r="C869" t="str">
            <v>测量室</v>
          </cell>
        </row>
        <row r="870">
          <cell r="A870" t="str">
            <v>0881</v>
          </cell>
          <cell r="B870" t="str">
            <v>孙培</v>
          </cell>
          <cell r="C870" t="str">
            <v>铆焊车间</v>
          </cell>
        </row>
        <row r="871">
          <cell r="A871" t="str">
            <v>0882</v>
          </cell>
          <cell r="B871" t="str">
            <v>王建</v>
          </cell>
          <cell r="C871" t="str">
            <v>仓库</v>
          </cell>
        </row>
        <row r="872">
          <cell r="A872" t="str">
            <v>0883</v>
          </cell>
          <cell r="B872" t="str">
            <v>陶烨</v>
          </cell>
          <cell r="C872" t="str">
            <v>铆焊车间</v>
          </cell>
        </row>
        <row r="873">
          <cell r="A873" t="str">
            <v>0884</v>
          </cell>
          <cell r="B873" t="str">
            <v>李先进</v>
          </cell>
          <cell r="C873" t="str">
            <v>装配车间</v>
          </cell>
        </row>
        <row r="874">
          <cell r="A874" t="str">
            <v>0885</v>
          </cell>
          <cell r="B874" t="str">
            <v>康洹铨</v>
          </cell>
          <cell r="C874" t="str">
            <v>装配车间</v>
          </cell>
        </row>
        <row r="875">
          <cell r="A875" t="str">
            <v>0886</v>
          </cell>
          <cell r="B875" t="str">
            <v>涂龙兵</v>
          </cell>
          <cell r="C875" t="str">
            <v>装配车间</v>
          </cell>
        </row>
        <row r="876">
          <cell r="A876" t="str">
            <v>0887</v>
          </cell>
          <cell r="B876" t="str">
            <v>邵先付</v>
          </cell>
          <cell r="C876" t="str">
            <v>装配车间</v>
          </cell>
        </row>
        <row r="877">
          <cell r="A877" t="str">
            <v>0888</v>
          </cell>
          <cell r="B877" t="str">
            <v>王盛</v>
          </cell>
          <cell r="C877" t="str">
            <v>6S管理部</v>
          </cell>
        </row>
        <row r="878">
          <cell r="A878" t="str">
            <v>0889</v>
          </cell>
          <cell r="B878" t="str">
            <v>李杰</v>
          </cell>
          <cell r="C878" t="str">
            <v>铆焊车间</v>
          </cell>
        </row>
        <row r="879">
          <cell r="A879" t="str">
            <v>0890</v>
          </cell>
          <cell r="B879" t="str">
            <v>陈凌峰</v>
          </cell>
          <cell r="C879" t="str">
            <v>机加车间</v>
          </cell>
        </row>
        <row r="880">
          <cell r="A880" t="str">
            <v>0891</v>
          </cell>
          <cell r="B880" t="str">
            <v>于长坤</v>
          </cell>
          <cell r="C880" t="str">
            <v>铆焊车间</v>
          </cell>
        </row>
        <row r="881">
          <cell r="A881" t="str">
            <v>0892</v>
          </cell>
          <cell r="B881" t="str">
            <v>孙浩</v>
          </cell>
          <cell r="C881" t="str">
            <v>铆焊车间</v>
          </cell>
        </row>
        <row r="882">
          <cell r="A882" t="str">
            <v>0893</v>
          </cell>
          <cell r="B882" t="str">
            <v>唐德循</v>
          </cell>
          <cell r="C882" t="str">
            <v>铆焊车间</v>
          </cell>
        </row>
        <row r="883">
          <cell r="A883" t="str">
            <v>0894</v>
          </cell>
          <cell r="B883" t="str">
            <v>侯振博</v>
          </cell>
          <cell r="C883" t="str">
            <v>装配车间</v>
          </cell>
        </row>
        <row r="884">
          <cell r="A884" t="str">
            <v>0895</v>
          </cell>
          <cell r="B884" t="str">
            <v>顾洋</v>
          </cell>
          <cell r="C884" t="str">
            <v>仓库</v>
          </cell>
        </row>
        <row r="885">
          <cell r="A885" t="str">
            <v>0896</v>
          </cell>
          <cell r="B885" t="str">
            <v>刘亚</v>
          </cell>
          <cell r="C885" t="str">
            <v>装配车间</v>
          </cell>
        </row>
        <row r="886">
          <cell r="A886" t="str">
            <v>0897</v>
          </cell>
          <cell r="B886" t="str">
            <v>朱晓鹏</v>
          </cell>
          <cell r="C886" t="str">
            <v>装配车间</v>
          </cell>
        </row>
        <row r="887">
          <cell r="A887" t="str">
            <v>0898</v>
          </cell>
          <cell r="B887" t="str">
            <v>倪军之</v>
          </cell>
          <cell r="C887" t="str">
            <v>铆焊车间</v>
          </cell>
        </row>
        <row r="888">
          <cell r="A888" t="str">
            <v>0899</v>
          </cell>
          <cell r="B888" t="str">
            <v>夏伟明</v>
          </cell>
          <cell r="C888" t="str">
            <v>铆焊车间</v>
          </cell>
        </row>
        <row r="889">
          <cell r="A889" t="str">
            <v>0900</v>
          </cell>
          <cell r="B889" t="str">
            <v>申兰贵</v>
          </cell>
          <cell r="C889" t="str">
            <v>铆焊车间</v>
          </cell>
        </row>
        <row r="890">
          <cell r="A890" t="str">
            <v>0901</v>
          </cell>
          <cell r="B890" t="str">
            <v>何志伟</v>
          </cell>
          <cell r="C890" t="str">
            <v>装配车间</v>
          </cell>
        </row>
        <row r="891">
          <cell r="A891" t="str">
            <v>0902</v>
          </cell>
          <cell r="B891" t="str">
            <v>吴梦杰</v>
          </cell>
          <cell r="C891" t="str">
            <v>机械设计部</v>
          </cell>
        </row>
        <row r="892">
          <cell r="A892" t="str">
            <v>0903</v>
          </cell>
          <cell r="B892" t="str">
            <v>张李宏</v>
          </cell>
          <cell r="C892" t="str">
            <v>铆焊车间</v>
          </cell>
        </row>
        <row r="893">
          <cell r="A893" t="str">
            <v>0904</v>
          </cell>
          <cell r="B893" t="str">
            <v>王小斌</v>
          </cell>
          <cell r="C893" t="str">
            <v>仓库</v>
          </cell>
        </row>
        <row r="894">
          <cell r="A894" t="str">
            <v>0905</v>
          </cell>
          <cell r="B894" t="str">
            <v>任军</v>
          </cell>
          <cell r="C894" t="str">
            <v>6S管理部</v>
          </cell>
        </row>
        <row r="895">
          <cell r="A895" t="str">
            <v>0906</v>
          </cell>
          <cell r="B895" t="str">
            <v>黄名文</v>
          </cell>
          <cell r="C895" t="str">
            <v>铆焊车间</v>
          </cell>
        </row>
        <row r="896">
          <cell r="A896" t="str">
            <v>0907</v>
          </cell>
          <cell r="B896" t="str">
            <v>李金龙</v>
          </cell>
          <cell r="C896" t="str">
            <v>机加车间</v>
          </cell>
        </row>
        <row r="897">
          <cell r="A897" t="str">
            <v>0908</v>
          </cell>
          <cell r="B897" t="str">
            <v>魏昊</v>
          </cell>
          <cell r="C897" t="str">
            <v>项目工程部</v>
          </cell>
        </row>
        <row r="898">
          <cell r="A898" t="str">
            <v>0909</v>
          </cell>
          <cell r="B898" t="str">
            <v>张明辉</v>
          </cell>
          <cell r="C898" t="str">
            <v>机加车间</v>
          </cell>
        </row>
        <row r="899">
          <cell r="A899" t="str">
            <v>0910</v>
          </cell>
          <cell r="B899" t="str">
            <v>关鹏飞</v>
          </cell>
          <cell r="C899" t="str">
            <v>机加车间</v>
          </cell>
        </row>
        <row r="900">
          <cell r="A900" t="str">
            <v>0911</v>
          </cell>
          <cell r="B900" t="str">
            <v>何力明</v>
          </cell>
          <cell r="C900" t="str">
            <v>机加车间</v>
          </cell>
        </row>
        <row r="901">
          <cell r="A901" t="str">
            <v>0912</v>
          </cell>
          <cell r="B901" t="str">
            <v>龙勇亮</v>
          </cell>
          <cell r="C901" t="str">
            <v>铆焊车间</v>
          </cell>
        </row>
        <row r="902">
          <cell r="A902" t="str">
            <v>0913</v>
          </cell>
          <cell r="B902" t="str">
            <v>朱文锋</v>
          </cell>
          <cell r="C902" t="str">
            <v>后勤管理部</v>
          </cell>
        </row>
        <row r="903">
          <cell r="A903" t="str">
            <v>0914</v>
          </cell>
          <cell r="B903" t="str">
            <v>赵志情</v>
          </cell>
          <cell r="C903" t="str">
            <v>铆焊车间</v>
          </cell>
        </row>
        <row r="904">
          <cell r="A904" t="str">
            <v>0915</v>
          </cell>
          <cell r="B904" t="str">
            <v>李见锋</v>
          </cell>
          <cell r="C904" t="str">
            <v>机加车间</v>
          </cell>
        </row>
        <row r="905">
          <cell r="A905" t="str">
            <v>8026</v>
          </cell>
          <cell r="B905" t="str">
            <v>梁开平</v>
          </cell>
          <cell r="C905" t="str">
            <v>后勤管理部</v>
          </cell>
        </row>
        <row r="906">
          <cell r="A906" t="str">
            <v>9101</v>
          </cell>
          <cell r="B906" t="str">
            <v>总经理室职员</v>
          </cell>
          <cell r="C906" t="str">
            <v>总经理室</v>
          </cell>
        </row>
        <row r="907">
          <cell r="A907" t="str">
            <v>9102</v>
          </cell>
          <cell r="B907" t="str">
            <v>综合管理部职员</v>
          </cell>
          <cell r="C907" t="str">
            <v>后勤管理部</v>
          </cell>
        </row>
        <row r="908">
          <cell r="A908" t="str">
            <v>9103</v>
          </cell>
          <cell r="B908" t="str">
            <v>人力资源部职员</v>
          </cell>
          <cell r="C908" t="str">
            <v>人力资源部</v>
          </cell>
        </row>
        <row r="909">
          <cell r="A909" t="str">
            <v>9104</v>
          </cell>
          <cell r="B909" t="str">
            <v>资产财务部职员</v>
          </cell>
          <cell r="C909" t="str">
            <v>资产财务部</v>
          </cell>
        </row>
        <row r="910">
          <cell r="A910" t="str">
            <v>9105</v>
          </cell>
          <cell r="B910" t="str">
            <v>采购部职员</v>
          </cell>
          <cell r="C910" t="str">
            <v>采购部</v>
          </cell>
        </row>
        <row r="911">
          <cell r="A911" t="str">
            <v>9106</v>
          </cell>
          <cell r="B911" t="str">
            <v>仓库职工</v>
          </cell>
          <cell r="C911" t="str">
            <v>仓库</v>
          </cell>
        </row>
        <row r="912">
          <cell r="A912" t="str">
            <v>9107</v>
          </cell>
          <cell r="B912" t="str">
            <v>6S管理部职员</v>
          </cell>
          <cell r="C912" t="str">
            <v>6S管理部</v>
          </cell>
        </row>
        <row r="913">
          <cell r="A913" t="str">
            <v>9108</v>
          </cell>
          <cell r="B913" t="str">
            <v>综合管理部职员</v>
          </cell>
          <cell r="C913" t="str">
            <v>后勤管理部</v>
          </cell>
        </row>
        <row r="914">
          <cell r="A914" t="str">
            <v>9109</v>
          </cell>
          <cell r="B914" t="str">
            <v>总经办人员</v>
          </cell>
          <cell r="C914" t="str">
            <v>公司办公室</v>
          </cell>
        </row>
        <row r="915">
          <cell r="A915" t="str">
            <v>9111</v>
          </cell>
          <cell r="B915" t="str">
            <v>IT人员</v>
          </cell>
          <cell r="C915" t="str">
            <v>IT部</v>
          </cell>
        </row>
        <row r="916">
          <cell r="A916" t="str">
            <v>9201</v>
          </cell>
          <cell r="B916" t="str">
            <v>设计部职员</v>
          </cell>
          <cell r="C916" t="str">
            <v>机械设计部</v>
          </cell>
        </row>
        <row r="917">
          <cell r="A917" t="str">
            <v>9202</v>
          </cell>
          <cell r="B917" t="str">
            <v>技术部职员</v>
          </cell>
          <cell r="C917" t="str">
            <v>工艺规划部</v>
          </cell>
        </row>
        <row r="918">
          <cell r="A918" t="str">
            <v>9203</v>
          </cell>
          <cell r="B918" t="str">
            <v>项目部职员</v>
          </cell>
          <cell r="C918" t="str">
            <v>项目工程部</v>
          </cell>
        </row>
        <row r="919">
          <cell r="A919" t="str">
            <v>9204</v>
          </cell>
          <cell r="B919" t="str">
            <v>电气自动化部职员</v>
          </cell>
          <cell r="C919" t="str">
            <v>电气自动化部</v>
          </cell>
        </row>
        <row r="920">
          <cell r="A920" t="str">
            <v>9301</v>
          </cell>
          <cell r="B920" t="str">
            <v>机加车间职员</v>
          </cell>
          <cell r="C920" t="str">
            <v>机加车间</v>
          </cell>
        </row>
        <row r="921">
          <cell r="A921" t="str">
            <v>9302</v>
          </cell>
          <cell r="B921" t="str">
            <v>装配车间职员</v>
          </cell>
          <cell r="C921" t="str">
            <v>装配车间</v>
          </cell>
        </row>
        <row r="922">
          <cell r="A922" t="str">
            <v>9303</v>
          </cell>
          <cell r="B922" t="str">
            <v>铆焊车间职员</v>
          </cell>
          <cell r="C922" t="str">
            <v>铆焊车间</v>
          </cell>
        </row>
        <row r="923">
          <cell r="A923" t="str">
            <v>9304</v>
          </cell>
          <cell r="B923" t="str">
            <v>油漆车间职员</v>
          </cell>
          <cell r="C923" t="str">
            <v>油漆车间</v>
          </cell>
        </row>
        <row r="924">
          <cell r="A924" t="str">
            <v>9305</v>
          </cell>
          <cell r="B924" t="str">
            <v>生产保障部职员</v>
          </cell>
          <cell r="C924" t="str">
            <v>生产保障部</v>
          </cell>
        </row>
        <row r="925">
          <cell r="A925" t="str">
            <v>9306</v>
          </cell>
          <cell r="B925" t="str">
            <v>测量室职员</v>
          </cell>
          <cell r="C925" t="str">
            <v>测量室</v>
          </cell>
        </row>
        <row r="926">
          <cell r="A926" t="str">
            <v>9307</v>
          </cell>
          <cell r="B926" t="str">
            <v>工程安装部职员</v>
          </cell>
          <cell r="C926" t="str">
            <v>工程安装部</v>
          </cell>
        </row>
        <row r="927">
          <cell r="A927" t="str">
            <v>9308</v>
          </cell>
          <cell r="B927" t="str">
            <v>制造质量部职员</v>
          </cell>
          <cell r="C927" t="str">
            <v>制造质量部</v>
          </cell>
        </row>
        <row r="928">
          <cell r="A928" t="str">
            <v>9401</v>
          </cell>
          <cell r="B928" t="str">
            <v>沈阳办事处职员</v>
          </cell>
          <cell r="C928" t="str">
            <v>沈阳办事处筹建</v>
          </cell>
        </row>
      </sheetData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考勤卡"/>
      <sheetName val="程序"/>
      <sheetName val="考勤清单"/>
      <sheetName val="考勤汇总"/>
      <sheetName val="人员汇总"/>
      <sheetName val="人员汇总_正班"/>
      <sheetName val="人员汇总_加班"/>
      <sheetName val="职员"/>
      <sheetName val="项目"/>
      <sheetName val="临港模式"/>
      <sheetName val="公司模式"/>
      <sheetName val="现场考勤卡模式"/>
      <sheetName val="夜班工时标准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1">
          <cell r="A1" t="str">
            <v>cPsn_Num</v>
          </cell>
          <cell r="B1" t="str">
            <v>cPsn_Name</v>
          </cell>
          <cell r="C1" t="str">
            <v>cDepName</v>
          </cell>
        </row>
        <row r="2">
          <cell r="A2" t="str">
            <v>0001</v>
          </cell>
          <cell r="B2" t="str">
            <v>张会智</v>
          </cell>
          <cell r="C2" t="str">
            <v>测量室</v>
          </cell>
        </row>
        <row r="3">
          <cell r="A3" t="str">
            <v>0002</v>
          </cell>
          <cell r="B3" t="str">
            <v>孙世洋</v>
          </cell>
          <cell r="C3" t="str">
            <v>机加车间</v>
          </cell>
        </row>
        <row r="4">
          <cell r="A4" t="str">
            <v>0003</v>
          </cell>
          <cell r="B4" t="str">
            <v>陈明亮</v>
          </cell>
          <cell r="C4" t="str">
            <v>机加车间</v>
          </cell>
        </row>
        <row r="5">
          <cell r="A5" t="str">
            <v>0004</v>
          </cell>
          <cell r="B5" t="str">
            <v>陈明建</v>
          </cell>
          <cell r="C5" t="str">
            <v>机加车间</v>
          </cell>
        </row>
        <row r="6">
          <cell r="A6" t="str">
            <v>0005</v>
          </cell>
          <cell r="B6" t="str">
            <v>于伟中</v>
          </cell>
          <cell r="C6" t="str">
            <v>铆焊车间</v>
          </cell>
        </row>
        <row r="7">
          <cell r="A7" t="str">
            <v>0006</v>
          </cell>
          <cell r="B7" t="str">
            <v>陈刚</v>
          </cell>
          <cell r="C7" t="str">
            <v>机加车间</v>
          </cell>
        </row>
        <row r="8">
          <cell r="A8" t="str">
            <v>0007</v>
          </cell>
          <cell r="B8" t="str">
            <v>杜国强</v>
          </cell>
          <cell r="C8" t="str">
            <v>机加车间</v>
          </cell>
        </row>
        <row r="9">
          <cell r="A9" t="str">
            <v>0008</v>
          </cell>
          <cell r="B9" t="str">
            <v>杜双红</v>
          </cell>
          <cell r="C9" t="str">
            <v>机加车间</v>
          </cell>
        </row>
        <row r="10">
          <cell r="A10" t="str">
            <v>0009</v>
          </cell>
          <cell r="B10" t="str">
            <v>杜双圉</v>
          </cell>
          <cell r="C10" t="str">
            <v>机加车间</v>
          </cell>
        </row>
        <row r="11">
          <cell r="A11" t="str">
            <v>0010</v>
          </cell>
          <cell r="B11" t="str">
            <v>陈明宝</v>
          </cell>
          <cell r="C11" t="str">
            <v>机加车间</v>
          </cell>
        </row>
        <row r="12">
          <cell r="A12" t="str">
            <v>0011</v>
          </cell>
          <cell r="B12" t="str">
            <v>董格格</v>
          </cell>
          <cell r="C12" t="str">
            <v>机加车间</v>
          </cell>
        </row>
        <row r="13">
          <cell r="A13" t="str">
            <v>0012</v>
          </cell>
          <cell r="B13" t="str">
            <v>李明</v>
          </cell>
          <cell r="C13" t="str">
            <v>机加车间</v>
          </cell>
        </row>
        <row r="14">
          <cell r="A14" t="str">
            <v>0013</v>
          </cell>
          <cell r="B14" t="str">
            <v>陈有富</v>
          </cell>
          <cell r="C14" t="str">
            <v>机加车间</v>
          </cell>
        </row>
        <row r="15">
          <cell r="A15" t="str">
            <v>0014</v>
          </cell>
          <cell r="B15" t="str">
            <v>陈国峰</v>
          </cell>
          <cell r="C15" t="str">
            <v>装配车间</v>
          </cell>
        </row>
        <row r="16">
          <cell r="A16" t="str">
            <v>0015</v>
          </cell>
          <cell r="B16" t="str">
            <v>文俊</v>
          </cell>
          <cell r="C16" t="str">
            <v>电气自动化部</v>
          </cell>
        </row>
        <row r="17">
          <cell r="A17" t="str">
            <v>0016</v>
          </cell>
          <cell r="B17" t="str">
            <v>张晓旭</v>
          </cell>
          <cell r="C17" t="str">
            <v>机加车间</v>
          </cell>
        </row>
        <row r="18">
          <cell r="A18" t="str">
            <v>0017</v>
          </cell>
          <cell r="B18" t="str">
            <v>姚佳露</v>
          </cell>
          <cell r="C18" t="str">
            <v>机加车间</v>
          </cell>
        </row>
        <row r="19">
          <cell r="A19" t="str">
            <v>0018</v>
          </cell>
          <cell r="B19" t="str">
            <v>卢宇</v>
          </cell>
          <cell r="C19" t="str">
            <v>机加车间</v>
          </cell>
        </row>
        <row r="20">
          <cell r="A20" t="str">
            <v>0019</v>
          </cell>
          <cell r="B20" t="str">
            <v>姜艳泽</v>
          </cell>
          <cell r="C20" t="str">
            <v>机加车间</v>
          </cell>
        </row>
        <row r="21">
          <cell r="A21" t="str">
            <v>0020</v>
          </cell>
          <cell r="B21" t="str">
            <v>杨伟</v>
          </cell>
          <cell r="C21" t="str">
            <v>机加车间</v>
          </cell>
        </row>
        <row r="22">
          <cell r="A22" t="str">
            <v>0021</v>
          </cell>
          <cell r="B22" t="str">
            <v>牛晶晶</v>
          </cell>
          <cell r="C22" t="str">
            <v>机加车间</v>
          </cell>
        </row>
        <row r="23">
          <cell r="A23" t="str">
            <v>0022</v>
          </cell>
          <cell r="B23" t="str">
            <v>于雷</v>
          </cell>
          <cell r="C23" t="str">
            <v>机加车间</v>
          </cell>
        </row>
        <row r="24">
          <cell r="A24" t="str">
            <v>0023</v>
          </cell>
          <cell r="B24" t="str">
            <v>冷志尚</v>
          </cell>
          <cell r="C24" t="str">
            <v>机加车间</v>
          </cell>
        </row>
        <row r="25">
          <cell r="A25" t="str">
            <v>0024</v>
          </cell>
          <cell r="B25" t="str">
            <v>于洋</v>
          </cell>
          <cell r="C25" t="str">
            <v>机加车间</v>
          </cell>
        </row>
        <row r="26">
          <cell r="A26" t="str">
            <v>0025</v>
          </cell>
          <cell r="B26" t="str">
            <v>黎正昌</v>
          </cell>
          <cell r="C26" t="str">
            <v>机加车间</v>
          </cell>
        </row>
        <row r="27">
          <cell r="A27" t="str">
            <v>0026</v>
          </cell>
          <cell r="B27" t="str">
            <v>刘国华</v>
          </cell>
          <cell r="C27" t="str">
            <v>机加车间</v>
          </cell>
        </row>
        <row r="28">
          <cell r="A28" t="str">
            <v>0027</v>
          </cell>
          <cell r="B28" t="str">
            <v>葛久勇</v>
          </cell>
          <cell r="C28" t="str">
            <v>机加车间</v>
          </cell>
        </row>
        <row r="29">
          <cell r="A29" t="str">
            <v>0028</v>
          </cell>
          <cell r="B29" t="str">
            <v>潘仕发</v>
          </cell>
          <cell r="C29" t="str">
            <v>机加车间</v>
          </cell>
        </row>
        <row r="30">
          <cell r="A30" t="str">
            <v>0029</v>
          </cell>
          <cell r="B30" t="str">
            <v>杜秦林</v>
          </cell>
          <cell r="C30" t="str">
            <v>机加车间</v>
          </cell>
        </row>
        <row r="31">
          <cell r="A31" t="str">
            <v>0030</v>
          </cell>
          <cell r="B31" t="str">
            <v>刘琪琛</v>
          </cell>
          <cell r="C31" t="str">
            <v>机加车间</v>
          </cell>
        </row>
        <row r="32">
          <cell r="A32" t="str">
            <v>0031</v>
          </cell>
          <cell r="B32" t="str">
            <v>张强</v>
          </cell>
          <cell r="C32" t="str">
            <v>机加车间</v>
          </cell>
        </row>
        <row r="33">
          <cell r="A33" t="str">
            <v>0032</v>
          </cell>
          <cell r="B33" t="str">
            <v>张晓卫</v>
          </cell>
          <cell r="C33" t="str">
            <v>测量室</v>
          </cell>
        </row>
        <row r="34">
          <cell r="A34" t="str">
            <v>0033</v>
          </cell>
          <cell r="B34" t="str">
            <v>刘立勇</v>
          </cell>
          <cell r="C34" t="str">
            <v>机加车间</v>
          </cell>
        </row>
        <row r="35">
          <cell r="A35" t="str">
            <v>0034</v>
          </cell>
          <cell r="B35" t="str">
            <v>陈喜峰</v>
          </cell>
          <cell r="C35" t="str">
            <v>机加车间</v>
          </cell>
        </row>
        <row r="36">
          <cell r="A36" t="str">
            <v>0035</v>
          </cell>
          <cell r="B36" t="str">
            <v>李雄_离职</v>
          </cell>
          <cell r="C36" t="str">
            <v>机加车间</v>
          </cell>
        </row>
        <row r="37">
          <cell r="A37" t="str">
            <v>0036</v>
          </cell>
          <cell r="B37" t="str">
            <v>王开金</v>
          </cell>
          <cell r="C37" t="str">
            <v>机加车间</v>
          </cell>
        </row>
        <row r="38">
          <cell r="A38" t="str">
            <v>0037</v>
          </cell>
          <cell r="B38" t="str">
            <v>刘志博</v>
          </cell>
          <cell r="C38" t="str">
            <v>机加车间</v>
          </cell>
        </row>
        <row r="39">
          <cell r="A39" t="str">
            <v>0038</v>
          </cell>
          <cell r="B39" t="str">
            <v>董虎</v>
          </cell>
          <cell r="C39" t="str">
            <v>机加车间</v>
          </cell>
        </row>
        <row r="40">
          <cell r="A40" t="str">
            <v>0039</v>
          </cell>
          <cell r="B40" t="str">
            <v>刘照炜</v>
          </cell>
          <cell r="C40" t="str">
            <v>机加车间</v>
          </cell>
        </row>
        <row r="41">
          <cell r="A41" t="str">
            <v>0040</v>
          </cell>
          <cell r="B41" t="str">
            <v>张自文</v>
          </cell>
          <cell r="C41" t="str">
            <v>机加车间</v>
          </cell>
        </row>
        <row r="42">
          <cell r="A42" t="str">
            <v>0041</v>
          </cell>
          <cell r="B42" t="str">
            <v>王波</v>
          </cell>
          <cell r="C42" t="str">
            <v>装配车间</v>
          </cell>
        </row>
        <row r="43">
          <cell r="A43" t="str">
            <v>0042</v>
          </cell>
          <cell r="B43" t="str">
            <v>王亚飞</v>
          </cell>
          <cell r="C43" t="str">
            <v>装配车间</v>
          </cell>
        </row>
        <row r="44">
          <cell r="A44" t="str">
            <v>0043</v>
          </cell>
          <cell r="B44" t="str">
            <v>陈明双</v>
          </cell>
          <cell r="C44" t="str">
            <v>测量室</v>
          </cell>
        </row>
        <row r="45">
          <cell r="A45" t="str">
            <v>0044</v>
          </cell>
          <cell r="B45" t="str">
            <v>魏强</v>
          </cell>
          <cell r="C45" t="str">
            <v>装配车间</v>
          </cell>
        </row>
        <row r="46">
          <cell r="A46" t="str">
            <v>0045</v>
          </cell>
          <cell r="B46" t="str">
            <v>梁亮亮</v>
          </cell>
          <cell r="C46" t="str">
            <v>装配车间</v>
          </cell>
        </row>
        <row r="47">
          <cell r="A47" t="str">
            <v>0046</v>
          </cell>
          <cell r="B47" t="str">
            <v>唐兵强</v>
          </cell>
          <cell r="C47" t="str">
            <v>装配车间</v>
          </cell>
        </row>
        <row r="48">
          <cell r="A48" t="str">
            <v>0047</v>
          </cell>
          <cell r="B48" t="str">
            <v>张国瑞</v>
          </cell>
          <cell r="C48" t="str">
            <v>装配车间</v>
          </cell>
        </row>
        <row r="49">
          <cell r="A49" t="str">
            <v>0048</v>
          </cell>
          <cell r="B49" t="str">
            <v>陈明权</v>
          </cell>
          <cell r="C49" t="str">
            <v>装配车间</v>
          </cell>
        </row>
        <row r="50">
          <cell r="A50" t="str">
            <v>0049</v>
          </cell>
          <cell r="B50" t="str">
            <v>杨小伟</v>
          </cell>
          <cell r="C50" t="str">
            <v>装配车间</v>
          </cell>
        </row>
        <row r="51">
          <cell r="A51" t="str">
            <v>0050</v>
          </cell>
          <cell r="B51" t="str">
            <v>尤长伟</v>
          </cell>
          <cell r="C51" t="str">
            <v>装配车间</v>
          </cell>
        </row>
        <row r="52">
          <cell r="A52" t="str">
            <v>0051</v>
          </cell>
          <cell r="B52" t="str">
            <v>宋爱</v>
          </cell>
          <cell r="C52" t="str">
            <v>6S管理部</v>
          </cell>
        </row>
        <row r="53">
          <cell r="A53" t="str">
            <v>0052</v>
          </cell>
          <cell r="B53" t="str">
            <v>张志航</v>
          </cell>
          <cell r="C53" t="str">
            <v>装配车间</v>
          </cell>
        </row>
        <row r="54">
          <cell r="A54" t="str">
            <v>0053</v>
          </cell>
          <cell r="B54" t="str">
            <v>张文锋</v>
          </cell>
          <cell r="C54" t="str">
            <v>装配车间</v>
          </cell>
        </row>
        <row r="55">
          <cell r="A55" t="str">
            <v>0054</v>
          </cell>
          <cell r="B55" t="str">
            <v>陈亭利</v>
          </cell>
          <cell r="C55" t="str">
            <v>装配车间</v>
          </cell>
        </row>
        <row r="56">
          <cell r="A56" t="str">
            <v>0055</v>
          </cell>
          <cell r="B56" t="str">
            <v>常宏茹</v>
          </cell>
          <cell r="C56" t="str">
            <v>装配车间</v>
          </cell>
        </row>
        <row r="57">
          <cell r="A57" t="str">
            <v>0056</v>
          </cell>
          <cell r="B57" t="str">
            <v>朱学林</v>
          </cell>
          <cell r="C57" t="str">
            <v>装配车间</v>
          </cell>
        </row>
        <row r="58">
          <cell r="A58" t="str">
            <v>0057</v>
          </cell>
          <cell r="B58" t="str">
            <v>杜韦</v>
          </cell>
          <cell r="C58" t="str">
            <v>装配车间</v>
          </cell>
        </row>
        <row r="59">
          <cell r="A59" t="str">
            <v>0058</v>
          </cell>
          <cell r="B59" t="str">
            <v>梁坚强</v>
          </cell>
          <cell r="C59" t="str">
            <v>装配车间</v>
          </cell>
        </row>
        <row r="60">
          <cell r="A60" t="str">
            <v>0059</v>
          </cell>
          <cell r="B60" t="str">
            <v>朱建龙</v>
          </cell>
          <cell r="C60" t="str">
            <v>工程安装部</v>
          </cell>
        </row>
        <row r="61">
          <cell r="A61" t="str">
            <v>0060</v>
          </cell>
          <cell r="B61" t="str">
            <v>戴建元</v>
          </cell>
          <cell r="C61" t="str">
            <v>工程安装部</v>
          </cell>
        </row>
        <row r="62">
          <cell r="A62" t="str">
            <v>0061</v>
          </cell>
          <cell r="B62" t="str">
            <v>张有锋</v>
          </cell>
          <cell r="C62" t="str">
            <v>装配车间</v>
          </cell>
        </row>
        <row r="63">
          <cell r="A63" t="str">
            <v>0062</v>
          </cell>
          <cell r="B63" t="str">
            <v>张家乐</v>
          </cell>
          <cell r="C63" t="str">
            <v>装配车间</v>
          </cell>
        </row>
        <row r="64">
          <cell r="A64" t="str">
            <v>0063</v>
          </cell>
          <cell r="B64" t="str">
            <v>毕经乾</v>
          </cell>
          <cell r="C64" t="str">
            <v>装配车间</v>
          </cell>
        </row>
        <row r="65">
          <cell r="A65" t="str">
            <v>0064</v>
          </cell>
          <cell r="B65" t="str">
            <v>吴先乾</v>
          </cell>
          <cell r="C65" t="str">
            <v>6S管理部</v>
          </cell>
        </row>
        <row r="66">
          <cell r="A66" t="str">
            <v>0065</v>
          </cell>
          <cell r="B66" t="str">
            <v>蔡亚南</v>
          </cell>
          <cell r="C66" t="str">
            <v>装配车间</v>
          </cell>
        </row>
        <row r="67">
          <cell r="A67" t="str">
            <v>0066</v>
          </cell>
          <cell r="B67" t="str">
            <v>孙帮超</v>
          </cell>
          <cell r="C67" t="str">
            <v>装配车间</v>
          </cell>
        </row>
        <row r="68">
          <cell r="A68" t="str">
            <v>0067</v>
          </cell>
          <cell r="B68" t="str">
            <v>郭显万</v>
          </cell>
          <cell r="C68" t="str">
            <v>装配车间</v>
          </cell>
        </row>
        <row r="69">
          <cell r="A69" t="str">
            <v>0068</v>
          </cell>
          <cell r="B69" t="str">
            <v>刘林通</v>
          </cell>
          <cell r="C69" t="str">
            <v>装配车间</v>
          </cell>
        </row>
        <row r="70">
          <cell r="A70" t="str">
            <v>0069</v>
          </cell>
          <cell r="B70" t="str">
            <v>游文杰</v>
          </cell>
          <cell r="C70" t="str">
            <v>装配车间</v>
          </cell>
        </row>
        <row r="71">
          <cell r="A71" t="str">
            <v>0070</v>
          </cell>
          <cell r="B71" t="str">
            <v>邹平</v>
          </cell>
          <cell r="C71" t="str">
            <v>装配车间</v>
          </cell>
        </row>
        <row r="72">
          <cell r="A72" t="str">
            <v>0071</v>
          </cell>
          <cell r="B72" t="str">
            <v>黄仕芳</v>
          </cell>
          <cell r="C72" t="str">
            <v>装配车间</v>
          </cell>
        </row>
        <row r="73">
          <cell r="A73" t="str">
            <v>0072</v>
          </cell>
          <cell r="B73" t="str">
            <v>殷中伟</v>
          </cell>
          <cell r="C73" t="str">
            <v>生产保障部</v>
          </cell>
        </row>
        <row r="74">
          <cell r="A74" t="str">
            <v>0073</v>
          </cell>
          <cell r="B74" t="str">
            <v>韩卫星</v>
          </cell>
          <cell r="C74" t="str">
            <v>生产保障部</v>
          </cell>
        </row>
        <row r="75">
          <cell r="A75" t="str">
            <v>0074</v>
          </cell>
          <cell r="B75" t="str">
            <v>于长辉</v>
          </cell>
          <cell r="C75" t="str">
            <v>生产保障部</v>
          </cell>
        </row>
        <row r="76">
          <cell r="A76" t="str">
            <v>0075</v>
          </cell>
          <cell r="B76" t="str">
            <v>楼学民</v>
          </cell>
          <cell r="C76" t="str">
            <v>生产保障部</v>
          </cell>
        </row>
        <row r="77">
          <cell r="A77" t="str">
            <v>0076</v>
          </cell>
          <cell r="B77" t="str">
            <v>文刚</v>
          </cell>
          <cell r="C77" t="str">
            <v>油漆车间</v>
          </cell>
        </row>
        <row r="78">
          <cell r="A78" t="str">
            <v>0077</v>
          </cell>
          <cell r="B78" t="str">
            <v>张丰丽</v>
          </cell>
          <cell r="C78" t="str">
            <v>油漆车间</v>
          </cell>
        </row>
        <row r="79">
          <cell r="A79" t="str">
            <v>0078</v>
          </cell>
          <cell r="B79" t="str">
            <v>黄仕武</v>
          </cell>
          <cell r="C79" t="str">
            <v>装配车间</v>
          </cell>
        </row>
        <row r="80">
          <cell r="A80" t="str">
            <v>0079</v>
          </cell>
          <cell r="B80" t="str">
            <v>刘国伦</v>
          </cell>
          <cell r="C80" t="str">
            <v>油漆车间</v>
          </cell>
        </row>
        <row r="81">
          <cell r="A81" t="str">
            <v>0080</v>
          </cell>
          <cell r="B81" t="str">
            <v>张勇</v>
          </cell>
          <cell r="C81" t="str">
            <v>铆焊车间</v>
          </cell>
        </row>
        <row r="82">
          <cell r="A82" t="str">
            <v>0081</v>
          </cell>
          <cell r="B82" t="str">
            <v>叶建民</v>
          </cell>
          <cell r="C82" t="str">
            <v>铆焊车间</v>
          </cell>
        </row>
        <row r="83">
          <cell r="A83" t="str">
            <v>0082</v>
          </cell>
          <cell r="B83" t="str">
            <v>韩伟峰</v>
          </cell>
          <cell r="C83" t="str">
            <v>铆焊车间</v>
          </cell>
        </row>
        <row r="84">
          <cell r="A84" t="str">
            <v>0083</v>
          </cell>
          <cell r="B84" t="str">
            <v>陈红鲁</v>
          </cell>
          <cell r="C84" t="str">
            <v>铆焊车间</v>
          </cell>
        </row>
        <row r="85">
          <cell r="A85" t="str">
            <v>0084</v>
          </cell>
          <cell r="B85" t="str">
            <v>张道富</v>
          </cell>
          <cell r="C85" t="str">
            <v>铆焊车间</v>
          </cell>
        </row>
        <row r="86">
          <cell r="A86" t="str">
            <v>0085</v>
          </cell>
          <cell r="B86" t="str">
            <v>刘宗宪</v>
          </cell>
          <cell r="C86" t="str">
            <v>铆焊车间</v>
          </cell>
        </row>
        <row r="87">
          <cell r="A87" t="str">
            <v>0086</v>
          </cell>
          <cell r="B87" t="str">
            <v>叶伟伟</v>
          </cell>
          <cell r="C87" t="str">
            <v>铆焊车间</v>
          </cell>
        </row>
        <row r="88">
          <cell r="A88" t="str">
            <v>0087</v>
          </cell>
          <cell r="B88" t="str">
            <v>许仙</v>
          </cell>
          <cell r="C88" t="str">
            <v>铆焊车间</v>
          </cell>
        </row>
        <row r="89">
          <cell r="A89" t="str">
            <v>0088</v>
          </cell>
          <cell r="B89" t="str">
            <v>何耀彩</v>
          </cell>
          <cell r="C89" t="str">
            <v>铆焊车间</v>
          </cell>
        </row>
        <row r="90">
          <cell r="A90" t="str">
            <v>0089</v>
          </cell>
          <cell r="B90" t="str">
            <v>曹玉清</v>
          </cell>
          <cell r="C90" t="str">
            <v>铆焊车间</v>
          </cell>
        </row>
        <row r="91">
          <cell r="A91" t="str">
            <v>0090</v>
          </cell>
          <cell r="B91" t="str">
            <v>秦卫珊</v>
          </cell>
          <cell r="C91" t="str">
            <v>铆焊车间</v>
          </cell>
        </row>
        <row r="92">
          <cell r="A92" t="str">
            <v>0091</v>
          </cell>
          <cell r="B92" t="str">
            <v>高汉东</v>
          </cell>
          <cell r="C92" t="str">
            <v>铆焊车间</v>
          </cell>
        </row>
        <row r="93">
          <cell r="A93" t="str">
            <v>0092</v>
          </cell>
          <cell r="B93" t="str">
            <v>胡支新</v>
          </cell>
          <cell r="C93" t="str">
            <v>铆焊车间</v>
          </cell>
        </row>
        <row r="94">
          <cell r="A94" t="str">
            <v>0093</v>
          </cell>
          <cell r="B94" t="str">
            <v>张永远</v>
          </cell>
          <cell r="C94" t="str">
            <v>6S管理部</v>
          </cell>
        </row>
        <row r="95">
          <cell r="A95" t="str">
            <v>0094</v>
          </cell>
          <cell r="B95" t="str">
            <v>黄仕斌</v>
          </cell>
          <cell r="C95" t="str">
            <v>测量室</v>
          </cell>
        </row>
        <row r="96">
          <cell r="A96" t="str">
            <v>0095</v>
          </cell>
          <cell r="B96" t="str">
            <v>陶刚路</v>
          </cell>
          <cell r="C96" t="str">
            <v>铆焊车间</v>
          </cell>
        </row>
        <row r="97">
          <cell r="A97" t="str">
            <v>0096</v>
          </cell>
          <cell r="B97" t="str">
            <v>孙智文</v>
          </cell>
          <cell r="C97" t="str">
            <v>测量室</v>
          </cell>
        </row>
        <row r="98">
          <cell r="A98" t="str">
            <v>0097</v>
          </cell>
          <cell r="B98" t="str">
            <v>吕波</v>
          </cell>
          <cell r="C98" t="str">
            <v>测量室</v>
          </cell>
        </row>
        <row r="99">
          <cell r="A99" t="str">
            <v>0098</v>
          </cell>
          <cell r="B99" t="str">
            <v>李宗泽</v>
          </cell>
          <cell r="C99" t="str">
            <v>测量室</v>
          </cell>
        </row>
        <row r="100">
          <cell r="A100" t="str">
            <v>0099</v>
          </cell>
          <cell r="B100" t="str">
            <v>陈功</v>
          </cell>
          <cell r="C100" t="str">
            <v>测量室</v>
          </cell>
        </row>
        <row r="101">
          <cell r="A101" t="str">
            <v>0100</v>
          </cell>
          <cell r="B101" t="str">
            <v>柯昌艳</v>
          </cell>
          <cell r="C101" t="str">
            <v>测量室</v>
          </cell>
        </row>
        <row r="102">
          <cell r="A102" t="str">
            <v>0101</v>
          </cell>
          <cell r="B102" t="str">
            <v>殷惠娟</v>
          </cell>
          <cell r="C102" t="str">
            <v>测量室</v>
          </cell>
        </row>
        <row r="103">
          <cell r="A103" t="str">
            <v>0102</v>
          </cell>
          <cell r="B103" t="str">
            <v>张志亮</v>
          </cell>
          <cell r="C103" t="str">
            <v>测量室</v>
          </cell>
        </row>
        <row r="104">
          <cell r="A104" t="str">
            <v>0103</v>
          </cell>
          <cell r="B104" t="str">
            <v>谭群</v>
          </cell>
          <cell r="C104" t="str">
            <v>生产保障部</v>
          </cell>
        </row>
        <row r="105">
          <cell r="A105" t="str">
            <v>0104</v>
          </cell>
          <cell r="B105" t="str">
            <v>曹湧</v>
          </cell>
          <cell r="C105" t="str">
            <v>测量室</v>
          </cell>
        </row>
        <row r="106">
          <cell r="A106" t="str">
            <v>0105</v>
          </cell>
          <cell r="B106" t="str">
            <v>何锦景</v>
          </cell>
          <cell r="C106" t="str">
            <v>测量室</v>
          </cell>
        </row>
        <row r="107">
          <cell r="A107" t="str">
            <v>0106</v>
          </cell>
          <cell r="B107" t="str">
            <v>张建成</v>
          </cell>
          <cell r="C107" t="str">
            <v>测量室</v>
          </cell>
        </row>
        <row r="108">
          <cell r="A108" t="str">
            <v>0107</v>
          </cell>
          <cell r="B108" t="str">
            <v>林逸来</v>
          </cell>
          <cell r="C108" t="str">
            <v>机械设计部</v>
          </cell>
        </row>
        <row r="109">
          <cell r="A109" t="str">
            <v>0108</v>
          </cell>
          <cell r="B109" t="str">
            <v>张奎武</v>
          </cell>
          <cell r="C109" t="str">
            <v>项目工程部</v>
          </cell>
        </row>
        <row r="110">
          <cell r="A110" t="str">
            <v>0109</v>
          </cell>
          <cell r="B110" t="str">
            <v>江涛</v>
          </cell>
          <cell r="C110" t="str">
            <v>机械设计部</v>
          </cell>
        </row>
        <row r="111">
          <cell r="A111" t="str">
            <v>0110</v>
          </cell>
          <cell r="B111" t="str">
            <v>涂蛟</v>
          </cell>
          <cell r="C111" t="str">
            <v>项目工程部</v>
          </cell>
        </row>
        <row r="112">
          <cell r="A112" t="str">
            <v>0111</v>
          </cell>
          <cell r="B112" t="str">
            <v>王军华</v>
          </cell>
          <cell r="C112" t="str">
            <v>项目工程部</v>
          </cell>
        </row>
        <row r="113">
          <cell r="A113" t="str">
            <v>0112</v>
          </cell>
          <cell r="B113" t="str">
            <v>李映华</v>
          </cell>
          <cell r="C113" t="str">
            <v>工艺规划部</v>
          </cell>
        </row>
        <row r="114">
          <cell r="A114" t="str">
            <v>0113</v>
          </cell>
          <cell r="B114" t="str">
            <v>欧阳时芬</v>
          </cell>
          <cell r="C114" t="str">
            <v>机械设计部</v>
          </cell>
        </row>
        <row r="115">
          <cell r="A115" t="str">
            <v>0114</v>
          </cell>
          <cell r="B115" t="str">
            <v>卞金龙</v>
          </cell>
          <cell r="C115" t="str">
            <v>项目工程部</v>
          </cell>
        </row>
        <row r="116">
          <cell r="A116" t="str">
            <v>0115</v>
          </cell>
          <cell r="B116" t="str">
            <v>冯倩倩</v>
          </cell>
          <cell r="C116" t="str">
            <v>工艺规划部</v>
          </cell>
        </row>
        <row r="117">
          <cell r="A117" t="str">
            <v>0116</v>
          </cell>
          <cell r="B117" t="str">
            <v>姚静</v>
          </cell>
          <cell r="C117" t="str">
            <v>工艺规划部</v>
          </cell>
        </row>
        <row r="118">
          <cell r="A118" t="str">
            <v>0117</v>
          </cell>
          <cell r="B118" t="str">
            <v>朱成云</v>
          </cell>
          <cell r="C118" t="str">
            <v>项目工程部</v>
          </cell>
        </row>
        <row r="119">
          <cell r="A119" t="str">
            <v>0118</v>
          </cell>
          <cell r="B119" t="str">
            <v>涂虎</v>
          </cell>
          <cell r="C119" t="str">
            <v>机械设计部</v>
          </cell>
        </row>
        <row r="120">
          <cell r="A120" t="str">
            <v>0119</v>
          </cell>
          <cell r="B120" t="str">
            <v>蔡忠锋</v>
          </cell>
          <cell r="C120" t="str">
            <v>项目工程部</v>
          </cell>
        </row>
        <row r="121">
          <cell r="A121" t="str">
            <v>0120</v>
          </cell>
          <cell r="B121" t="str">
            <v>陈啸林</v>
          </cell>
          <cell r="C121" t="str">
            <v>工艺规划部</v>
          </cell>
        </row>
        <row r="122">
          <cell r="A122" t="str">
            <v>0121</v>
          </cell>
          <cell r="B122" t="str">
            <v>杨永杰</v>
          </cell>
          <cell r="C122" t="str">
            <v>项目工程部</v>
          </cell>
        </row>
        <row r="123">
          <cell r="A123" t="str">
            <v>0122</v>
          </cell>
          <cell r="B123" t="str">
            <v>王涓</v>
          </cell>
          <cell r="C123" t="str">
            <v>资产财务部</v>
          </cell>
        </row>
        <row r="124">
          <cell r="A124" t="str">
            <v>0123</v>
          </cell>
          <cell r="B124" t="str">
            <v>张丹丹</v>
          </cell>
          <cell r="C124" t="str">
            <v>机械设计部</v>
          </cell>
        </row>
        <row r="125">
          <cell r="A125" t="str">
            <v>0124</v>
          </cell>
          <cell r="B125" t="str">
            <v>孟波涛</v>
          </cell>
          <cell r="C125" t="str">
            <v>机械设计部</v>
          </cell>
        </row>
        <row r="126">
          <cell r="A126" t="str">
            <v>0125</v>
          </cell>
          <cell r="B126" t="str">
            <v>薛晨</v>
          </cell>
          <cell r="C126" t="str">
            <v>项目工程部</v>
          </cell>
        </row>
        <row r="127">
          <cell r="A127" t="str">
            <v>0126</v>
          </cell>
          <cell r="B127" t="str">
            <v>郭金涛</v>
          </cell>
          <cell r="C127" t="str">
            <v>项目工程部</v>
          </cell>
        </row>
        <row r="128">
          <cell r="A128" t="str">
            <v>0127</v>
          </cell>
          <cell r="B128" t="str">
            <v>陆明</v>
          </cell>
          <cell r="C128" t="str">
            <v>机械设计部</v>
          </cell>
        </row>
        <row r="129">
          <cell r="A129" t="str">
            <v>0128</v>
          </cell>
          <cell r="B129" t="str">
            <v>杜建祝</v>
          </cell>
          <cell r="C129" t="str">
            <v>机械设计部</v>
          </cell>
        </row>
        <row r="130">
          <cell r="A130" t="str">
            <v>0129</v>
          </cell>
          <cell r="B130" t="str">
            <v>瞿伟谊</v>
          </cell>
          <cell r="C130" t="str">
            <v>后勤管理部</v>
          </cell>
        </row>
        <row r="131">
          <cell r="A131" t="str">
            <v>0130</v>
          </cell>
          <cell r="B131" t="str">
            <v>邵雅萍</v>
          </cell>
          <cell r="C131" t="str">
            <v>公司办公室</v>
          </cell>
        </row>
        <row r="132">
          <cell r="A132" t="str">
            <v>0131</v>
          </cell>
          <cell r="B132" t="str">
            <v>许才林</v>
          </cell>
          <cell r="C132" t="str">
            <v>机械设计部</v>
          </cell>
        </row>
        <row r="133">
          <cell r="A133" t="str">
            <v>0132</v>
          </cell>
          <cell r="B133" t="str">
            <v>李映贵</v>
          </cell>
          <cell r="C133" t="str">
            <v>机械设计部</v>
          </cell>
        </row>
        <row r="134">
          <cell r="A134" t="str">
            <v>0133</v>
          </cell>
          <cell r="B134" t="str">
            <v>鲁志程</v>
          </cell>
          <cell r="C134" t="str">
            <v>项目工程部</v>
          </cell>
        </row>
        <row r="135">
          <cell r="A135" t="str">
            <v>0134</v>
          </cell>
          <cell r="B135" t="str">
            <v>李咸富</v>
          </cell>
          <cell r="C135" t="str">
            <v>机械设计部</v>
          </cell>
        </row>
        <row r="136">
          <cell r="A136" t="str">
            <v>0135</v>
          </cell>
          <cell r="B136" t="str">
            <v>王旭</v>
          </cell>
          <cell r="C136" t="str">
            <v>机械设计部</v>
          </cell>
        </row>
        <row r="137">
          <cell r="A137" t="str">
            <v>0136</v>
          </cell>
          <cell r="B137" t="str">
            <v>鲍大宏</v>
          </cell>
          <cell r="C137" t="str">
            <v>机械设计部</v>
          </cell>
        </row>
        <row r="138">
          <cell r="A138" t="str">
            <v>0137</v>
          </cell>
          <cell r="B138" t="str">
            <v>许启安</v>
          </cell>
          <cell r="C138" t="str">
            <v>机械设计部</v>
          </cell>
        </row>
        <row r="139">
          <cell r="A139" t="str">
            <v>0138</v>
          </cell>
          <cell r="B139" t="str">
            <v>王文超</v>
          </cell>
          <cell r="C139" t="str">
            <v>机械设计部</v>
          </cell>
        </row>
        <row r="140">
          <cell r="A140" t="str">
            <v>0139</v>
          </cell>
          <cell r="B140" t="str">
            <v>卢家川</v>
          </cell>
          <cell r="C140" t="str">
            <v>机械设计部</v>
          </cell>
        </row>
        <row r="141">
          <cell r="A141" t="str">
            <v>0140</v>
          </cell>
          <cell r="B141" t="str">
            <v>翟明文</v>
          </cell>
          <cell r="C141" t="str">
            <v>机械设计部</v>
          </cell>
        </row>
        <row r="142">
          <cell r="A142" t="str">
            <v>0141</v>
          </cell>
          <cell r="B142" t="str">
            <v>王莉</v>
          </cell>
          <cell r="C142" t="str">
            <v>机械设计部</v>
          </cell>
        </row>
        <row r="143">
          <cell r="A143" t="str">
            <v>0142</v>
          </cell>
          <cell r="B143" t="str">
            <v>李杰</v>
          </cell>
          <cell r="C143" t="str">
            <v>项目工程部</v>
          </cell>
        </row>
        <row r="144">
          <cell r="A144" t="str">
            <v>0143</v>
          </cell>
          <cell r="B144" t="str">
            <v>刘亮</v>
          </cell>
          <cell r="C144" t="str">
            <v>项目工程部</v>
          </cell>
        </row>
        <row r="145">
          <cell r="A145" t="str">
            <v>0144</v>
          </cell>
          <cell r="B145" t="str">
            <v>郭占军</v>
          </cell>
          <cell r="C145" t="str">
            <v>项目工程部</v>
          </cell>
        </row>
        <row r="146">
          <cell r="A146" t="str">
            <v>0145</v>
          </cell>
          <cell r="B146" t="str">
            <v>刘鸿鹏</v>
          </cell>
          <cell r="C146" t="str">
            <v>工艺规划部</v>
          </cell>
        </row>
        <row r="147">
          <cell r="A147" t="str">
            <v>0146</v>
          </cell>
          <cell r="B147" t="str">
            <v>谭小高</v>
          </cell>
          <cell r="C147" t="str">
            <v>电气自动化部</v>
          </cell>
        </row>
        <row r="148">
          <cell r="A148" t="str">
            <v>0147</v>
          </cell>
          <cell r="B148" t="str">
            <v>曹敏</v>
          </cell>
          <cell r="C148" t="str">
            <v>后勤管理部</v>
          </cell>
        </row>
        <row r="149">
          <cell r="A149" t="str">
            <v>0148</v>
          </cell>
          <cell r="B149" t="str">
            <v>季海臣</v>
          </cell>
          <cell r="C149" t="str">
            <v>采购部</v>
          </cell>
        </row>
        <row r="150">
          <cell r="A150" t="str">
            <v>0149</v>
          </cell>
          <cell r="B150" t="str">
            <v>谢平</v>
          </cell>
          <cell r="C150" t="str">
            <v>工程安装部</v>
          </cell>
        </row>
        <row r="151">
          <cell r="A151" t="str">
            <v>0150</v>
          </cell>
          <cell r="B151" t="str">
            <v>张艳</v>
          </cell>
          <cell r="C151" t="str">
            <v>装配车间</v>
          </cell>
        </row>
        <row r="152">
          <cell r="A152" t="str">
            <v>0151</v>
          </cell>
          <cell r="B152" t="str">
            <v>成立仲</v>
          </cell>
          <cell r="C152" t="str">
            <v>生产保障部</v>
          </cell>
        </row>
        <row r="153">
          <cell r="A153" t="str">
            <v>0152</v>
          </cell>
          <cell r="B153" t="str">
            <v>郭仕培</v>
          </cell>
          <cell r="C153" t="str">
            <v>人力资源部</v>
          </cell>
        </row>
        <row r="154">
          <cell r="A154" t="str">
            <v>0153</v>
          </cell>
          <cell r="B154" t="str">
            <v>薛震陆</v>
          </cell>
          <cell r="C154" t="str">
            <v>仓库</v>
          </cell>
        </row>
        <row r="155">
          <cell r="A155" t="str">
            <v>0154</v>
          </cell>
          <cell r="B155" t="str">
            <v>王军</v>
          </cell>
          <cell r="C155" t="str">
            <v>装配车间</v>
          </cell>
        </row>
        <row r="156">
          <cell r="A156" t="str">
            <v>0155</v>
          </cell>
          <cell r="B156" t="str">
            <v>王小芹</v>
          </cell>
          <cell r="C156" t="str">
            <v>油漆车间</v>
          </cell>
        </row>
        <row r="157">
          <cell r="A157" t="str">
            <v>0156</v>
          </cell>
          <cell r="B157" t="str">
            <v>杜利亚</v>
          </cell>
          <cell r="C157" t="str">
            <v>后勤管理部</v>
          </cell>
        </row>
        <row r="158">
          <cell r="A158" t="str">
            <v>0157</v>
          </cell>
          <cell r="B158" t="str">
            <v>顾正仙</v>
          </cell>
          <cell r="C158" t="str">
            <v>后勤管理部</v>
          </cell>
        </row>
        <row r="159">
          <cell r="A159" t="str">
            <v>0158</v>
          </cell>
          <cell r="B159" t="str">
            <v>倪忠文</v>
          </cell>
          <cell r="C159" t="str">
            <v>后勤管理部</v>
          </cell>
        </row>
        <row r="160">
          <cell r="A160" t="str">
            <v>0159</v>
          </cell>
          <cell r="B160" t="str">
            <v>瞿光辉</v>
          </cell>
          <cell r="C160" t="str">
            <v>后勤管理部</v>
          </cell>
        </row>
        <row r="161">
          <cell r="A161" t="str">
            <v>0160</v>
          </cell>
          <cell r="B161" t="str">
            <v>苏振</v>
          </cell>
          <cell r="C161" t="str">
            <v>后勤管理部</v>
          </cell>
        </row>
        <row r="162">
          <cell r="A162" t="str">
            <v>0161</v>
          </cell>
          <cell r="B162" t="str">
            <v>陈德官</v>
          </cell>
          <cell r="C162" t="str">
            <v>后勤管理部</v>
          </cell>
        </row>
        <row r="163">
          <cell r="A163" t="str">
            <v>0162</v>
          </cell>
          <cell r="B163" t="str">
            <v>倪建国</v>
          </cell>
          <cell r="C163" t="str">
            <v>后勤管理部</v>
          </cell>
        </row>
        <row r="164">
          <cell r="A164" t="str">
            <v>0163</v>
          </cell>
          <cell r="B164" t="str">
            <v>冷笑</v>
          </cell>
          <cell r="C164" t="str">
            <v>资产财务部</v>
          </cell>
        </row>
        <row r="165">
          <cell r="A165" t="str">
            <v>0164</v>
          </cell>
          <cell r="B165" t="str">
            <v>张国平</v>
          </cell>
          <cell r="C165" t="str">
            <v>后勤管理部</v>
          </cell>
        </row>
        <row r="166">
          <cell r="A166" t="str">
            <v>0165</v>
          </cell>
          <cell r="B166" t="str">
            <v>生昌红</v>
          </cell>
          <cell r="C166" t="str">
            <v>生产保障部</v>
          </cell>
        </row>
        <row r="167">
          <cell r="A167" t="str">
            <v>0166</v>
          </cell>
          <cell r="B167" t="str">
            <v>瞿林仙</v>
          </cell>
          <cell r="C167" t="str">
            <v>后勤管理部</v>
          </cell>
        </row>
        <row r="168">
          <cell r="A168" t="str">
            <v>0167</v>
          </cell>
          <cell r="B168" t="str">
            <v>郭玉惠</v>
          </cell>
          <cell r="C168" t="str">
            <v>总经理室</v>
          </cell>
        </row>
        <row r="169">
          <cell r="A169" t="str">
            <v>0168</v>
          </cell>
          <cell r="B169" t="str">
            <v>刘良波</v>
          </cell>
          <cell r="C169" t="str">
            <v>机加车间</v>
          </cell>
        </row>
        <row r="170">
          <cell r="A170" t="str">
            <v>0169</v>
          </cell>
          <cell r="B170" t="str">
            <v>马艳雪</v>
          </cell>
          <cell r="C170" t="str">
            <v>仓库</v>
          </cell>
        </row>
        <row r="171">
          <cell r="A171" t="str">
            <v>0170</v>
          </cell>
          <cell r="B171" t="str">
            <v>林华</v>
          </cell>
          <cell r="C171" t="str">
            <v>总经理室</v>
          </cell>
        </row>
        <row r="172">
          <cell r="A172" t="str">
            <v>0171</v>
          </cell>
          <cell r="B172" t="str">
            <v>陈成</v>
          </cell>
          <cell r="C172" t="str">
            <v>总经理室</v>
          </cell>
        </row>
        <row r="173">
          <cell r="A173" t="str">
            <v>0172</v>
          </cell>
          <cell r="B173" t="str">
            <v>胥磊</v>
          </cell>
          <cell r="C173" t="str">
            <v>总经理室</v>
          </cell>
        </row>
        <row r="174">
          <cell r="A174" t="str">
            <v>0173</v>
          </cell>
          <cell r="B174" t="str">
            <v>谭秀阳</v>
          </cell>
          <cell r="C174" t="str">
            <v>总经理室</v>
          </cell>
        </row>
        <row r="175">
          <cell r="A175" t="str">
            <v>0174</v>
          </cell>
          <cell r="B175" t="str">
            <v>张峰</v>
          </cell>
          <cell r="C175" t="str">
            <v>项目工程部</v>
          </cell>
        </row>
        <row r="176">
          <cell r="A176" t="str">
            <v>0175</v>
          </cell>
          <cell r="B176" t="str">
            <v>闫妙灵</v>
          </cell>
          <cell r="C176" t="str">
            <v>机械设计部</v>
          </cell>
        </row>
        <row r="177">
          <cell r="A177" t="str">
            <v>0176</v>
          </cell>
          <cell r="B177" t="str">
            <v>张慧敏</v>
          </cell>
          <cell r="C177" t="str">
            <v>工艺规划部</v>
          </cell>
        </row>
        <row r="178">
          <cell r="A178" t="str">
            <v>0177</v>
          </cell>
          <cell r="B178" t="str">
            <v>关喜英</v>
          </cell>
          <cell r="C178" t="str">
            <v>生产保障部</v>
          </cell>
        </row>
        <row r="179">
          <cell r="A179" t="str">
            <v>0178</v>
          </cell>
          <cell r="B179" t="str">
            <v>王萍</v>
          </cell>
          <cell r="C179" t="str">
            <v>采购部</v>
          </cell>
        </row>
        <row r="180">
          <cell r="A180" t="str">
            <v>0179</v>
          </cell>
          <cell r="B180" t="str">
            <v>杨锋坪</v>
          </cell>
          <cell r="C180" t="str">
            <v>工艺规划部</v>
          </cell>
        </row>
        <row r="181">
          <cell r="A181" t="str">
            <v>0180</v>
          </cell>
          <cell r="B181" t="str">
            <v>张立泰</v>
          </cell>
          <cell r="C181" t="str">
            <v>总经理室</v>
          </cell>
        </row>
        <row r="182">
          <cell r="A182" t="str">
            <v>0181</v>
          </cell>
          <cell r="B182" t="str">
            <v>罗忠万</v>
          </cell>
          <cell r="C182" t="str">
            <v>装配车间</v>
          </cell>
        </row>
        <row r="183">
          <cell r="A183" t="str">
            <v>0182</v>
          </cell>
          <cell r="B183" t="str">
            <v>刘坤</v>
          </cell>
          <cell r="C183" t="str">
            <v>机加车间</v>
          </cell>
        </row>
        <row r="184">
          <cell r="A184" t="str">
            <v>0183</v>
          </cell>
          <cell r="B184" t="str">
            <v>肖亚东</v>
          </cell>
          <cell r="C184" t="str">
            <v>工程安装部</v>
          </cell>
        </row>
        <row r="185">
          <cell r="A185" t="str">
            <v>0184</v>
          </cell>
          <cell r="B185" t="str">
            <v>李雨洲</v>
          </cell>
          <cell r="C185" t="str">
            <v>项目工程部</v>
          </cell>
        </row>
        <row r="186">
          <cell r="A186" t="str">
            <v>0185</v>
          </cell>
          <cell r="B186" t="str">
            <v>许利明</v>
          </cell>
          <cell r="C186" t="str">
            <v>机加车间</v>
          </cell>
        </row>
        <row r="187">
          <cell r="A187" t="str">
            <v>0186</v>
          </cell>
          <cell r="B187" t="str">
            <v>陈雷</v>
          </cell>
          <cell r="C187" t="str">
            <v>机加车间</v>
          </cell>
        </row>
        <row r="188">
          <cell r="A188" t="str">
            <v>0187</v>
          </cell>
          <cell r="B188" t="str">
            <v>唐丽萍</v>
          </cell>
          <cell r="C188" t="str">
            <v>人力资源部</v>
          </cell>
        </row>
        <row r="189">
          <cell r="A189" t="str">
            <v>0188</v>
          </cell>
          <cell r="B189" t="str">
            <v>曹源</v>
          </cell>
          <cell r="C189" t="str">
            <v>后勤管理部</v>
          </cell>
        </row>
        <row r="190">
          <cell r="A190" t="str">
            <v>0189</v>
          </cell>
          <cell r="B190" t="str">
            <v>沈林华</v>
          </cell>
          <cell r="C190" t="str">
            <v>仓库</v>
          </cell>
        </row>
        <row r="191">
          <cell r="A191" t="str">
            <v>0190</v>
          </cell>
          <cell r="B191" t="str">
            <v>马军领</v>
          </cell>
          <cell r="C191" t="str">
            <v>机械设计部</v>
          </cell>
        </row>
        <row r="192">
          <cell r="A192" t="str">
            <v>0191</v>
          </cell>
          <cell r="B192" t="str">
            <v>杜伟</v>
          </cell>
          <cell r="C192" t="str">
            <v>机械设计部</v>
          </cell>
        </row>
        <row r="193">
          <cell r="A193" t="str">
            <v>0192</v>
          </cell>
          <cell r="B193" t="str">
            <v>王先位</v>
          </cell>
          <cell r="C193" t="str">
            <v>机械设计部</v>
          </cell>
        </row>
        <row r="194">
          <cell r="A194" t="str">
            <v>0193</v>
          </cell>
          <cell r="B194" t="str">
            <v>邢梦珂</v>
          </cell>
          <cell r="C194" t="str">
            <v>机械设计部</v>
          </cell>
        </row>
        <row r="195">
          <cell r="A195" t="str">
            <v>0194</v>
          </cell>
          <cell r="B195" t="str">
            <v>崔晓华</v>
          </cell>
          <cell r="C195" t="str">
            <v>装配车间</v>
          </cell>
        </row>
        <row r="196">
          <cell r="A196" t="str">
            <v>0195</v>
          </cell>
          <cell r="B196" t="str">
            <v>熊猛</v>
          </cell>
          <cell r="C196" t="str">
            <v>装配车间</v>
          </cell>
        </row>
        <row r="197">
          <cell r="A197" t="str">
            <v>0196</v>
          </cell>
          <cell r="B197" t="str">
            <v>李新红</v>
          </cell>
          <cell r="C197" t="str">
            <v>装配车间</v>
          </cell>
        </row>
        <row r="198">
          <cell r="A198" t="str">
            <v>0197</v>
          </cell>
          <cell r="B198" t="str">
            <v>瞿雷</v>
          </cell>
          <cell r="C198" t="str">
            <v>装配车间</v>
          </cell>
        </row>
        <row r="199">
          <cell r="A199" t="str">
            <v>0198</v>
          </cell>
          <cell r="B199" t="str">
            <v>王红军</v>
          </cell>
          <cell r="C199" t="str">
            <v>装配车间</v>
          </cell>
        </row>
        <row r="200">
          <cell r="A200" t="str">
            <v>0199</v>
          </cell>
          <cell r="B200" t="str">
            <v>朱娜</v>
          </cell>
          <cell r="C200" t="str">
            <v>机加车间</v>
          </cell>
        </row>
        <row r="201">
          <cell r="A201" t="str">
            <v>0200</v>
          </cell>
          <cell r="B201" t="str">
            <v>李先金</v>
          </cell>
          <cell r="C201" t="str">
            <v>机加车间</v>
          </cell>
        </row>
        <row r="202">
          <cell r="A202" t="str">
            <v>0201</v>
          </cell>
          <cell r="B202" t="str">
            <v>朱如意</v>
          </cell>
          <cell r="C202" t="str">
            <v>机加车间</v>
          </cell>
        </row>
        <row r="203">
          <cell r="A203" t="str">
            <v>0202</v>
          </cell>
          <cell r="B203" t="str">
            <v>贺毛娥</v>
          </cell>
          <cell r="C203" t="str">
            <v>油漆车间</v>
          </cell>
        </row>
        <row r="204">
          <cell r="A204" t="str">
            <v>0203</v>
          </cell>
          <cell r="B204" t="str">
            <v>梁朔映</v>
          </cell>
          <cell r="C204" t="str">
            <v>机加车间</v>
          </cell>
        </row>
        <row r="205">
          <cell r="A205" t="str">
            <v>0204</v>
          </cell>
          <cell r="B205" t="str">
            <v>王玉双</v>
          </cell>
          <cell r="C205" t="str">
            <v>油漆车间</v>
          </cell>
        </row>
        <row r="206">
          <cell r="A206" t="str">
            <v>0205</v>
          </cell>
          <cell r="B206" t="str">
            <v>张林</v>
          </cell>
          <cell r="C206" t="str">
            <v>机械设计部</v>
          </cell>
        </row>
        <row r="207">
          <cell r="A207" t="str">
            <v>0206</v>
          </cell>
          <cell r="B207" t="str">
            <v>黄国平</v>
          </cell>
          <cell r="C207" t="str">
            <v>资产财务部</v>
          </cell>
        </row>
        <row r="208">
          <cell r="A208" t="str">
            <v>0207</v>
          </cell>
          <cell r="B208" t="str">
            <v>陶明芳</v>
          </cell>
          <cell r="C208" t="str">
            <v>后勤管理部</v>
          </cell>
        </row>
        <row r="209">
          <cell r="A209" t="str">
            <v>0208</v>
          </cell>
          <cell r="B209" t="str">
            <v>唐成芳</v>
          </cell>
          <cell r="C209" t="str">
            <v>采购部</v>
          </cell>
        </row>
        <row r="210">
          <cell r="A210" t="str">
            <v>0209</v>
          </cell>
          <cell r="B210" t="str">
            <v>李义恒</v>
          </cell>
          <cell r="C210" t="str">
            <v>机加车间</v>
          </cell>
        </row>
        <row r="211">
          <cell r="A211" t="str">
            <v>0210</v>
          </cell>
          <cell r="B211" t="str">
            <v>任海峰</v>
          </cell>
          <cell r="C211" t="str">
            <v>测量室</v>
          </cell>
        </row>
        <row r="212">
          <cell r="A212" t="str">
            <v>0211</v>
          </cell>
          <cell r="B212" t="str">
            <v>许贺</v>
          </cell>
          <cell r="C212" t="str">
            <v>机加车间</v>
          </cell>
        </row>
        <row r="213">
          <cell r="A213" t="str">
            <v>0215</v>
          </cell>
          <cell r="B213" t="str">
            <v>朱伟涛</v>
          </cell>
          <cell r="C213" t="str">
            <v>项目工程部</v>
          </cell>
        </row>
        <row r="214">
          <cell r="A214" t="str">
            <v>0216</v>
          </cell>
          <cell r="B214" t="str">
            <v>杨开坂</v>
          </cell>
          <cell r="C214" t="str">
            <v>机械设计部</v>
          </cell>
        </row>
        <row r="215">
          <cell r="A215" t="str">
            <v>0217</v>
          </cell>
          <cell r="B215" t="str">
            <v>叶鑫_离职</v>
          </cell>
          <cell r="C215" t="str">
            <v>机加车间</v>
          </cell>
        </row>
        <row r="216">
          <cell r="A216" t="str">
            <v>0218</v>
          </cell>
          <cell r="B216" t="str">
            <v>郁华</v>
          </cell>
          <cell r="C216" t="str">
            <v>机械设计部</v>
          </cell>
        </row>
        <row r="217">
          <cell r="A217" t="str">
            <v>0219</v>
          </cell>
          <cell r="B217" t="str">
            <v>耿宇宙</v>
          </cell>
          <cell r="C217" t="str">
            <v>机加车间</v>
          </cell>
        </row>
        <row r="218">
          <cell r="A218" t="str">
            <v>0220</v>
          </cell>
          <cell r="B218" t="str">
            <v>王小蓉</v>
          </cell>
          <cell r="C218" t="str">
            <v>机加车间</v>
          </cell>
        </row>
        <row r="219">
          <cell r="A219" t="str">
            <v>0221</v>
          </cell>
          <cell r="B219" t="str">
            <v>王东豫</v>
          </cell>
          <cell r="C219" t="str">
            <v>机加车间</v>
          </cell>
        </row>
        <row r="220">
          <cell r="A220" t="str">
            <v>0222</v>
          </cell>
          <cell r="B220" t="str">
            <v>刘康</v>
          </cell>
          <cell r="C220" t="str">
            <v>机加车间</v>
          </cell>
        </row>
        <row r="221">
          <cell r="A221" t="str">
            <v>0223</v>
          </cell>
          <cell r="B221" t="str">
            <v>武猛</v>
          </cell>
          <cell r="C221" t="str">
            <v>装配车间</v>
          </cell>
        </row>
        <row r="222">
          <cell r="A222" t="str">
            <v>0224</v>
          </cell>
          <cell r="B222" t="str">
            <v>陈冲</v>
          </cell>
          <cell r="C222" t="str">
            <v>装配车间</v>
          </cell>
        </row>
        <row r="223">
          <cell r="A223" t="str">
            <v>0225</v>
          </cell>
          <cell r="B223" t="str">
            <v>庄世明</v>
          </cell>
          <cell r="C223" t="str">
            <v>装配车间</v>
          </cell>
        </row>
        <row r="224">
          <cell r="A224" t="str">
            <v>0226</v>
          </cell>
          <cell r="B224" t="str">
            <v>丁德</v>
          </cell>
          <cell r="C224" t="str">
            <v>后勤管理部</v>
          </cell>
        </row>
        <row r="225">
          <cell r="A225" t="str">
            <v>0227</v>
          </cell>
          <cell r="B225" t="str">
            <v>吴国文</v>
          </cell>
          <cell r="C225" t="str">
            <v>铆焊车间</v>
          </cell>
        </row>
        <row r="226">
          <cell r="A226" t="str">
            <v>0228</v>
          </cell>
          <cell r="B226" t="str">
            <v>刘占军</v>
          </cell>
          <cell r="C226" t="str">
            <v>机械设计部</v>
          </cell>
        </row>
        <row r="227">
          <cell r="A227" t="str">
            <v>0229</v>
          </cell>
          <cell r="B227" t="str">
            <v>张杰春</v>
          </cell>
          <cell r="C227" t="str">
            <v>机械设计部</v>
          </cell>
        </row>
        <row r="228">
          <cell r="A228" t="str">
            <v>0230</v>
          </cell>
          <cell r="B228" t="str">
            <v>朱波</v>
          </cell>
          <cell r="C228" t="str">
            <v>IT部</v>
          </cell>
        </row>
        <row r="229">
          <cell r="A229" t="str">
            <v>0231</v>
          </cell>
          <cell r="B229" t="str">
            <v>席天军</v>
          </cell>
          <cell r="C229" t="str">
            <v>铆焊车间</v>
          </cell>
        </row>
        <row r="230">
          <cell r="A230" t="str">
            <v>0232</v>
          </cell>
          <cell r="B230" t="str">
            <v>罗凤妹</v>
          </cell>
          <cell r="C230" t="str">
            <v>机加车间</v>
          </cell>
        </row>
        <row r="231">
          <cell r="A231" t="str">
            <v>0233</v>
          </cell>
          <cell r="B231" t="str">
            <v>董晓波</v>
          </cell>
          <cell r="C231" t="str">
            <v>机械设计部</v>
          </cell>
        </row>
        <row r="232">
          <cell r="A232" t="str">
            <v>0234</v>
          </cell>
          <cell r="B232" t="str">
            <v>宋海付</v>
          </cell>
          <cell r="C232" t="str">
            <v>装配车间</v>
          </cell>
        </row>
        <row r="233">
          <cell r="A233" t="str">
            <v>0235</v>
          </cell>
          <cell r="B233" t="str">
            <v>杨传举</v>
          </cell>
          <cell r="C233" t="str">
            <v>铆焊车间</v>
          </cell>
        </row>
        <row r="234">
          <cell r="A234" t="str">
            <v>0236</v>
          </cell>
          <cell r="B234" t="str">
            <v>陆家才</v>
          </cell>
          <cell r="C234" t="str">
            <v>铆焊车间</v>
          </cell>
        </row>
        <row r="235">
          <cell r="A235" t="str">
            <v>0237</v>
          </cell>
          <cell r="B235" t="str">
            <v>樊聪身</v>
          </cell>
          <cell r="C235" t="str">
            <v>铆焊车间</v>
          </cell>
        </row>
        <row r="236">
          <cell r="A236" t="str">
            <v>0238</v>
          </cell>
          <cell r="B236" t="str">
            <v>王效露</v>
          </cell>
          <cell r="C236" t="str">
            <v>铆焊车间</v>
          </cell>
        </row>
        <row r="237">
          <cell r="A237" t="str">
            <v>0239</v>
          </cell>
          <cell r="B237" t="str">
            <v>程训臣</v>
          </cell>
          <cell r="C237" t="str">
            <v>铆焊车间</v>
          </cell>
        </row>
        <row r="238">
          <cell r="A238" t="str">
            <v>0240</v>
          </cell>
          <cell r="B238" t="str">
            <v>董欢欢</v>
          </cell>
          <cell r="C238" t="str">
            <v>铆焊车间</v>
          </cell>
        </row>
        <row r="239">
          <cell r="A239" t="str">
            <v>0241</v>
          </cell>
          <cell r="B239" t="str">
            <v>程赛赛</v>
          </cell>
          <cell r="C239" t="str">
            <v>铆焊车间</v>
          </cell>
        </row>
        <row r="240">
          <cell r="A240" t="str">
            <v>0242</v>
          </cell>
          <cell r="B240" t="str">
            <v>梁小二</v>
          </cell>
          <cell r="C240" t="str">
            <v>铆焊车间</v>
          </cell>
        </row>
        <row r="241">
          <cell r="A241" t="str">
            <v>0243</v>
          </cell>
          <cell r="B241" t="str">
            <v>蔡可沛</v>
          </cell>
          <cell r="C241" t="str">
            <v>铆焊车间</v>
          </cell>
        </row>
        <row r="242">
          <cell r="A242" t="str">
            <v>0244</v>
          </cell>
          <cell r="B242" t="str">
            <v>程峰</v>
          </cell>
          <cell r="C242" t="str">
            <v>铆焊车间</v>
          </cell>
        </row>
        <row r="243">
          <cell r="A243" t="str">
            <v>0245</v>
          </cell>
          <cell r="B243" t="str">
            <v>苏何香</v>
          </cell>
          <cell r="C243" t="str">
            <v>铆焊车间</v>
          </cell>
        </row>
        <row r="244">
          <cell r="A244" t="str">
            <v>0246</v>
          </cell>
          <cell r="B244" t="str">
            <v>丁民警</v>
          </cell>
          <cell r="C244" t="str">
            <v>铆焊车间</v>
          </cell>
        </row>
        <row r="245">
          <cell r="A245" t="str">
            <v>0247</v>
          </cell>
          <cell r="B245" t="str">
            <v>牛德科</v>
          </cell>
          <cell r="C245" t="str">
            <v>铆焊车间</v>
          </cell>
        </row>
        <row r="246">
          <cell r="A246" t="str">
            <v>0248</v>
          </cell>
          <cell r="B246" t="str">
            <v>刘彪</v>
          </cell>
          <cell r="C246" t="str">
            <v>铆焊车间</v>
          </cell>
        </row>
        <row r="247">
          <cell r="A247" t="str">
            <v>0249</v>
          </cell>
          <cell r="B247" t="str">
            <v>刘勇</v>
          </cell>
          <cell r="C247" t="str">
            <v>铆焊车间</v>
          </cell>
        </row>
        <row r="248">
          <cell r="A248" t="str">
            <v>0250</v>
          </cell>
          <cell r="B248" t="str">
            <v>李校飞</v>
          </cell>
          <cell r="C248" t="str">
            <v>铆焊车间</v>
          </cell>
        </row>
        <row r="249">
          <cell r="A249" t="str">
            <v>0251</v>
          </cell>
          <cell r="B249" t="str">
            <v>李双林</v>
          </cell>
          <cell r="C249" t="str">
            <v>铆焊车间</v>
          </cell>
        </row>
        <row r="250">
          <cell r="A250" t="str">
            <v>0252</v>
          </cell>
          <cell r="B250" t="str">
            <v>古彦礼</v>
          </cell>
          <cell r="C250" t="str">
            <v>铆焊车间</v>
          </cell>
        </row>
        <row r="251">
          <cell r="A251" t="str">
            <v>0253</v>
          </cell>
          <cell r="B251" t="str">
            <v>黄亚军</v>
          </cell>
          <cell r="C251" t="str">
            <v>铆焊车间</v>
          </cell>
        </row>
        <row r="252">
          <cell r="A252" t="str">
            <v>0254</v>
          </cell>
          <cell r="B252" t="str">
            <v>胡芳德</v>
          </cell>
          <cell r="C252" t="str">
            <v>铆焊车间</v>
          </cell>
        </row>
        <row r="253">
          <cell r="A253" t="str">
            <v>0255</v>
          </cell>
          <cell r="B253" t="str">
            <v>倪其兵</v>
          </cell>
          <cell r="C253" t="str">
            <v>铆焊车间</v>
          </cell>
        </row>
        <row r="254">
          <cell r="A254" t="str">
            <v>0256</v>
          </cell>
          <cell r="B254" t="str">
            <v>赵立宾</v>
          </cell>
          <cell r="C254" t="str">
            <v>铆焊车间</v>
          </cell>
        </row>
        <row r="255">
          <cell r="A255" t="str">
            <v>0257</v>
          </cell>
          <cell r="B255" t="str">
            <v>温江波</v>
          </cell>
          <cell r="C255" t="str">
            <v>铆焊车间</v>
          </cell>
        </row>
        <row r="256">
          <cell r="A256" t="str">
            <v>0258</v>
          </cell>
          <cell r="B256" t="str">
            <v>谢强</v>
          </cell>
          <cell r="C256" t="str">
            <v>机加车间</v>
          </cell>
        </row>
        <row r="257">
          <cell r="A257" t="str">
            <v>0259</v>
          </cell>
          <cell r="B257" t="str">
            <v>刘彦林</v>
          </cell>
          <cell r="C257" t="str">
            <v>机加车间</v>
          </cell>
        </row>
        <row r="258">
          <cell r="A258" t="str">
            <v>0260</v>
          </cell>
          <cell r="B258" t="str">
            <v>张连春</v>
          </cell>
          <cell r="C258" t="str">
            <v>机加车间</v>
          </cell>
        </row>
        <row r="259">
          <cell r="A259" t="str">
            <v>0261</v>
          </cell>
          <cell r="B259" t="str">
            <v>石建庆</v>
          </cell>
          <cell r="C259" t="str">
            <v>机加车间</v>
          </cell>
        </row>
        <row r="260">
          <cell r="A260" t="str">
            <v>0262</v>
          </cell>
          <cell r="B260" t="str">
            <v>杨文慧</v>
          </cell>
          <cell r="C260" t="str">
            <v>项目工程部</v>
          </cell>
        </row>
        <row r="261">
          <cell r="A261" t="str">
            <v>0263</v>
          </cell>
          <cell r="B261" t="str">
            <v>刘军凯</v>
          </cell>
          <cell r="C261" t="str">
            <v>机械设计部</v>
          </cell>
        </row>
        <row r="262">
          <cell r="A262" t="str">
            <v>0264</v>
          </cell>
          <cell r="B262" t="str">
            <v>张平</v>
          </cell>
          <cell r="C262" t="str">
            <v>项目工程部</v>
          </cell>
        </row>
        <row r="263">
          <cell r="A263" t="str">
            <v>0265</v>
          </cell>
          <cell r="B263" t="str">
            <v>刘斌</v>
          </cell>
          <cell r="C263" t="str">
            <v>铆焊车间</v>
          </cell>
        </row>
        <row r="264">
          <cell r="A264" t="str">
            <v>0266</v>
          </cell>
          <cell r="B264" t="str">
            <v>吴光祥</v>
          </cell>
          <cell r="C264" t="str">
            <v>铆焊车间</v>
          </cell>
        </row>
        <row r="265">
          <cell r="A265" t="str">
            <v>0267</v>
          </cell>
          <cell r="B265" t="str">
            <v>郑永佳</v>
          </cell>
          <cell r="C265" t="str">
            <v>机械设计部</v>
          </cell>
        </row>
        <row r="266">
          <cell r="A266" t="str">
            <v>0268</v>
          </cell>
          <cell r="B266" t="str">
            <v>叶海丹</v>
          </cell>
          <cell r="C266" t="str">
            <v>人力资源部</v>
          </cell>
        </row>
        <row r="267">
          <cell r="A267" t="str">
            <v>0269</v>
          </cell>
          <cell r="B267" t="str">
            <v>唐兵毅</v>
          </cell>
          <cell r="C267" t="str">
            <v>测量室</v>
          </cell>
        </row>
        <row r="268">
          <cell r="A268" t="str">
            <v>0270</v>
          </cell>
          <cell r="B268" t="str">
            <v>邹方政</v>
          </cell>
          <cell r="C268" t="str">
            <v>装配车间</v>
          </cell>
        </row>
        <row r="269">
          <cell r="A269" t="str">
            <v>0271</v>
          </cell>
          <cell r="B269" t="str">
            <v>黄仕胜</v>
          </cell>
          <cell r="C269" t="str">
            <v>装配车间</v>
          </cell>
        </row>
        <row r="270">
          <cell r="A270" t="str">
            <v>0272</v>
          </cell>
          <cell r="B270" t="str">
            <v>阮太宝</v>
          </cell>
          <cell r="C270" t="str">
            <v>装配车间</v>
          </cell>
        </row>
        <row r="271">
          <cell r="A271" t="str">
            <v>0273</v>
          </cell>
          <cell r="B271" t="str">
            <v>段海水</v>
          </cell>
          <cell r="C271" t="str">
            <v>装配车间</v>
          </cell>
        </row>
        <row r="272">
          <cell r="A272" t="str">
            <v>0274</v>
          </cell>
          <cell r="B272" t="str">
            <v>翟向会</v>
          </cell>
          <cell r="C272" t="str">
            <v>机加车间</v>
          </cell>
        </row>
        <row r="273">
          <cell r="A273" t="str">
            <v>0275</v>
          </cell>
          <cell r="B273" t="str">
            <v>李政清</v>
          </cell>
          <cell r="C273" t="str">
            <v>铆焊车间</v>
          </cell>
        </row>
        <row r="274">
          <cell r="A274" t="str">
            <v>0276</v>
          </cell>
          <cell r="B274" t="str">
            <v>高辉松</v>
          </cell>
          <cell r="C274" t="str">
            <v>机械设计部</v>
          </cell>
        </row>
        <row r="275">
          <cell r="A275" t="str">
            <v>0277</v>
          </cell>
          <cell r="B275" t="str">
            <v>范纯一</v>
          </cell>
          <cell r="C275" t="str">
            <v>机械设计部</v>
          </cell>
        </row>
        <row r="276">
          <cell r="A276" t="str">
            <v>0278</v>
          </cell>
          <cell r="B276" t="str">
            <v>何超</v>
          </cell>
          <cell r="C276" t="str">
            <v>机械设计部</v>
          </cell>
        </row>
        <row r="277">
          <cell r="A277" t="str">
            <v>0279</v>
          </cell>
          <cell r="B277" t="str">
            <v>杨宏</v>
          </cell>
          <cell r="C277" t="str">
            <v>机械设计部</v>
          </cell>
        </row>
        <row r="278">
          <cell r="A278" t="str">
            <v>0280</v>
          </cell>
          <cell r="B278" t="str">
            <v>陈明一</v>
          </cell>
          <cell r="C278" t="str">
            <v>机械设计部</v>
          </cell>
        </row>
        <row r="279">
          <cell r="A279" t="str">
            <v>0281</v>
          </cell>
          <cell r="B279" t="str">
            <v>杨妍昱</v>
          </cell>
          <cell r="C279" t="str">
            <v>工艺规划部</v>
          </cell>
        </row>
        <row r="280">
          <cell r="A280" t="str">
            <v>0282</v>
          </cell>
          <cell r="B280" t="str">
            <v>柴利波</v>
          </cell>
          <cell r="C280" t="str">
            <v>工艺规划部</v>
          </cell>
        </row>
        <row r="281">
          <cell r="A281" t="str">
            <v>0283</v>
          </cell>
          <cell r="B281" t="str">
            <v>夏巨昆</v>
          </cell>
          <cell r="C281" t="str">
            <v>机械设计部</v>
          </cell>
        </row>
        <row r="282">
          <cell r="A282" t="str">
            <v>0284</v>
          </cell>
          <cell r="B282" t="str">
            <v>严佳晨</v>
          </cell>
          <cell r="C282" t="str">
            <v>机械设计部</v>
          </cell>
        </row>
        <row r="283">
          <cell r="A283" t="str">
            <v>0285</v>
          </cell>
          <cell r="B283" t="str">
            <v>黄树强</v>
          </cell>
          <cell r="C283" t="str">
            <v>机械设计部</v>
          </cell>
        </row>
        <row r="284">
          <cell r="A284" t="str">
            <v>0286</v>
          </cell>
          <cell r="B284" t="str">
            <v>张灿灿</v>
          </cell>
          <cell r="C284" t="str">
            <v>机械设计部</v>
          </cell>
        </row>
        <row r="285">
          <cell r="A285" t="str">
            <v>0287</v>
          </cell>
          <cell r="B285" t="str">
            <v>朱中良</v>
          </cell>
          <cell r="C285" t="str">
            <v>铆焊车间</v>
          </cell>
        </row>
        <row r="286">
          <cell r="A286" t="str">
            <v>0288</v>
          </cell>
          <cell r="B286" t="str">
            <v>吴祖先</v>
          </cell>
          <cell r="C286" t="str">
            <v>铆焊车间</v>
          </cell>
        </row>
        <row r="287">
          <cell r="A287" t="str">
            <v>0289</v>
          </cell>
          <cell r="B287" t="str">
            <v>韩东东</v>
          </cell>
          <cell r="C287" t="str">
            <v>机加车间</v>
          </cell>
        </row>
        <row r="288">
          <cell r="A288" t="str">
            <v>0290</v>
          </cell>
          <cell r="B288" t="str">
            <v>周红英</v>
          </cell>
          <cell r="C288" t="str">
            <v>机加车间</v>
          </cell>
        </row>
        <row r="289">
          <cell r="A289" t="str">
            <v>0291</v>
          </cell>
          <cell r="B289" t="str">
            <v>范以超</v>
          </cell>
          <cell r="C289" t="str">
            <v>机加车间</v>
          </cell>
        </row>
        <row r="290">
          <cell r="A290" t="str">
            <v>0292</v>
          </cell>
          <cell r="B290" t="str">
            <v>陈红波</v>
          </cell>
          <cell r="C290" t="str">
            <v>机加车间</v>
          </cell>
        </row>
        <row r="291">
          <cell r="A291" t="str">
            <v>0293</v>
          </cell>
          <cell r="B291" t="str">
            <v>李应成</v>
          </cell>
          <cell r="C291" t="str">
            <v>机加车间</v>
          </cell>
        </row>
        <row r="292">
          <cell r="A292" t="str">
            <v>0294</v>
          </cell>
          <cell r="B292" t="str">
            <v>郭峰1</v>
          </cell>
          <cell r="C292" t="str">
            <v>机械设计部</v>
          </cell>
        </row>
        <row r="293">
          <cell r="A293" t="str">
            <v>0295</v>
          </cell>
          <cell r="B293" t="str">
            <v>田金柱</v>
          </cell>
          <cell r="C293" t="str">
            <v>铆焊车间</v>
          </cell>
        </row>
        <row r="294">
          <cell r="A294" t="str">
            <v>0296</v>
          </cell>
          <cell r="B294" t="str">
            <v>罗兵兵</v>
          </cell>
          <cell r="C294" t="str">
            <v>机加车间</v>
          </cell>
        </row>
        <row r="295">
          <cell r="A295" t="str">
            <v>0297</v>
          </cell>
          <cell r="B295" t="str">
            <v>陆金根</v>
          </cell>
          <cell r="C295" t="str">
            <v>后勤管理部</v>
          </cell>
        </row>
        <row r="296">
          <cell r="A296" t="str">
            <v>0298</v>
          </cell>
          <cell r="B296" t="str">
            <v>何双六</v>
          </cell>
          <cell r="C296" t="str">
            <v>机械设计部</v>
          </cell>
        </row>
        <row r="297">
          <cell r="A297" t="str">
            <v>0299</v>
          </cell>
          <cell r="B297" t="str">
            <v>赵伟</v>
          </cell>
          <cell r="C297" t="str">
            <v>机加车间</v>
          </cell>
        </row>
        <row r="298">
          <cell r="A298" t="str">
            <v>0300</v>
          </cell>
          <cell r="B298" t="str">
            <v>范凤花</v>
          </cell>
          <cell r="C298" t="str">
            <v>后勤管理部</v>
          </cell>
        </row>
        <row r="299">
          <cell r="A299" t="str">
            <v>0302</v>
          </cell>
          <cell r="B299" t="str">
            <v>薛荣昌</v>
          </cell>
          <cell r="C299" t="str">
            <v>后勤管理部</v>
          </cell>
        </row>
        <row r="300">
          <cell r="A300" t="str">
            <v>0303</v>
          </cell>
          <cell r="B300" t="str">
            <v>梁三钢</v>
          </cell>
          <cell r="C300" t="str">
            <v>装配车间</v>
          </cell>
        </row>
        <row r="301">
          <cell r="A301" t="str">
            <v>0304</v>
          </cell>
          <cell r="B301" t="str">
            <v>刘洋</v>
          </cell>
          <cell r="C301" t="str">
            <v>装配车间</v>
          </cell>
        </row>
        <row r="302">
          <cell r="A302" t="str">
            <v>0305</v>
          </cell>
          <cell r="B302" t="str">
            <v>郭晓雷</v>
          </cell>
          <cell r="C302" t="str">
            <v>装配车间</v>
          </cell>
        </row>
        <row r="303">
          <cell r="A303" t="str">
            <v>0306</v>
          </cell>
          <cell r="B303" t="str">
            <v>熊力</v>
          </cell>
          <cell r="C303" t="str">
            <v>装配车间</v>
          </cell>
        </row>
        <row r="304">
          <cell r="A304" t="str">
            <v>0307</v>
          </cell>
          <cell r="B304" t="str">
            <v>李朋朋</v>
          </cell>
          <cell r="C304" t="str">
            <v>机加车间</v>
          </cell>
        </row>
        <row r="305">
          <cell r="A305" t="str">
            <v>0308</v>
          </cell>
          <cell r="B305" t="str">
            <v>何勇</v>
          </cell>
          <cell r="C305" t="str">
            <v>工艺规划部</v>
          </cell>
        </row>
        <row r="306">
          <cell r="A306" t="str">
            <v>0309</v>
          </cell>
          <cell r="B306" t="str">
            <v>李胜杰</v>
          </cell>
          <cell r="C306" t="str">
            <v>测量室</v>
          </cell>
        </row>
        <row r="307">
          <cell r="A307" t="str">
            <v>0310</v>
          </cell>
          <cell r="B307" t="str">
            <v>何金祥</v>
          </cell>
          <cell r="C307" t="str">
            <v>机加车间</v>
          </cell>
        </row>
        <row r="308">
          <cell r="A308" t="str">
            <v>0311</v>
          </cell>
          <cell r="B308" t="str">
            <v>瞿习平</v>
          </cell>
          <cell r="C308" t="str">
            <v>机加车间</v>
          </cell>
        </row>
        <row r="309">
          <cell r="A309" t="str">
            <v>0312</v>
          </cell>
          <cell r="B309" t="str">
            <v>倪林庚</v>
          </cell>
          <cell r="C309" t="str">
            <v>机加车间</v>
          </cell>
        </row>
        <row r="310">
          <cell r="A310" t="str">
            <v>0313</v>
          </cell>
          <cell r="B310" t="str">
            <v>翟新波</v>
          </cell>
          <cell r="C310" t="str">
            <v>机加车间</v>
          </cell>
        </row>
        <row r="311">
          <cell r="A311" t="str">
            <v>0314</v>
          </cell>
          <cell r="B311" t="str">
            <v>高俊成</v>
          </cell>
          <cell r="C311" t="str">
            <v>铆焊车间</v>
          </cell>
        </row>
        <row r="312">
          <cell r="A312" t="str">
            <v>0315</v>
          </cell>
          <cell r="B312" t="str">
            <v>鲁亮发</v>
          </cell>
          <cell r="C312" t="str">
            <v>铆焊车间</v>
          </cell>
        </row>
        <row r="313">
          <cell r="A313" t="str">
            <v>0316</v>
          </cell>
          <cell r="B313" t="str">
            <v>梁昌杰</v>
          </cell>
          <cell r="C313" t="str">
            <v>铆焊车间</v>
          </cell>
        </row>
        <row r="314">
          <cell r="A314" t="str">
            <v>0317</v>
          </cell>
          <cell r="B314" t="str">
            <v>杨旭郎</v>
          </cell>
          <cell r="C314" t="str">
            <v>项目工程部</v>
          </cell>
        </row>
        <row r="315">
          <cell r="A315" t="str">
            <v>0318</v>
          </cell>
          <cell r="B315" t="str">
            <v>秦波</v>
          </cell>
          <cell r="C315" t="str">
            <v>项目工程部</v>
          </cell>
        </row>
        <row r="316">
          <cell r="A316" t="str">
            <v>0319</v>
          </cell>
          <cell r="B316" t="str">
            <v>杨小国</v>
          </cell>
          <cell r="C316" t="str">
            <v>项目工程部</v>
          </cell>
        </row>
        <row r="317">
          <cell r="A317" t="str">
            <v>0320</v>
          </cell>
          <cell r="B317" t="str">
            <v>马杨青</v>
          </cell>
          <cell r="C317" t="str">
            <v>机械设计部</v>
          </cell>
        </row>
        <row r="318">
          <cell r="A318" t="str">
            <v>0321</v>
          </cell>
          <cell r="B318" t="str">
            <v>刘红卫</v>
          </cell>
          <cell r="C318" t="str">
            <v>铆焊车间</v>
          </cell>
        </row>
        <row r="319">
          <cell r="A319" t="str">
            <v>0322</v>
          </cell>
          <cell r="B319" t="str">
            <v>石攀辉</v>
          </cell>
          <cell r="C319" t="str">
            <v>机加车间</v>
          </cell>
        </row>
        <row r="320">
          <cell r="A320" t="str">
            <v>0323</v>
          </cell>
          <cell r="B320" t="str">
            <v>熊兵</v>
          </cell>
          <cell r="C320" t="str">
            <v>机加车间</v>
          </cell>
        </row>
        <row r="321">
          <cell r="A321" t="str">
            <v>0324</v>
          </cell>
          <cell r="B321" t="str">
            <v>李祖应</v>
          </cell>
          <cell r="C321" t="str">
            <v>机加车间</v>
          </cell>
        </row>
        <row r="322">
          <cell r="A322" t="str">
            <v>0325</v>
          </cell>
          <cell r="B322" t="str">
            <v>吴强</v>
          </cell>
          <cell r="C322" t="str">
            <v>装配车间</v>
          </cell>
        </row>
        <row r="323">
          <cell r="A323" t="str">
            <v>0326</v>
          </cell>
          <cell r="B323" t="str">
            <v>熊龙章</v>
          </cell>
          <cell r="C323" t="str">
            <v>装配车间</v>
          </cell>
        </row>
        <row r="324">
          <cell r="A324" t="str">
            <v>0327</v>
          </cell>
          <cell r="B324" t="str">
            <v>吴标</v>
          </cell>
          <cell r="C324" t="str">
            <v>装配车间</v>
          </cell>
        </row>
        <row r="325">
          <cell r="A325" t="str">
            <v>0328</v>
          </cell>
          <cell r="B325" t="str">
            <v>杨辉</v>
          </cell>
          <cell r="C325" t="str">
            <v>装配车间</v>
          </cell>
        </row>
        <row r="326">
          <cell r="A326" t="str">
            <v>0329</v>
          </cell>
          <cell r="B326" t="str">
            <v>杨新强</v>
          </cell>
          <cell r="C326" t="str">
            <v>装配车间</v>
          </cell>
        </row>
        <row r="327">
          <cell r="A327" t="str">
            <v>0330</v>
          </cell>
          <cell r="B327" t="str">
            <v>彭火平</v>
          </cell>
          <cell r="C327" t="str">
            <v>装配车间</v>
          </cell>
        </row>
        <row r="328">
          <cell r="A328" t="str">
            <v>0331</v>
          </cell>
          <cell r="B328" t="str">
            <v>张才发</v>
          </cell>
          <cell r="C328" t="str">
            <v>油漆车间</v>
          </cell>
        </row>
        <row r="329">
          <cell r="A329" t="str">
            <v>0332</v>
          </cell>
          <cell r="B329" t="str">
            <v>孙红平</v>
          </cell>
          <cell r="C329" t="str">
            <v>油漆车间</v>
          </cell>
        </row>
        <row r="330">
          <cell r="A330" t="str">
            <v>0333</v>
          </cell>
          <cell r="B330" t="str">
            <v>阮情方</v>
          </cell>
          <cell r="C330" t="str">
            <v>油漆车间</v>
          </cell>
        </row>
        <row r="331">
          <cell r="A331" t="str">
            <v>0334</v>
          </cell>
          <cell r="B331" t="str">
            <v>李卫国</v>
          </cell>
          <cell r="C331" t="str">
            <v>铆焊车间</v>
          </cell>
        </row>
        <row r="332">
          <cell r="A332" t="str">
            <v>0335</v>
          </cell>
          <cell r="B332" t="str">
            <v>范新强</v>
          </cell>
          <cell r="C332" t="str">
            <v>铆焊车间</v>
          </cell>
        </row>
        <row r="333">
          <cell r="A333" t="str">
            <v>0336</v>
          </cell>
          <cell r="B333" t="str">
            <v>冯宏胜</v>
          </cell>
          <cell r="C333" t="str">
            <v>机加车间</v>
          </cell>
        </row>
        <row r="334">
          <cell r="A334" t="str">
            <v>0337</v>
          </cell>
          <cell r="B334" t="str">
            <v>郭泽端</v>
          </cell>
          <cell r="C334" t="str">
            <v>机加车间</v>
          </cell>
        </row>
        <row r="335">
          <cell r="A335" t="str">
            <v>0338</v>
          </cell>
          <cell r="B335" t="str">
            <v>李新德</v>
          </cell>
          <cell r="C335" t="str">
            <v>机加车间</v>
          </cell>
        </row>
        <row r="336">
          <cell r="A336" t="str">
            <v>0339</v>
          </cell>
          <cell r="B336" t="str">
            <v>刘其威</v>
          </cell>
          <cell r="C336" t="str">
            <v>装配车间</v>
          </cell>
        </row>
        <row r="337">
          <cell r="A337" t="str">
            <v>0340</v>
          </cell>
          <cell r="B337" t="str">
            <v>凃龙强</v>
          </cell>
          <cell r="C337" t="str">
            <v>装配车间</v>
          </cell>
        </row>
        <row r="338">
          <cell r="A338" t="str">
            <v>0341</v>
          </cell>
          <cell r="B338" t="str">
            <v>张志宏</v>
          </cell>
          <cell r="C338" t="str">
            <v>工程安装部</v>
          </cell>
        </row>
        <row r="339">
          <cell r="A339" t="str">
            <v>0342</v>
          </cell>
          <cell r="B339" t="str">
            <v>杨亮</v>
          </cell>
          <cell r="C339" t="str">
            <v>测量室</v>
          </cell>
        </row>
        <row r="340">
          <cell r="A340" t="str">
            <v>0343</v>
          </cell>
          <cell r="B340" t="str">
            <v>李亚</v>
          </cell>
          <cell r="C340" t="str">
            <v>项目工程部</v>
          </cell>
        </row>
        <row r="341">
          <cell r="A341" t="str">
            <v>0344</v>
          </cell>
          <cell r="B341" t="str">
            <v>谢俊昆</v>
          </cell>
          <cell r="C341" t="str">
            <v>机加车间</v>
          </cell>
        </row>
        <row r="342">
          <cell r="A342" t="str">
            <v>0345</v>
          </cell>
          <cell r="B342" t="str">
            <v>徐祖祥</v>
          </cell>
          <cell r="C342" t="str">
            <v>机加车间</v>
          </cell>
        </row>
        <row r="343">
          <cell r="A343" t="str">
            <v>0346</v>
          </cell>
          <cell r="B343" t="str">
            <v>李红波</v>
          </cell>
          <cell r="C343" t="str">
            <v>机加车间</v>
          </cell>
        </row>
        <row r="344">
          <cell r="A344" t="str">
            <v>0347</v>
          </cell>
          <cell r="B344" t="str">
            <v>唐酽</v>
          </cell>
          <cell r="C344" t="str">
            <v>测量室</v>
          </cell>
        </row>
        <row r="345">
          <cell r="A345" t="str">
            <v>0348</v>
          </cell>
          <cell r="B345" t="str">
            <v>王杰</v>
          </cell>
          <cell r="C345" t="str">
            <v>装配车间</v>
          </cell>
        </row>
        <row r="346">
          <cell r="A346" t="str">
            <v>0349</v>
          </cell>
          <cell r="B346" t="str">
            <v>汪强</v>
          </cell>
          <cell r="C346" t="str">
            <v>机加车间</v>
          </cell>
        </row>
        <row r="347">
          <cell r="A347" t="str">
            <v>0350</v>
          </cell>
          <cell r="B347" t="str">
            <v>孙晶晶</v>
          </cell>
          <cell r="C347" t="str">
            <v>装配车间</v>
          </cell>
        </row>
        <row r="348">
          <cell r="A348" t="str">
            <v>0351</v>
          </cell>
          <cell r="B348" t="str">
            <v>任建通</v>
          </cell>
          <cell r="C348" t="str">
            <v>装配车间</v>
          </cell>
        </row>
        <row r="349">
          <cell r="A349" t="str">
            <v>0352</v>
          </cell>
          <cell r="B349" t="str">
            <v>刘群</v>
          </cell>
          <cell r="C349" t="str">
            <v>铆焊车间</v>
          </cell>
        </row>
        <row r="350">
          <cell r="A350" t="str">
            <v>0353</v>
          </cell>
          <cell r="B350" t="str">
            <v>何广</v>
          </cell>
          <cell r="C350" t="str">
            <v>机加车间</v>
          </cell>
        </row>
        <row r="351">
          <cell r="A351" t="str">
            <v>0354</v>
          </cell>
          <cell r="B351" t="str">
            <v>韩玉</v>
          </cell>
          <cell r="C351" t="str">
            <v>装配车间</v>
          </cell>
        </row>
        <row r="352">
          <cell r="A352" t="str">
            <v>0355</v>
          </cell>
          <cell r="B352" t="str">
            <v>帅世海</v>
          </cell>
          <cell r="C352" t="str">
            <v>机加车间</v>
          </cell>
        </row>
        <row r="353">
          <cell r="A353" t="str">
            <v>0356</v>
          </cell>
          <cell r="B353" t="str">
            <v>李建国</v>
          </cell>
          <cell r="C353" t="str">
            <v>装配车间</v>
          </cell>
        </row>
        <row r="354">
          <cell r="A354" t="str">
            <v>0357</v>
          </cell>
          <cell r="B354" t="str">
            <v>孟燕</v>
          </cell>
          <cell r="C354" t="str">
            <v>采购部</v>
          </cell>
        </row>
        <row r="355">
          <cell r="A355" t="str">
            <v>0358</v>
          </cell>
          <cell r="B355" t="str">
            <v>陈凯丽</v>
          </cell>
          <cell r="C355" t="str">
            <v>采购部</v>
          </cell>
        </row>
        <row r="356">
          <cell r="A356" t="str">
            <v>0359</v>
          </cell>
          <cell r="B356" t="str">
            <v>吴建</v>
          </cell>
          <cell r="C356" t="str">
            <v>装配车间</v>
          </cell>
        </row>
        <row r="357">
          <cell r="A357" t="str">
            <v>0360</v>
          </cell>
          <cell r="B357" t="str">
            <v>王刘峰</v>
          </cell>
          <cell r="C357" t="str">
            <v>装配车间</v>
          </cell>
        </row>
        <row r="358">
          <cell r="A358" t="str">
            <v>0361</v>
          </cell>
          <cell r="B358" t="str">
            <v>谭友法</v>
          </cell>
          <cell r="C358" t="str">
            <v>机加车间</v>
          </cell>
        </row>
        <row r="359">
          <cell r="A359" t="str">
            <v>0362</v>
          </cell>
          <cell r="B359" t="str">
            <v>彭孝琼</v>
          </cell>
          <cell r="C359" t="str">
            <v>装配车间</v>
          </cell>
        </row>
        <row r="360">
          <cell r="A360" t="str">
            <v>0363</v>
          </cell>
          <cell r="B360" t="str">
            <v>张月忠</v>
          </cell>
          <cell r="C360" t="str">
            <v>装配车间</v>
          </cell>
        </row>
        <row r="361">
          <cell r="A361" t="str">
            <v>0364</v>
          </cell>
          <cell r="B361" t="str">
            <v>王芳</v>
          </cell>
          <cell r="C361" t="str">
            <v>装配车间</v>
          </cell>
        </row>
        <row r="362">
          <cell r="A362" t="str">
            <v>0365</v>
          </cell>
          <cell r="B362" t="str">
            <v>高春艳</v>
          </cell>
          <cell r="C362" t="str">
            <v>油漆车间</v>
          </cell>
        </row>
        <row r="363">
          <cell r="A363" t="str">
            <v>0366</v>
          </cell>
          <cell r="B363" t="str">
            <v>谢良文</v>
          </cell>
          <cell r="C363" t="str">
            <v>机加车间</v>
          </cell>
        </row>
        <row r="364">
          <cell r="A364" t="str">
            <v>0367</v>
          </cell>
          <cell r="B364" t="str">
            <v>母顺顺</v>
          </cell>
          <cell r="C364" t="str">
            <v>机加车间</v>
          </cell>
        </row>
        <row r="365">
          <cell r="A365" t="str">
            <v>0368</v>
          </cell>
          <cell r="B365" t="str">
            <v>刘双江</v>
          </cell>
          <cell r="C365" t="str">
            <v>装配车间</v>
          </cell>
        </row>
        <row r="366">
          <cell r="A366" t="str">
            <v>0369</v>
          </cell>
          <cell r="B366" t="str">
            <v>张威</v>
          </cell>
          <cell r="C366" t="str">
            <v>机械设计部</v>
          </cell>
        </row>
        <row r="367">
          <cell r="A367" t="str">
            <v>0370</v>
          </cell>
          <cell r="B367" t="str">
            <v>薛帅帅</v>
          </cell>
          <cell r="C367" t="str">
            <v>项目工程部</v>
          </cell>
        </row>
        <row r="368">
          <cell r="A368" t="str">
            <v>0371</v>
          </cell>
          <cell r="B368" t="str">
            <v>王传华</v>
          </cell>
          <cell r="C368" t="str">
            <v>机械设计部</v>
          </cell>
        </row>
        <row r="369">
          <cell r="A369" t="str">
            <v>0372</v>
          </cell>
          <cell r="B369" t="str">
            <v>邱言浩</v>
          </cell>
          <cell r="C369" t="str">
            <v>机械设计部</v>
          </cell>
        </row>
        <row r="370">
          <cell r="A370" t="str">
            <v>0373</v>
          </cell>
          <cell r="B370" t="str">
            <v>徐昭帆</v>
          </cell>
          <cell r="C370" t="str">
            <v>机械设计部</v>
          </cell>
        </row>
        <row r="371">
          <cell r="A371" t="str">
            <v>0374</v>
          </cell>
          <cell r="B371" t="str">
            <v>陈少恒</v>
          </cell>
          <cell r="C371" t="str">
            <v>机械设计部</v>
          </cell>
        </row>
        <row r="372">
          <cell r="A372" t="str">
            <v>0375</v>
          </cell>
          <cell r="B372" t="str">
            <v>陶祥季</v>
          </cell>
          <cell r="C372" t="str">
            <v>机械设计部</v>
          </cell>
        </row>
        <row r="373">
          <cell r="A373" t="str">
            <v>0376</v>
          </cell>
          <cell r="B373" t="str">
            <v>李强</v>
          </cell>
          <cell r="C373" t="str">
            <v>机械设计部</v>
          </cell>
        </row>
        <row r="374">
          <cell r="A374" t="str">
            <v>0377</v>
          </cell>
          <cell r="B374" t="str">
            <v>杨创</v>
          </cell>
          <cell r="C374" t="str">
            <v>机械设计部</v>
          </cell>
        </row>
        <row r="375">
          <cell r="A375" t="str">
            <v>0378</v>
          </cell>
          <cell r="B375" t="str">
            <v>郭雄文</v>
          </cell>
          <cell r="C375" t="str">
            <v>装配车间</v>
          </cell>
        </row>
        <row r="376">
          <cell r="A376" t="str">
            <v>0379</v>
          </cell>
          <cell r="B376" t="str">
            <v>李翠红</v>
          </cell>
          <cell r="C376" t="str">
            <v>测量室</v>
          </cell>
        </row>
        <row r="377">
          <cell r="A377" t="str">
            <v>0380</v>
          </cell>
          <cell r="B377" t="str">
            <v>张和平</v>
          </cell>
          <cell r="C377" t="str">
            <v>装配车间</v>
          </cell>
        </row>
        <row r="378">
          <cell r="A378" t="str">
            <v>0381</v>
          </cell>
          <cell r="B378" t="str">
            <v>赵宇</v>
          </cell>
          <cell r="C378" t="str">
            <v>机械设计部</v>
          </cell>
        </row>
        <row r="379">
          <cell r="A379" t="str">
            <v>0382</v>
          </cell>
          <cell r="B379" t="str">
            <v>罗瑞</v>
          </cell>
          <cell r="C379" t="str">
            <v>机械设计部</v>
          </cell>
        </row>
        <row r="380">
          <cell r="A380" t="str">
            <v>0383</v>
          </cell>
          <cell r="B380" t="str">
            <v>禄旭园</v>
          </cell>
          <cell r="C380" t="str">
            <v>机械设计部</v>
          </cell>
        </row>
        <row r="381">
          <cell r="A381" t="str">
            <v>0384</v>
          </cell>
          <cell r="B381" t="str">
            <v>梁京凯</v>
          </cell>
          <cell r="C381" t="str">
            <v>工艺规划部</v>
          </cell>
        </row>
        <row r="382">
          <cell r="A382" t="str">
            <v>0385</v>
          </cell>
          <cell r="B382" t="str">
            <v>陆亦斌</v>
          </cell>
          <cell r="C382" t="str">
            <v>工艺规划部</v>
          </cell>
        </row>
        <row r="383">
          <cell r="A383" t="str">
            <v>0386</v>
          </cell>
          <cell r="B383" t="str">
            <v>闫璐伟</v>
          </cell>
          <cell r="C383" t="str">
            <v>工艺规划部</v>
          </cell>
        </row>
        <row r="384">
          <cell r="A384" t="str">
            <v>0387</v>
          </cell>
          <cell r="B384" t="str">
            <v>王雷雨</v>
          </cell>
          <cell r="C384" t="str">
            <v>装配车间</v>
          </cell>
        </row>
        <row r="385">
          <cell r="A385" t="str">
            <v>0388</v>
          </cell>
          <cell r="B385" t="str">
            <v>郭慧</v>
          </cell>
          <cell r="C385" t="str">
            <v>机械设计部</v>
          </cell>
        </row>
        <row r="386">
          <cell r="A386" t="str">
            <v>0389</v>
          </cell>
          <cell r="B386" t="str">
            <v>张艳丽</v>
          </cell>
          <cell r="C386" t="str">
            <v>电气自动化部</v>
          </cell>
        </row>
        <row r="387">
          <cell r="A387" t="str">
            <v>0390</v>
          </cell>
          <cell r="B387" t="str">
            <v>刘晓庆</v>
          </cell>
          <cell r="C387" t="str">
            <v>装配车间</v>
          </cell>
        </row>
        <row r="388">
          <cell r="A388" t="str">
            <v>0391</v>
          </cell>
          <cell r="B388" t="str">
            <v>刘刚</v>
          </cell>
          <cell r="C388" t="str">
            <v>装配车间</v>
          </cell>
        </row>
        <row r="389">
          <cell r="A389" t="str">
            <v>0392</v>
          </cell>
          <cell r="B389" t="str">
            <v>董顺利</v>
          </cell>
          <cell r="C389" t="str">
            <v>机加车间</v>
          </cell>
        </row>
        <row r="390">
          <cell r="A390" t="str">
            <v>0393</v>
          </cell>
          <cell r="B390" t="str">
            <v>吕倩</v>
          </cell>
          <cell r="C390" t="str">
            <v>采购部</v>
          </cell>
        </row>
        <row r="391">
          <cell r="A391" t="str">
            <v>0394</v>
          </cell>
          <cell r="B391" t="str">
            <v>张华来</v>
          </cell>
          <cell r="C391" t="str">
            <v>铆焊车间</v>
          </cell>
        </row>
        <row r="392">
          <cell r="A392" t="str">
            <v>0395</v>
          </cell>
          <cell r="B392" t="str">
            <v>景海浪</v>
          </cell>
          <cell r="C392" t="str">
            <v>项目工程部</v>
          </cell>
        </row>
        <row r="393">
          <cell r="A393" t="str">
            <v>0396</v>
          </cell>
          <cell r="B393" t="str">
            <v>林克华</v>
          </cell>
          <cell r="C393" t="str">
            <v>工艺规划部</v>
          </cell>
        </row>
        <row r="394">
          <cell r="A394" t="str">
            <v>0397</v>
          </cell>
          <cell r="B394" t="str">
            <v>张七妹</v>
          </cell>
          <cell r="C394" t="str">
            <v>后勤管理部</v>
          </cell>
        </row>
        <row r="395">
          <cell r="A395" t="str">
            <v>0398</v>
          </cell>
          <cell r="B395" t="str">
            <v>赵凤仙</v>
          </cell>
          <cell r="C395" t="str">
            <v>后勤管理部</v>
          </cell>
        </row>
        <row r="396">
          <cell r="A396" t="str">
            <v>0399</v>
          </cell>
          <cell r="B396" t="str">
            <v>瞿根妹</v>
          </cell>
          <cell r="C396" t="str">
            <v>后勤管理部</v>
          </cell>
        </row>
        <row r="397">
          <cell r="A397" t="str">
            <v>0400</v>
          </cell>
          <cell r="B397" t="str">
            <v>王海旭</v>
          </cell>
          <cell r="C397" t="str">
            <v>工艺规划部</v>
          </cell>
        </row>
        <row r="398">
          <cell r="A398" t="str">
            <v>0401</v>
          </cell>
          <cell r="B398" t="str">
            <v>祁昌虎</v>
          </cell>
          <cell r="C398" t="str">
            <v>装配车间</v>
          </cell>
        </row>
        <row r="399">
          <cell r="A399" t="str">
            <v>0402</v>
          </cell>
          <cell r="B399" t="str">
            <v>娄维维</v>
          </cell>
          <cell r="C399" t="str">
            <v>工艺规划部</v>
          </cell>
        </row>
        <row r="400">
          <cell r="A400" t="str">
            <v>0403</v>
          </cell>
          <cell r="B400" t="str">
            <v>屈爱国</v>
          </cell>
          <cell r="C400" t="str">
            <v>机加车间</v>
          </cell>
        </row>
        <row r="401">
          <cell r="A401" t="str">
            <v>0404</v>
          </cell>
          <cell r="B401" t="str">
            <v>朱井中</v>
          </cell>
          <cell r="C401" t="str">
            <v>机加车间</v>
          </cell>
        </row>
        <row r="402">
          <cell r="A402" t="str">
            <v>0405</v>
          </cell>
          <cell r="B402" t="str">
            <v>刘宗国</v>
          </cell>
          <cell r="C402" t="str">
            <v>铆焊车间</v>
          </cell>
        </row>
        <row r="403">
          <cell r="A403" t="str">
            <v>0406</v>
          </cell>
          <cell r="B403" t="str">
            <v>安冬野</v>
          </cell>
          <cell r="C403" t="str">
            <v>机加车间</v>
          </cell>
        </row>
        <row r="404">
          <cell r="A404" t="str">
            <v>0407</v>
          </cell>
          <cell r="B404" t="str">
            <v>张佩佩</v>
          </cell>
          <cell r="C404" t="str">
            <v>采购部</v>
          </cell>
        </row>
        <row r="405">
          <cell r="A405" t="str">
            <v>0408</v>
          </cell>
          <cell r="B405" t="str">
            <v>李新强</v>
          </cell>
          <cell r="C405" t="str">
            <v>装配车间</v>
          </cell>
        </row>
        <row r="406">
          <cell r="A406" t="str">
            <v>0409</v>
          </cell>
          <cell r="B406" t="str">
            <v>刘国青</v>
          </cell>
          <cell r="C406" t="str">
            <v>铆焊车间</v>
          </cell>
        </row>
        <row r="407">
          <cell r="A407" t="str">
            <v>0410</v>
          </cell>
          <cell r="B407" t="str">
            <v>李响</v>
          </cell>
          <cell r="C407" t="str">
            <v>装配车间</v>
          </cell>
        </row>
        <row r="408">
          <cell r="A408" t="str">
            <v>0411</v>
          </cell>
          <cell r="B408" t="str">
            <v>温乃强</v>
          </cell>
          <cell r="C408" t="str">
            <v>工艺规划部</v>
          </cell>
        </row>
        <row r="409">
          <cell r="A409" t="str">
            <v>0412</v>
          </cell>
          <cell r="B409" t="str">
            <v>蔡鹏飞</v>
          </cell>
          <cell r="C409" t="str">
            <v>工艺规划部</v>
          </cell>
        </row>
        <row r="410">
          <cell r="A410" t="str">
            <v>0413</v>
          </cell>
          <cell r="B410" t="str">
            <v>孙梁宏</v>
          </cell>
          <cell r="C410" t="str">
            <v>工艺规划部</v>
          </cell>
        </row>
        <row r="411">
          <cell r="A411" t="str">
            <v>0414</v>
          </cell>
          <cell r="B411" t="str">
            <v>何文好</v>
          </cell>
          <cell r="C411" t="str">
            <v>油漆车间</v>
          </cell>
        </row>
        <row r="412">
          <cell r="A412" t="str">
            <v>0415</v>
          </cell>
          <cell r="B412" t="str">
            <v>罗健华</v>
          </cell>
          <cell r="C412" t="str">
            <v>生产保障部</v>
          </cell>
        </row>
        <row r="413">
          <cell r="A413" t="str">
            <v>0416</v>
          </cell>
          <cell r="B413" t="str">
            <v>汤传明</v>
          </cell>
          <cell r="C413" t="str">
            <v>装配车间</v>
          </cell>
        </row>
        <row r="414">
          <cell r="A414" t="str">
            <v>0417</v>
          </cell>
          <cell r="B414" t="str">
            <v>潘川</v>
          </cell>
          <cell r="C414" t="str">
            <v>装配车间</v>
          </cell>
        </row>
        <row r="415">
          <cell r="A415" t="str">
            <v>0418</v>
          </cell>
          <cell r="B415" t="str">
            <v>夏福章</v>
          </cell>
          <cell r="C415" t="str">
            <v>装配车间</v>
          </cell>
        </row>
        <row r="416">
          <cell r="A416" t="str">
            <v>0419</v>
          </cell>
          <cell r="B416" t="str">
            <v>许之文</v>
          </cell>
          <cell r="C416" t="str">
            <v>装配车间</v>
          </cell>
        </row>
        <row r="417">
          <cell r="A417" t="str">
            <v>0420</v>
          </cell>
          <cell r="B417" t="str">
            <v>秦智力</v>
          </cell>
          <cell r="C417" t="str">
            <v>铆焊车间</v>
          </cell>
        </row>
        <row r="418">
          <cell r="A418" t="str">
            <v>0421</v>
          </cell>
          <cell r="B418" t="str">
            <v>郭遵行</v>
          </cell>
          <cell r="C418" t="str">
            <v>机加车间</v>
          </cell>
        </row>
        <row r="419">
          <cell r="A419" t="str">
            <v>0422</v>
          </cell>
          <cell r="B419" t="str">
            <v>张森华</v>
          </cell>
          <cell r="C419" t="str">
            <v>工艺规划部</v>
          </cell>
        </row>
        <row r="420">
          <cell r="A420" t="str">
            <v>0423</v>
          </cell>
          <cell r="B420" t="str">
            <v>周冠东</v>
          </cell>
          <cell r="C420" t="str">
            <v>铆焊车间</v>
          </cell>
        </row>
        <row r="421">
          <cell r="A421" t="str">
            <v>0424</v>
          </cell>
          <cell r="B421" t="str">
            <v>柯家平</v>
          </cell>
          <cell r="C421" t="str">
            <v>铆焊车间</v>
          </cell>
        </row>
        <row r="422">
          <cell r="A422" t="str">
            <v>0425</v>
          </cell>
          <cell r="B422" t="str">
            <v>肖和平</v>
          </cell>
          <cell r="C422" t="str">
            <v>装配车间</v>
          </cell>
        </row>
        <row r="423">
          <cell r="A423" t="str">
            <v>0426</v>
          </cell>
          <cell r="B423" t="str">
            <v>张霞</v>
          </cell>
          <cell r="C423" t="str">
            <v>装配车间</v>
          </cell>
        </row>
        <row r="424">
          <cell r="A424" t="str">
            <v>0427</v>
          </cell>
          <cell r="B424" t="str">
            <v>张丰</v>
          </cell>
          <cell r="C424" t="str">
            <v>机加车间</v>
          </cell>
        </row>
        <row r="425">
          <cell r="A425" t="str">
            <v>0428</v>
          </cell>
          <cell r="B425" t="str">
            <v>王银华</v>
          </cell>
          <cell r="C425" t="str">
            <v>采购部</v>
          </cell>
        </row>
        <row r="426">
          <cell r="A426" t="str">
            <v>0429</v>
          </cell>
          <cell r="B426" t="str">
            <v>李光金</v>
          </cell>
          <cell r="C426" t="str">
            <v>装配车间</v>
          </cell>
        </row>
        <row r="427">
          <cell r="A427" t="str">
            <v>0430</v>
          </cell>
          <cell r="B427" t="str">
            <v>黄东旭重</v>
          </cell>
          <cell r="C427" t="str">
            <v>装配车间</v>
          </cell>
        </row>
        <row r="428">
          <cell r="A428" t="str">
            <v>0431</v>
          </cell>
          <cell r="B428" t="str">
            <v>姚红卫</v>
          </cell>
          <cell r="C428" t="str">
            <v>装配车间</v>
          </cell>
        </row>
        <row r="429">
          <cell r="A429" t="str">
            <v>0432</v>
          </cell>
          <cell r="B429" t="str">
            <v>项光辉</v>
          </cell>
          <cell r="C429" t="str">
            <v>装配车间</v>
          </cell>
        </row>
        <row r="430">
          <cell r="A430" t="str">
            <v>0433</v>
          </cell>
          <cell r="B430" t="str">
            <v>陈林国</v>
          </cell>
          <cell r="C430" t="str">
            <v>铆焊车间</v>
          </cell>
        </row>
        <row r="431">
          <cell r="A431" t="str">
            <v>0434</v>
          </cell>
          <cell r="B431" t="str">
            <v>金单单</v>
          </cell>
          <cell r="C431" t="str">
            <v>铆焊车间</v>
          </cell>
        </row>
        <row r="432">
          <cell r="A432" t="str">
            <v>0435</v>
          </cell>
          <cell r="B432" t="str">
            <v>章小飞</v>
          </cell>
          <cell r="C432" t="str">
            <v>铆焊车间</v>
          </cell>
        </row>
        <row r="433">
          <cell r="A433" t="str">
            <v>0436</v>
          </cell>
          <cell r="B433" t="str">
            <v>章小民</v>
          </cell>
          <cell r="C433" t="str">
            <v>铆焊车间</v>
          </cell>
        </row>
        <row r="434">
          <cell r="A434" t="str">
            <v>0437</v>
          </cell>
          <cell r="B434" t="str">
            <v>何林蒙</v>
          </cell>
          <cell r="C434" t="str">
            <v>机加车间</v>
          </cell>
        </row>
        <row r="435">
          <cell r="A435" t="str">
            <v>0438</v>
          </cell>
          <cell r="B435" t="str">
            <v>余灵永</v>
          </cell>
          <cell r="C435" t="str">
            <v>工艺规划部</v>
          </cell>
        </row>
        <row r="436">
          <cell r="A436" t="str">
            <v>0439</v>
          </cell>
          <cell r="B436" t="str">
            <v>许哲强</v>
          </cell>
          <cell r="C436" t="str">
            <v>工艺规划部</v>
          </cell>
        </row>
        <row r="437">
          <cell r="A437" t="str">
            <v>0440</v>
          </cell>
          <cell r="B437" t="str">
            <v>高军</v>
          </cell>
          <cell r="C437" t="str">
            <v>铆焊车间</v>
          </cell>
        </row>
        <row r="438">
          <cell r="A438" t="str">
            <v>0441</v>
          </cell>
          <cell r="B438" t="str">
            <v>李先义</v>
          </cell>
          <cell r="C438" t="str">
            <v>机加车间</v>
          </cell>
        </row>
        <row r="439">
          <cell r="A439" t="str">
            <v>0442</v>
          </cell>
          <cell r="B439" t="str">
            <v>余佳盛</v>
          </cell>
          <cell r="C439" t="str">
            <v>工艺规划部</v>
          </cell>
        </row>
        <row r="440">
          <cell r="A440" t="str">
            <v>0443</v>
          </cell>
          <cell r="B440" t="str">
            <v>侯志辉</v>
          </cell>
          <cell r="C440" t="str">
            <v>装配车间</v>
          </cell>
        </row>
        <row r="441">
          <cell r="A441" t="str">
            <v>0444</v>
          </cell>
          <cell r="B441" t="str">
            <v>王永益</v>
          </cell>
          <cell r="C441" t="str">
            <v>机加车间</v>
          </cell>
        </row>
        <row r="442">
          <cell r="A442" t="str">
            <v>0446</v>
          </cell>
          <cell r="B442" t="str">
            <v>苏正书</v>
          </cell>
          <cell r="C442" t="str">
            <v>后勤管理部</v>
          </cell>
        </row>
        <row r="443">
          <cell r="A443" t="str">
            <v>0447</v>
          </cell>
          <cell r="B443" t="str">
            <v>宋爱芳</v>
          </cell>
          <cell r="C443" t="str">
            <v>测量室</v>
          </cell>
        </row>
        <row r="444">
          <cell r="A444" t="str">
            <v>0448</v>
          </cell>
          <cell r="B444" t="str">
            <v>孙学奎</v>
          </cell>
          <cell r="C444" t="str">
            <v>装配车间</v>
          </cell>
        </row>
        <row r="445">
          <cell r="A445" t="str">
            <v>0449</v>
          </cell>
          <cell r="B445" t="str">
            <v>孙贝贝</v>
          </cell>
          <cell r="C445" t="str">
            <v>装配车间</v>
          </cell>
        </row>
        <row r="446">
          <cell r="A446" t="str">
            <v>0450</v>
          </cell>
          <cell r="B446" t="str">
            <v>孙兵兵</v>
          </cell>
          <cell r="C446" t="str">
            <v>装配车间</v>
          </cell>
        </row>
        <row r="447">
          <cell r="A447" t="str">
            <v>0451</v>
          </cell>
          <cell r="B447" t="str">
            <v>安为民</v>
          </cell>
          <cell r="C447" t="str">
            <v>装配车间</v>
          </cell>
        </row>
        <row r="448">
          <cell r="A448" t="str">
            <v>0452</v>
          </cell>
          <cell r="B448" t="str">
            <v>徐海英</v>
          </cell>
          <cell r="C448" t="str">
            <v>资产财务部</v>
          </cell>
        </row>
        <row r="449">
          <cell r="A449" t="str">
            <v>0453</v>
          </cell>
          <cell r="B449" t="str">
            <v>田正轩</v>
          </cell>
          <cell r="C449" t="str">
            <v>机械设计部</v>
          </cell>
        </row>
        <row r="450">
          <cell r="A450" t="str">
            <v>0454</v>
          </cell>
          <cell r="B450" t="str">
            <v>李雄</v>
          </cell>
          <cell r="C450" t="str">
            <v>机加车间</v>
          </cell>
        </row>
        <row r="451">
          <cell r="A451" t="str">
            <v>0455</v>
          </cell>
          <cell r="B451" t="str">
            <v>温乃年</v>
          </cell>
          <cell r="C451" t="str">
            <v>工艺规划部</v>
          </cell>
        </row>
        <row r="452">
          <cell r="A452" t="str">
            <v>0456</v>
          </cell>
          <cell r="B452" t="str">
            <v>王梦波</v>
          </cell>
          <cell r="C452" t="str">
            <v>测量室</v>
          </cell>
        </row>
        <row r="453">
          <cell r="A453" t="str">
            <v>0457</v>
          </cell>
          <cell r="B453" t="str">
            <v>丁诗萍</v>
          </cell>
          <cell r="C453" t="str">
            <v>项目工程部</v>
          </cell>
        </row>
        <row r="454">
          <cell r="A454" t="str">
            <v>0458</v>
          </cell>
          <cell r="B454" t="str">
            <v>王金智</v>
          </cell>
          <cell r="C454" t="str">
            <v>机加车间</v>
          </cell>
        </row>
        <row r="455">
          <cell r="A455" t="str">
            <v>0459</v>
          </cell>
          <cell r="B455" t="str">
            <v>李先羲</v>
          </cell>
          <cell r="C455" t="str">
            <v>机加车间</v>
          </cell>
        </row>
        <row r="456">
          <cell r="A456" t="str">
            <v>0460</v>
          </cell>
          <cell r="B456" t="str">
            <v>何新平</v>
          </cell>
          <cell r="C456" t="str">
            <v>机加车间</v>
          </cell>
        </row>
        <row r="457">
          <cell r="A457" t="str">
            <v>0461</v>
          </cell>
          <cell r="B457" t="str">
            <v>刘衍志</v>
          </cell>
          <cell r="C457" t="str">
            <v>装配车间</v>
          </cell>
        </row>
        <row r="458">
          <cell r="A458" t="str">
            <v>0462</v>
          </cell>
          <cell r="B458" t="str">
            <v>杨珍龙</v>
          </cell>
          <cell r="C458" t="str">
            <v>工艺规划部</v>
          </cell>
        </row>
        <row r="459">
          <cell r="A459" t="str">
            <v>0463</v>
          </cell>
          <cell r="B459" t="str">
            <v>张印</v>
          </cell>
          <cell r="C459" t="str">
            <v>装配车间</v>
          </cell>
        </row>
        <row r="460">
          <cell r="A460" t="str">
            <v>0464</v>
          </cell>
          <cell r="B460" t="str">
            <v>何生</v>
          </cell>
          <cell r="C460" t="str">
            <v>机加车间</v>
          </cell>
        </row>
        <row r="461">
          <cell r="A461" t="str">
            <v>0465</v>
          </cell>
          <cell r="B461" t="str">
            <v>李栋良</v>
          </cell>
          <cell r="C461" t="str">
            <v>机加车间</v>
          </cell>
        </row>
        <row r="462">
          <cell r="A462" t="str">
            <v>0466</v>
          </cell>
          <cell r="B462" t="str">
            <v>郭芝中</v>
          </cell>
          <cell r="C462" t="str">
            <v>装配车间</v>
          </cell>
        </row>
        <row r="463">
          <cell r="A463" t="str">
            <v>0467</v>
          </cell>
          <cell r="B463" t="str">
            <v>吴超超</v>
          </cell>
          <cell r="C463" t="str">
            <v>机加车间</v>
          </cell>
        </row>
        <row r="464">
          <cell r="A464" t="str">
            <v>0468</v>
          </cell>
          <cell r="B464" t="str">
            <v>李利波</v>
          </cell>
          <cell r="C464" t="str">
            <v>装配车间</v>
          </cell>
        </row>
        <row r="465">
          <cell r="A465" t="str">
            <v>0469</v>
          </cell>
          <cell r="B465" t="str">
            <v>何芝平</v>
          </cell>
          <cell r="C465" t="str">
            <v>装配车间</v>
          </cell>
        </row>
        <row r="466">
          <cell r="A466" t="str">
            <v>0470</v>
          </cell>
          <cell r="B466" t="str">
            <v>杨志勇</v>
          </cell>
          <cell r="C466" t="str">
            <v>工艺规划部</v>
          </cell>
        </row>
        <row r="467">
          <cell r="A467" t="str">
            <v>0471</v>
          </cell>
          <cell r="B467" t="str">
            <v>时洪波</v>
          </cell>
          <cell r="C467" t="str">
            <v>机械设计部</v>
          </cell>
        </row>
        <row r="468">
          <cell r="A468" t="str">
            <v>0472</v>
          </cell>
          <cell r="B468" t="str">
            <v>乔中朋</v>
          </cell>
          <cell r="C468" t="str">
            <v>工艺规划部</v>
          </cell>
        </row>
        <row r="469">
          <cell r="A469" t="str">
            <v>0473</v>
          </cell>
          <cell r="B469" t="str">
            <v>田俊领</v>
          </cell>
          <cell r="C469" t="str">
            <v>装配车间</v>
          </cell>
        </row>
        <row r="470">
          <cell r="A470" t="str">
            <v>0474</v>
          </cell>
          <cell r="B470" t="str">
            <v>李漫辉</v>
          </cell>
          <cell r="C470" t="str">
            <v>工艺规划部</v>
          </cell>
        </row>
        <row r="471">
          <cell r="A471" t="str">
            <v>0475</v>
          </cell>
          <cell r="B471" t="str">
            <v>涂春</v>
          </cell>
          <cell r="C471" t="str">
            <v>油漆车间</v>
          </cell>
        </row>
        <row r="472">
          <cell r="A472" t="str">
            <v>0476</v>
          </cell>
          <cell r="B472" t="str">
            <v>张昊</v>
          </cell>
          <cell r="C472" t="str">
            <v>装配车间</v>
          </cell>
        </row>
        <row r="473">
          <cell r="A473" t="str">
            <v>0477</v>
          </cell>
          <cell r="B473" t="str">
            <v>吴明山</v>
          </cell>
          <cell r="C473" t="str">
            <v>工艺规划部</v>
          </cell>
        </row>
        <row r="474">
          <cell r="A474" t="str">
            <v>0478</v>
          </cell>
          <cell r="B474" t="str">
            <v>李富胜</v>
          </cell>
          <cell r="C474" t="str">
            <v>工艺规划部</v>
          </cell>
        </row>
        <row r="475">
          <cell r="A475" t="str">
            <v>0479</v>
          </cell>
          <cell r="B475" t="str">
            <v>张柳</v>
          </cell>
          <cell r="C475" t="str">
            <v>装配车间</v>
          </cell>
        </row>
        <row r="476">
          <cell r="A476" t="str">
            <v>0483</v>
          </cell>
          <cell r="B476" t="str">
            <v>张培民</v>
          </cell>
          <cell r="C476" t="str">
            <v>电气自动化部</v>
          </cell>
        </row>
        <row r="477">
          <cell r="A477" t="str">
            <v>0484</v>
          </cell>
          <cell r="B477" t="str">
            <v>姚凤</v>
          </cell>
          <cell r="C477" t="str">
            <v>采购部</v>
          </cell>
        </row>
        <row r="478">
          <cell r="A478" t="str">
            <v>0485</v>
          </cell>
          <cell r="B478" t="str">
            <v>闫俊生</v>
          </cell>
          <cell r="C478" t="str">
            <v>装配车间</v>
          </cell>
        </row>
        <row r="479">
          <cell r="A479" t="str">
            <v>0486</v>
          </cell>
          <cell r="B479" t="str">
            <v>游文博</v>
          </cell>
          <cell r="C479" t="str">
            <v>装配车间</v>
          </cell>
        </row>
        <row r="480">
          <cell r="A480" t="str">
            <v>0487</v>
          </cell>
          <cell r="B480" t="str">
            <v>李老三</v>
          </cell>
          <cell r="C480" t="str">
            <v>装配车间</v>
          </cell>
        </row>
        <row r="481">
          <cell r="A481" t="str">
            <v>0488</v>
          </cell>
          <cell r="B481" t="str">
            <v>佘中荣</v>
          </cell>
          <cell r="C481" t="str">
            <v>机加车间</v>
          </cell>
        </row>
        <row r="482">
          <cell r="A482" t="str">
            <v>0489</v>
          </cell>
          <cell r="B482" t="str">
            <v>曹佳佳</v>
          </cell>
          <cell r="C482" t="str">
            <v>机加车间</v>
          </cell>
        </row>
        <row r="483">
          <cell r="A483" t="str">
            <v>0490</v>
          </cell>
          <cell r="B483" t="str">
            <v>刘国云</v>
          </cell>
          <cell r="C483" t="str">
            <v>铆焊车间</v>
          </cell>
        </row>
        <row r="484">
          <cell r="A484" t="str">
            <v>0491</v>
          </cell>
          <cell r="B484" t="str">
            <v>韩红正</v>
          </cell>
          <cell r="C484" t="str">
            <v>项目工程部</v>
          </cell>
        </row>
        <row r="485">
          <cell r="A485" t="str">
            <v>0492</v>
          </cell>
          <cell r="B485" t="str">
            <v>王贺炳</v>
          </cell>
          <cell r="C485" t="str">
            <v>项目工程部</v>
          </cell>
        </row>
        <row r="486">
          <cell r="A486" t="str">
            <v>0493</v>
          </cell>
          <cell r="B486" t="str">
            <v>贾双鹏</v>
          </cell>
          <cell r="C486" t="str">
            <v>工艺规划部</v>
          </cell>
        </row>
        <row r="487">
          <cell r="A487" t="str">
            <v>0494</v>
          </cell>
          <cell r="B487" t="str">
            <v>刘强</v>
          </cell>
          <cell r="C487" t="str">
            <v>电气自动化部</v>
          </cell>
        </row>
        <row r="488">
          <cell r="A488" t="str">
            <v>0495</v>
          </cell>
          <cell r="B488" t="str">
            <v>蔡生勤</v>
          </cell>
          <cell r="C488" t="str">
            <v>6S管理部</v>
          </cell>
        </row>
        <row r="489">
          <cell r="A489" t="str">
            <v>0496</v>
          </cell>
          <cell r="B489" t="str">
            <v>李洋</v>
          </cell>
          <cell r="C489" t="str">
            <v>工艺规划部</v>
          </cell>
        </row>
        <row r="490">
          <cell r="A490" t="str">
            <v>0497</v>
          </cell>
          <cell r="B490" t="str">
            <v>孙振明</v>
          </cell>
          <cell r="C490" t="str">
            <v>机械设计部</v>
          </cell>
        </row>
        <row r="491">
          <cell r="A491" t="str">
            <v>0498</v>
          </cell>
          <cell r="B491" t="str">
            <v>王志刚</v>
          </cell>
          <cell r="C491" t="str">
            <v>工艺规划部</v>
          </cell>
        </row>
        <row r="492">
          <cell r="A492" t="str">
            <v>0499</v>
          </cell>
          <cell r="B492" t="str">
            <v>徐成香</v>
          </cell>
          <cell r="C492" t="str">
            <v>装配车间</v>
          </cell>
        </row>
        <row r="493">
          <cell r="A493" t="str">
            <v>0500</v>
          </cell>
          <cell r="B493" t="str">
            <v>奚秋镇</v>
          </cell>
          <cell r="C493" t="str">
            <v>机械设计部</v>
          </cell>
        </row>
        <row r="494">
          <cell r="A494" t="str">
            <v>0501</v>
          </cell>
          <cell r="B494" t="str">
            <v>罗林</v>
          </cell>
          <cell r="C494" t="str">
            <v>机械设计部</v>
          </cell>
        </row>
        <row r="495">
          <cell r="A495" t="str">
            <v>0502</v>
          </cell>
          <cell r="B495" t="str">
            <v>吴鹏</v>
          </cell>
          <cell r="C495" t="str">
            <v>工艺规划部</v>
          </cell>
        </row>
        <row r="496">
          <cell r="A496" t="str">
            <v>0503</v>
          </cell>
          <cell r="B496" t="str">
            <v>崔帅军</v>
          </cell>
          <cell r="C496" t="str">
            <v>装配车间</v>
          </cell>
        </row>
        <row r="497">
          <cell r="A497" t="str">
            <v>0504</v>
          </cell>
          <cell r="B497" t="str">
            <v>陈巧荣</v>
          </cell>
          <cell r="C497" t="str">
            <v>机械设计部</v>
          </cell>
        </row>
        <row r="498">
          <cell r="A498" t="str">
            <v>0505</v>
          </cell>
          <cell r="B498" t="str">
            <v>刘红俊</v>
          </cell>
          <cell r="C498" t="str">
            <v>机械设计部</v>
          </cell>
        </row>
        <row r="499">
          <cell r="A499" t="str">
            <v>0506</v>
          </cell>
          <cell r="B499" t="str">
            <v>刘昌帆</v>
          </cell>
          <cell r="C499" t="str">
            <v>机械设计部</v>
          </cell>
        </row>
        <row r="500">
          <cell r="A500" t="str">
            <v>0507</v>
          </cell>
          <cell r="B500" t="str">
            <v>朱友民</v>
          </cell>
          <cell r="C500" t="str">
            <v>铆焊车间</v>
          </cell>
        </row>
        <row r="501">
          <cell r="A501" t="str">
            <v>0508</v>
          </cell>
          <cell r="B501" t="str">
            <v>彭潇旭</v>
          </cell>
          <cell r="C501" t="str">
            <v>采购部</v>
          </cell>
        </row>
        <row r="502">
          <cell r="A502" t="str">
            <v>0509</v>
          </cell>
          <cell r="B502" t="str">
            <v>宋华美</v>
          </cell>
          <cell r="C502" t="str">
            <v>采购部</v>
          </cell>
        </row>
        <row r="503">
          <cell r="A503" t="str">
            <v>0510</v>
          </cell>
          <cell r="B503" t="str">
            <v>李宁宁</v>
          </cell>
          <cell r="C503" t="str">
            <v>装配车间</v>
          </cell>
        </row>
        <row r="504">
          <cell r="A504" t="str">
            <v>0511</v>
          </cell>
          <cell r="B504" t="str">
            <v>叶冬冬</v>
          </cell>
          <cell r="C504" t="str">
            <v>装配车间</v>
          </cell>
        </row>
        <row r="505">
          <cell r="A505" t="str">
            <v>0512</v>
          </cell>
          <cell r="B505" t="str">
            <v>褚玲玲</v>
          </cell>
          <cell r="C505" t="str">
            <v>仓库</v>
          </cell>
        </row>
        <row r="506">
          <cell r="A506" t="str">
            <v>0513</v>
          </cell>
          <cell r="B506" t="str">
            <v>胡志华</v>
          </cell>
          <cell r="C506" t="str">
            <v>仓库</v>
          </cell>
        </row>
        <row r="507">
          <cell r="A507" t="str">
            <v>0514</v>
          </cell>
          <cell r="B507" t="str">
            <v>张磊</v>
          </cell>
          <cell r="C507" t="str">
            <v>装配车间</v>
          </cell>
        </row>
        <row r="508">
          <cell r="A508" t="str">
            <v>0515</v>
          </cell>
          <cell r="B508" t="str">
            <v>姚丽莹</v>
          </cell>
          <cell r="C508" t="str">
            <v>采购部</v>
          </cell>
        </row>
        <row r="509">
          <cell r="A509" t="str">
            <v>0516</v>
          </cell>
          <cell r="B509" t="str">
            <v>冉茂全</v>
          </cell>
          <cell r="C509" t="str">
            <v>铆焊车间</v>
          </cell>
        </row>
        <row r="510">
          <cell r="A510" t="str">
            <v>0517</v>
          </cell>
          <cell r="B510" t="str">
            <v>樊华兴</v>
          </cell>
          <cell r="C510" t="str">
            <v>铆焊车间</v>
          </cell>
        </row>
        <row r="511">
          <cell r="A511" t="str">
            <v>0518</v>
          </cell>
          <cell r="B511" t="str">
            <v>刘航</v>
          </cell>
          <cell r="C511" t="str">
            <v>电气自动化部</v>
          </cell>
        </row>
        <row r="512">
          <cell r="A512" t="str">
            <v>0519</v>
          </cell>
          <cell r="B512" t="str">
            <v>陶振</v>
          </cell>
          <cell r="C512" t="str">
            <v>仓库</v>
          </cell>
        </row>
        <row r="513">
          <cell r="A513" t="str">
            <v>0520</v>
          </cell>
          <cell r="B513" t="str">
            <v>田艳飞</v>
          </cell>
          <cell r="C513" t="str">
            <v>装配车间</v>
          </cell>
        </row>
        <row r="514">
          <cell r="A514" t="str">
            <v>0521</v>
          </cell>
          <cell r="B514" t="str">
            <v>李中伟</v>
          </cell>
          <cell r="C514" t="str">
            <v>采购部</v>
          </cell>
        </row>
        <row r="515">
          <cell r="A515" t="str">
            <v>0522</v>
          </cell>
          <cell r="B515" t="str">
            <v>顾林林</v>
          </cell>
          <cell r="C515" t="str">
            <v>公司办公室</v>
          </cell>
        </row>
        <row r="516">
          <cell r="A516" t="str">
            <v>0523</v>
          </cell>
          <cell r="B516" t="str">
            <v>李燕菲</v>
          </cell>
          <cell r="C516" t="str">
            <v>工艺规划部</v>
          </cell>
        </row>
        <row r="517">
          <cell r="A517" t="str">
            <v>0524</v>
          </cell>
          <cell r="B517" t="str">
            <v>张语晴</v>
          </cell>
          <cell r="C517" t="str">
            <v>工艺规划部</v>
          </cell>
        </row>
        <row r="518">
          <cell r="A518" t="str">
            <v>0525</v>
          </cell>
          <cell r="B518" t="str">
            <v>顾晨</v>
          </cell>
          <cell r="C518" t="str">
            <v>机械设计部</v>
          </cell>
        </row>
        <row r="519">
          <cell r="A519" t="str">
            <v>0526</v>
          </cell>
          <cell r="B519" t="str">
            <v>周季</v>
          </cell>
          <cell r="C519" t="str">
            <v>项目工程部</v>
          </cell>
        </row>
        <row r="520">
          <cell r="A520" t="str">
            <v>0527</v>
          </cell>
          <cell r="B520" t="str">
            <v>张林</v>
          </cell>
          <cell r="C520" t="str">
            <v>铆焊车间</v>
          </cell>
        </row>
        <row r="521">
          <cell r="A521" t="str">
            <v>0528</v>
          </cell>
          <cell r="B521" t="str">
            <v>赵逢</v>
          </cell>
          <cell r="C521" t="str">
            <v>装配车间</v>
          </cell>
        </row>
        <row r="522">
          <cell r="A522" t="str">
            <v>0529</v>
          </cell>
          <cell r="B522" t="str">
            <v>熊雷</v>
          </cell>
          <cell r="C522" t="str">
            <v>装配车间</v>
          </cell>
        </row>
        <row r="523">
          <cell r="A523" t="str">
            <v>0530</v>
          </cell>
          <cell r="B523" t="str">
            <v>尹文强</v>
          </cell>
          <cell r="C523" t="str">
            <v>机加车间</v>
          </cell>
        </row>
        <row r="524">
          <cell r="A524" t="str">
            <v>0531</v>
          </cell>
          <cell r="B524" t="str">
            <v>顾峰</v>
          </cell>
          <cell r="C524" t="str">
            <v>项目工程部</v>
          </cell>
        </row>
        <row r="525">
          <cell r="A525" t="str">
            <v>0532</v>
          </cell>
          <cell r="B525" t="str">
            <v>魏萌</v>
          </cell>
          <cell r="C525" t="str">
            <v>机加车间</v>
          </cell>
        </row>
        <row r="526">
          <cell r="A526" t="str">
            <v>0533</v>
          </cell>
          <cell r="B526" t="str">
            <v>宋阳</v>
          </cell>
          <cell r="C526" t="str">
            <v>机加车间</v>
          </cell>
        </row>
        <row r="527">
          <cell r="A527" t="str">
            <v>0534</v>
          </cell>
          <cell r="B527" t="str">
            <v>戴新亮</v>
          </cell>
          <cell r="C527" t="str">
            <v>装配车间</v>
          </cell>
        </row>
        <row r="528">
          <cell r="A528" t="str">
            <v>0535</v>
          </cell>
          <cell r="B528" t="str">
            <v>吴成龙</v>
          </cell>
          <cell r="C528" t="str">
            <v>工艺规划部</v>
          </cell>
        </row>
        <row r="529">
          <cell r="A529" t="str">
            <v>0536</v>
          </cell>
          <cell r="B529" t="str">
            <v>吴华兵</v>
          </cell>
          <cell r="C529" t="str">
            <v>机械设计部</v>
          </cell>
        </row>
        <row r="530">
          <cell r="A530" t="str">
            <v>0537</v>
          </cell>
          <cell r="B530" t="str">
            <v>于常龙</v>
          </cell>
          <cell r="C530" t="str">
            <v>机械设计部</v>
          </cell>
        </row>
        <row r="531">
          <cell r="A531" t="str">
            <v>0538</v>
          </cell>
          <cell r="B531" t="str">
            <v>倪振</v>
          </cell>
          <cell r="C531" t="str">
            <v>机械设计部</v>
          </cell>
        </row>
        <row r="532">
          <cell r="A532" t="str">
            <v>0539</v>
          </cell>
          <cell r="B532" t="str">
            <v>郭智慧</v>
          </cell>
          <cell r="C532" t="str">
            <v>机械设计部</v>
          </cell>
        </row>
        <row r="533">
          <cell r="A533" t="str">
            <v>0540</v>
          </cell>
          <cell r="B533" t="str">
            <v>曹龙飞</v>
          </cell>
          <cell r="C533" t="str">
            <v>机械设计部</v>
          </cell>
        </row>
        <row r="534">
          <cell r="A534" t="str">
            <v>0541</v>
          </cell>
          <cell r="B534" t="str">
            <v>涂魁</v>
          </cell>
          <cell r="C534" t="str">
            <v>装配车间</v>
          </cell>
        </row>
        <row r="535">
          <cell r="A535" t="str">
            <v>0542</v>
          </cell>
          <cell r="B535" t="str">
            <v>黄武平</v>
          </cell>
          <cell r="C535" t="str">
            <v>机加车间</v>
          </cell>
        </row>
        <row r="536">
          <cell r="A536" t="str">
            <v>0543</v>
          </cell>
          <cell r="B536" t="str">
            <v>孔德宇</v>
          </cell>
          <cell r="C536" t="str">
            <v>装配车间</v>
          </cell>
        </row>
        <row r="537">
          <cell r="A537" t="str">
            <v>0544</v>
          </cell>
          <cell r="B537" t="str">
            <v>王斌</v>
          </cell>
          <cell r="C537" t="str">
            <v>机械设计部</v>
          </cell>
        </row>
        <row r="538">
          <cell r="A538" t="str">
            <v>0545</v>
          </cell>
          <cell r="B538" t="str">
            <v>王洁伟</v>
          </cell>
          <cell r="C538" t="str">
            <v>项目工程部</v>
          </cell>
        </row>
        <row r="539">
          <cell r="A539" t="str">
            <v>0546</v>
          </cell>
          <cell r="B539" t="str">
            <v>黄凯晨</v>
          </cell>
          <cell r="C539" t="str">
            <v>项目工程部</v>
          </cell>
        </row>
        <row r="540">
          <cell r="A540" t="str">
            <v>0547</v>
          </cell>
          <cell r="B540" t="str">
            <v>朱平</v>
          </cell>
          <cell r="C540" t="str">
            <v>工艺规划部</v>
          </cell>
        </row>
        <row r="541">
          <cell r="A541" t="str">
            <v>0548</v>
          </cell>
          <cell r="B541" t="str">
            <v>韩帆</v>
          </cell>
          <cell r="C541" t="str">
            <v>机械设计部</v>
          </cell>
        </row>
        <row r="542">
          <cell r="A542" t="str">
            <v>0549</v>
          </cell>
          <cell r="B542" t="str">
            <v>刘志鹏</v>
          </cell>
          <cell r="C542" t="str">
            <v>工艺规划部</v>
          </cell>
        </row>
        <row r="543">
          <cell r="A543" t="str">
            <v>0550</v>
          </cell>
          <cell r="B543" t="str">
            <v>王洪武</v>
          </cell>
          <cell r="C543" t="str">
            <v>项目工程部</v>
          </cell>
        </row>
        <row r="544">
          <cell r="A544" t="str">
            <v>0551</v>
          </cell>
          <cell r="B544" t="str">
            <v>封静轩</v>
          </cell>
          <cell r="C544" t="str">
            <v>机械设计部</v>
          </cell>
        </row>
        <row r="545">
          <cell r="A545" t="str">
            <v>0552</v>
          </cell>
          <cell r="B545" t="str">
            <v>陈建荣</v>
          </cell>
          <cell r="C545" t="str">
            <v>装配车间</v>
          </cell>
        </row>
        <row r="546">
          <cell r="A546" t="str">
            <v>0553</v>
          </cell>
          <cell r="B546" t="str">
            <v>曹进</v>
          </cell>
          <cell r="C546" t="str">
            <v>项目工程部</v>
          </cell>
        </row>
        <row r="547">
          <cell r="A547" t="str">
            <v>0554</v>
          </cell>
          <cell r="B547" t="str">
            <v>余雅丽</v>
          </cell>
          <cell r="C547" t="str">
            <v>工艺规划部</v>
          </cell>
        </row>
        <row r="548">
          <cell r="A548" t="str">
            <v>0555</v>
          </cell>
          <cell r="B548" t="str">
            <v>李明贵</v>
          </cell>
          <cell r="C548" t="str">
            <v>机加车间</v>
          </cell>
        </row>
        <row r="549">
          <cell r="A549" t="str">
            <v>0556</v>
          </cell>
          <cell r="B549" t="str">
            <v>冉星运</v>
          </cell>
          <cell r="C549" t="str">
            <v>机加车间</v>
          </cell>
        </row>
        <row r="550">
          <cell r="A550" t="str">
            <v>0557</v>
          </cell>
          <cell r="B550" t="str">
            <v>许兴</v>
          </cell>
          <cell r="C550" t="str">
            <v>装配车间</v>
          </cell>
        </row>
        <row r="551">
          <cell r="A551" t="str">
            <v>0558</v>
          </cell>
          <cell r="B551" t="str">
            <v>郭峰</v>
          </cell>
          <cell r="C551" t="str">
            <v>装配车间</v>
          </cell>
        </row>
        <row r="552">
          <cell r="A552" t="str">
            <v>0559</v>
          </cell>
          <cell r="B552" t="str">
            <v>勾湃</v>
          </cell>
          <cell r="C552" t="str">
            <v>装配车间</v>
          </cell>
        </row>
        <row r="553">
          <cell r="A553" t="str">
            <v>0560</v>
          </cell>
          <cell r="B553" t="str">
            <v>何磊</v>
          </cell>
          <cell r="C553" t="str">
            <v>机加车间</v>
          </cell>
        </row>
        <row r="554">
          <cell r="A554" t="str">
            <v>0561</v>
          </cell>
          <cell r="B554" t="str">
            <v>陈科</v>
          </cell>
          <cell r="C554" t="str">
            <v>项目工程部</v>
          </cell>
        </row>
        <row r="555">
          <cell r="A555" t="str">
            <v>0562</v>
          </cell>
          <cell r="B555" t="str">
            <v>邓桂红</v>
          </cell>
          <cell r="C555" t="str">
            <v>机械设计部</v>
          </cell>
        </row>
        <row r="556">
          <cell r="A556" t="str">
            <v>0563</v>
          </cell>
          <cell r="B556" t="str">
            <v>郭化民</v>
          </cell>
          <cell r="C556" t="str">
            <v>机加车间</v>
          </cell>
        </row>
        <row r="557">
          <cell r="A557" t="str">
            <v>0564</v>
          </cell>
          <cell r="B557" t="str">
            <v>张亚军</v>
          </cell>
          <cell r="C557" t="str">
            <v>机加车间</v>
          </cell>
        </row>
        <row r="558">
          <cell r="A558" t="str">
            <v>0565</v>
          </cell>
          <cell r="B558" t="str">
            <v>冯康清</v>
          </cell>
          <cell r="C558" t="str">
            <v>项目工程部</v>
          </cell>
        </row>
        <row r="559">
          <cell r="A559" t="str">
            <v>0566</v>
          </cell>
          <cell r="B559" t="str">
            <v>刘高洋</v>
          </cell>
          <cell r="C559" t="str">
            <v>项目工程部</v>
          </cell>
        </row>
        <row r="560">
          <cell r="A560" t="str">
            <v>0567</v>
          </cell>
          <cell r="B560" t="str">
            <v>王修稳</v>
          </cell>
          <cell r="C560" t="str">
            <v>项目工程部</v>
          </cell>
        </row>
        <row r="561">
          <cell r="A561" t="str">
            <v>0568</v>
          </cell>
          <cell r="B561" t="str">
            <v>杜大刚</v>
          </cell>
          <cell r="C561" t="str">
            <v>工艺规划部</v>
          </cell>
        </row>
        <row r="562">
          <cell r="A562" t="str">
            <v>0569</v>
          </cell>
          <cell r="B562" t="str">
            <v>彭小恩</v>
          </cell>
          <cell r="C562" t="str">
            <v>工艺规划部</v>
          </cell>
        </row>
        <row r="563">
          <cell r="A563" t="str">
            <v>0570</v>
          </cell>
          <cell r="B563" t="str">
            <v>龚攀攀</v>
          </cell>
          <cell r="C563" t="str">
            <v>工艺规划部</v>
          </cell>
        </row>
        <row r="564">
          <cell r="A564" t="str">
            <v>0571</v>
          </cell>
          <cell r="B564" t="str">
            <v>黄腾</v>
          </cell>
          <cell r="C564" t="str">
            <v>项目工程部</v>
          </cell>
        </row>
        <row r="565">
          <cell r="A565" t="str">
            <v>0572</v>
          </cell>
          <cell r="B565" t="str">
            <v>邹双</v>
          </cell>
          <cell r="C565" t="str">
            <v>6S管理部</v>
          </cell>
        </row>
        <row r="566">
          <cell r="A566" t="str">
            <v>0573</v>
          </cell>
          <cell r="B566" t="str">
            <v>瞿金明</v>
          </cell>
          <cell r="C566" t="str">
            <v>机械设计部</v>
          </cell>
        </row>
        <row r="567">
          <cell r="A567" t="str">
            <v>0574</v>
          </cell>
          <cell r="B567" t="str">
            <v>马艳梅</v>
          </cell>
          <cell r="C567" t="str">
            <v>人力资源部</v>
          </cell>
        </row>
        <row r="568">
          <cell r="A568" t="str">
            <v>0575</v>
          </cell>
          <cell r="B568" t="str">
            <v>范利献</v>
          </cell>
          <cell r="C568" t="str">
            <v>机加车间</v>
          </cell>
        </row>
        <row r="569">
          <cell r="A569" t="str">
            <v>0576</v>
          </cell>
          <cell r="B569" t="str">
            <v>冯晨晨</v>
          </cell>
          <cell r="C569" t="str">
            <v>装配车间</v>
          </cell>
        </row>
        <row r="570">
          <cell r="A570" t="str">
            <v>0577</v>
          </cell>
          <cell r="B570" t="str">
            <v>高杰</v>
          </cell>
          <cell r="C570" t="str">
            <v>装配车间</v>
          </cell>
        </row>
        <row r="571">
          <cell r="A571" t="str">
            <v>0578</v>
          </cell>
          <cell r="B571" t="str">
            <v>张懿然</v>
          </cell>
          <cell r="C571" t="str">
            <v>机械设计部</v>
          </cell>
        </row>
        <row r="572">
          <cell r="A572" t="str">
            <v>0579</v>
          </cell>
          <cell r="B572" t="str">
            <v>王永成</v>
          </cell>
          <cell r="C572" t="str">
            <v>电气自动化部</v>
          </cell>
        </row>
        <row r="573">
          <cell r="A573" t="str">
            <v>0580</v>
          </cell>
          <cell r="B573" t="str">
            <v>李华霖</v>
          </cell>
          <cell r="C573" t="str">
            <v>项目工程部</v>
          </cell>
        </row>
        <row r="574">
          <cell r="A574" t="str">
            <v>0581</v>
          </cell>
          <cell r="B574" t="str">
            <v>方清</v>
          </cell>
          <cell r="C574" t="str">
            <v>项目工程部</v>
          </cell>
        </row>
        <row r="575">
          <cell r="A575" t="str">
            <v>0582</v>
          </cell>
          <cell r="B575" t="str">
            <v>李方超</v>
          </cell>
          <cell r="C575" t="str">
            <v>工艺规划部</v>
          </cell>
        </row>
        <row r="576">
          <cell r="A576" t="str">
            <v>0583</v>
          </cell>
          <cell r="B576" t="str">
            <v>商宠</v>
          </cell>
          <cell r="C576" t="str">
            <v>装配车间</v>
          </cell>
        </row>
        <row r="577">
          <cell r="A577" t="str">
            <v>0584</v>
          </cell>
          <cell r="B577" t="str">
            <v>赵军</v>
          </cell>
          <cell r="C577" t="str">
            <v>项目工程部</v>
          </cell>
        </row>
        <row r="578">
          <cell r="A578" t="str">
            <v>0585</v>
          </cell>
          <cell r="B578" t="str">
            <v>杨飞</v>
          </cell>
          <cell r="C578" t="str">
            <v>电气自动化部</v>
          </cell>
        </row>
        <row r="579">
          <cell r="A579" t="str">
            <v>0586</v>
          </cell>
          <cell r="B579" t="str">
            <v>刘芝全</v>
          </cell>
          <cell r="C579" t="str">
            <v>电气自动化部</v>
          </cell>
        </row>
        <row r="580">
          <cell r="A580" t="str">
            <v>0587</v>
          </cell>
          <cell r="B580" t="str">
            <v>王强</v>
          </cell>
          <cell r="C580" t="str">
            <v>电气自动化部</v>
          </cell>
        </row>
        <row r="581">
          <cell r="A581" t="str">
            <v>0588</v>
          </cell>
          <cell r="B581" t="str">
            <v>高祥</v>
          </cell>
          <cell r="C581" t="str">
            <v>电气自动化部</v>
          </cell>
        </row>
        <row r="582">
          <cell r="A582" t="str">
            <v>0589</v>
          </cell>
          <cell r="B582" t="str">
            <v>卢伟</v>
          </cell>
          <cell r="C582" t="str">
            <v>电气自动化部</v>
          </cell>
        </row>
        <row r="583">
          <cell r="A583" t="str">
            <v>0590</v>
          </cell>
          <cell r="B583" t="str">
            <v>唐权</v>
          </cell>
          <cell r="C583" t="str">
            <v>机械设计部</v>
          </cell>
        </row>
        <row r="584">
          <cell r="A584" t="str">
            <v>0591</v>
          </cell>
          <cell r="B584" t="str">
            <v>王小宝</v>
          </cell>
          <cell r="C584" t="str">
            <v>电气自动化部</v>
          </cell>
        </row>
        <row r="585">
          <cell r="A585" t="str">
            <v>0592</v>
          </cell>
          <cell r="B585" t="str">
            <v>沈显庆</v>
          </cell>
          <cell r="C585" t="str">
            <v>电气自动化部</v>
          </cell>
        </row>
        <row r="586">
          <cell r="A586" t="str">
            <v>0593</v>
          </cell>
          <cell r="B586" t="str">
            <v>杨涵</v>
          </cell>
          <cell r="C586" t="str">
            <v>采购部</v>
          </cell>
        </row>
        <row r="587">
          <cell r="A587" t="str">
            <v>0594</v>
          </cell>
          <cell r="B587" t="str">
            <v>侣沙平</v>
          </cell>
          <cell r="C587" t="str">
            <v>电气自动化部</v>
          </cell>
        </row>
        <row r="588">
          <cell r="A588" t="str">
            <v>0595</v>
          </cell>
          <cell r="B588" t="str">
            <v>杜华奇</v>
          </cell>
          <cell r="C588" t="str">
            <v>铆焊车间</v>
          </cell>
        </row>
        <row r="589">
          <cell r="A589" t="str">
            <v>0596</v>
          </cell>
          <cell r="B589" t="str">
            <v>刘艳</v>
          </cell>
          <cell r="C589" t="str">
            <v>测量室</v>
          </cell>
        </row>
        <row r="590">
          <cell r="A590" t="str">
            <v>0597</v>
          </cell>
          <cell r="B590" t="str">
            <v>夏少芸</v>
          </cell>
          <cell r="C590" t="str">
            <v>IT部</v>
          </cell>
        </row>
        <row r="591">
          <cell r="A591" t="str">
            <v>0598</v>
          </cell>
          <cell r="B591" t="str">
            <v>程小斌</v>
          </cell>
          <cell r="C591" t="str">
            <v>电气自动化部</v>
          </cell>
        </row>
        <row r="592">
          <cell r="A592" t="str">
            <v>0599</v>
          </cell>
          <cell r="B592" t="str">
            <v>王建锋</v>
          </cell>
          <cell r="C592" t="str">
            <v>项目工程部</v>
          </cell>
        </row>
        <row r="593">
          <cell r="A593" t="str">
            <v>0600</v>
          </cell>
          <cell r="B593" t="str">
            <v>赵朋飞</v>
          </cell>
          <cell r="C593" t="str">
            <v>装配车间</v>
          </cell>
        </row>
        <row r="594">
          <cell r="A594" t="str">
            <v>0601</v>
          </cell>
          <cell r="B594" t="str">
            <v>徐晓琳</v>
          </cell>
          <cell r="C594" t="str">
            <v>项目工程部</v>
          </cell>
        </row>
        <row r="595">
          <cell r="A595" t="str">
            <v>0602</v>
          </cell>
          <cell r="B595" t="str">
            <v>王顶</v>
          </cell>
          <cell r="C595" t="str">
            <v>项目工程部</v>
          </cell>
        </row>
        <row r="596">
          <cell r="A596" t="str">
            <v>0603</v>
          </cell>
          <cell r="B596" t="str">
            <v>李雷</v>
          </cell>
          <cell r="C596" t="str">
            <v>电气自动化部</v>
          </cell>
        </row>
        <row r="597">
          <cell r="A597" t="str">
            <v>0604</v>
          </cell>
          <cell r="B597" t="str">
            <v>陈献光</v>
          </cell>
          <cell r="C597" t="str">
            <v>电气自动化部</v>
          </cell>
        </row>
        <row r="598">
          <cell r="A598" t="str">
            <v>0605</v>
          </cell>
          <cell r="B598" t="str">
            <v>李映鸿</v>
          </cell>
          <cell r="C598" t="str">
            <v>电气自动化部</v>
          </cell>
        </row>
        <row r="599">
          <cell r="A599" t="str">
            <v>0606</v>
          </cell>
          <cell r="B599" t="str">
            <v>陈昊佑</v>
          </cell>
          <cell r="C599" t="str">
            <v>电气自动化部</v>
          </cell>
        </row>
        <row r="600">
          <cell r="A600" t="str">
            <v>0607</v>
          </cell>
          <cell r="B600" t="str">
            <v>李少宾</v>
          </cell>
          <cell r="C600" t="str">
            <v>装配车间</v>
          </cell>
        </row>
        <row r="601">
          <cell r="A601" t="str">
            <v>0608</v>
          </cell>
          <cell r="B601" t="str">
            <v>谢明锋</v>
          </cell>
          <cell r="C601" t="str">
            <v>电气自动化部</v>
          </cell>
        </row>
        <row r="602">
          <cell r="A602" t="str">
            <v>0609</v>
          </cell>
          <cell r="B602" t="str">
            <v>周国军</v>
          </cell>
          <cell r="C602" t="str">
            <v>工艺规划部</v>
          </cell>
        </row>
        <row r="603">
          <cell r="A603" t="str">
            <v>0610</v>
          </cell>
          <cell r="B603" t="str">
            <v>勾吉</v>
          </cell>
          <cell r="C603" t="str">
            <v>装配车间</v>
          </cell>
        </row>
        <row r="604">
          <cell r="A604" t="str">
            <v>0611</v>
          </cell>
          <cell r="B604" t="str">
            <v>苏茂源</v>
          </cell>
          <cell r="C604" t="str">
            <v>铆焊车间</v>
          </cell>
        </row>
        <row r="605">
          <cell r="A605" t="str">
            <v>0612</v>
          </cell>
          <cell r="B605" t="str">
            <v>司庆海</v>
          </cell>
          <cell r="C605" t="str">
            <v>铆焊车间</v>
          </cell>
        </row>
        <row r="606">
          <cell r="A606" t="str">
            <v>0613</v>
          </cell>
          <cell r="B606" t="str">
            <v>苏杨</v>
          </cell>
          <cell r="C606" t="str">
            <v>铆焊车间</v>
          </cell>
        </row>
        <row r="607">
          <cell r="A607" t="str">
            <v>0614</v>
          </cell>
          <cell r="B607" t="str">
            <v>余建</v>
          </cell>
          <cell r="C607" t="str">
            <v>电气自动化部</v>
          </cell>
        </row>
        <row r="608">
          <cell r="A608" t="str">
            <v>0615</v>
          </cell>
          <cell r="B608" t="str">
            <v>王韶峰</v>
          </cell>
          <cell r="C608" t="str">
            <v>采购部</v>
          </cell>
        </row>
        <row r="609">
          <cell r="A609" t="str">
            <v>0616</v>
          </cell>
          <cell r="B609" t="str">
            <v>孙超</v>
          </cell>
          <cell r="C609" t="str">
            <v>电气自动化部</v>
          </cell>
        </row>
        <row r="610">
          <cell r="A610" t="str">
            <v>0617</v>
          </cell>
          <cell r="B610" t="str">
            <v>曾辉</v>
          </cell>
          <cell r="C610" t="str">
            <v>项目工程部</v>
          </cell>
        </row>
        <row r="611">
          <cell r="A611" t="str">
            <v>0618</v>
          </cell>
          <cell r="B611" t="str">
            <v>姜鑫</v>
          </cell>
          <cell r="C611" t="str">
            <v>机加车间</v>
          </cell>
        </row>
        <row r="612">
          <cell r="A612" t="str">
            <v>0619</v>
          </cell>
          <cell r="B612" t="str">
            <v>张宏健</v>
          </cell>
          <cell r="C612" t="str">
            <v>6S管理部</v>
          </cell>
        </row>
        <row r="613">
          <cell r="A613" t="str">
            <v>0620</v>
          </cell>
          <cell r="B613" t="str">
            <v>李丹</v>
          </cell>
          <cell r="C613" t="str">
            <v>项目工程部</v>
          </cell>
        </row>
        <row r="614">
          <cell r="A614" t="str">
            <v>0621</v>
          </cell>
          <cell r="B614" t="str">
            <v>唐剑飞</v>
          </cell>
          <cell r="C614" t="str">
            <v>制造质量部</v>
          </cell>
        </row>
        <row r="615">
          <cell r="A615" t="str">
            <v>0622</v>
          </cell>
          <cell r="B615" t="str">
            <v>贾德志</v>
          </cell>
          <cell r="C615" t="str">
            <v>铆焊车间</v>
          </cell>
        </row>
        <row r="616">
          <cell r="A616" t="str">
            <v>0623</v>
          </cell>
          <cell r="B616" t="str">
            <v>王佳旭</v>
          </cell>
          <cell r="C616" t="str">
            <v>装配车间</v>
          </cell>
        </row>
        <row r="617">
          <cell r="A617" t="str">
            <v>0624</v>
          </cell>
          <cell r="B617" t="str">
            <v>孙鹤</v>
          </cell>
          <cell r="C617" t="str">
            <v>电气自动化部</v>
          </cell>
        </row>
        <row r="618">
          <cell r="A618" t="str">
            <v>0625</v>
          </cell>
          <cell r="B618" t="str">
            <v>李国华</v>
          </cell>
          <cell r="C618" t="str">
            <v>铆焊车间</v>
          </cell>
        </row>
        <row r="619">
          <cell r="A619" t="str">
            <v>0626</v>
          </cell>
          <cell r="B619" t="str">
            <v>何远阳</v>
          </cell>
          <cell r="C619" t="str">
            <v>装配车间</v>
          </cell>
        </row>
        <row r="620">
          <cell r="A620" t="str">
            <v>0627</v>
          </cell>
          <cell r="B620" t="str">
            <v>何远文</v>
          </cell>
          <cell r="C620" t="str">
            <v>装配车间</v>
          </cell>
        </row>
        <row r="621">
          <cell r="A621" t="str">
            <v>0628</v>
          </cell>
          <cell r="B621" t="str">
            <v>苏燕芳</v>
          </cell>
          <cell r="C621" t="str">
            <v>仓库</v>
          </cell>
        </row>
        <row r="622">
          <cell r="A622" t="str">
            <v>0629</v>
          </cell>
          <cell r="B622" t="str">
            <v>郭李平</v>
          </cell>
          <cell r="C622" t="str">
            <v>电气自动化部</v>
          </cell>
        </row>
        <row r="623">
          <cell r="A623" t="str">
            <v>0632</v>
          </cell>
          <cell r="B623" t="str">
            <v>戴鹏飞</v>
          </cell>
          <cell r="C623" t="str">
            <v>6S管理部</v>
          </cell>
        </row>
        <row r="624">
          <cell r="A624" t="str">
            <v>0633</v>
          </cell>
          <cell r="B624" t="str">
            <v>王婷婷</v>
          </cell>
          <cell r="C624" t="str">
            <v>电气自动化部</v>
          </cell>
        </row>
        <row r="625">
          <cell r="A625" t="str">
            <v>0634</v>
          </cell>
          <cell r="B625" t="str">
            <v>朱晓明</v>
          </cell>
          <cell r="C625" t="str">
            <v>生产保障部</v>
          </cell>
        </row>
        <row r="626">
          <cell r="A626" t="str">
            <v>0636</v>
          </cell>
          <cell r="B626" t="str">
            <v>金焰</v>
          </cell>
          <cell r="C626" t="str">
            <v>仓库</v>
          </cell>
        </row>
        <row r="627">
          <cell r="A627" t="str">
            <v>0637</v>
          </cell>
          <cell r="B627" t="str">
            <v>金爱华</v>
          </cell>
          <cell r="C627" t="str">
            <v>仓库</v>
          </cell>
        </row>
        <row r="628">
          <cell r="A628" t="str">
            <v>0638</v>
          </cell>
          <cell r="B628" t="str">
            <v>陈小克</v>
          </cell>
          <cell r="C628" t="str">
            <v>装配车间</v>
          </cell>
        </row>
        <row r="629">
          <cell r="A629" t="str">
            <v>0639</v>
          </cell>
          <cell r="B629" t="str">
            <v>耿文涛</v>
          </cell>
          <cell r="C629" t="str">
            <v>装配车间</v>
          </cell>
        </row>
        <row r="630">
          <cell r="A630" t="str">
            <v>0640</v>
          </cell>
          <cell r="B630" t="str">
            <v>江游</v>
          </cell>
          <cell r="C630" t="str">
            <v>工艺规划部</v>
          </cell>
        </row>
        <row r="631">
          <cell r="A631" t="str">
            <v>0641</v>
          </cell>
          <cell r="B631" t="str">
            <v>林佳威</v>
          </cell>
          <cell r="C631" t="str">
            <v>电气自动化部</v>
          </cell>
        </row>
        <row r="632">
          <cell r="A632" t="str">
            <v>0642</v>
          </cell>
          <cell r="B632" t="str">
            <v>刘伟</v>
          </cell>
          <cell r="C632" t="str">
            <v>装配车间</v>
          </cell>
        </row>
        <row r="633">
          <cell r="A633" t="str">
            <v>0643</v>
          </cell>
          <cell r="B633" t="str">
            <v>尚东亮</v>
          </cell>
          <cell r="C633" t="str">
            <v>装配车间</v>
          </cell>
        </row>
        <row r="634">
          <cell r="A634" t="str">
            <v>0644</v>
          </cell>
          <cell r="B634" t="str">
            <v>潘金刚</v>
          </cell>
          <cell r="C634" t="str">
            <v>装配车间</v>
          </cell>
        </row>
        <row r="635">
          <cell r="A635" t="str">
            <v>0645</v>
          </cell>
          <cell r="B635" t="str">
            <v>彭映彩</v>
          </cell>
          <cell r="C635" t="str">
            <v>测量室</v>
          </cell>
        </row>
        <row r="636">
          <cell r="A636" t="str">
            <v>0646</v>
          </cell>
          <cell r="B636" t="str">
            <v>耿桂升</v>
          </cell>
          <cell r="C636" t="str">
            <v>机加车间</v>
          </cell>
        </row>
        <row r="637">
          <cell r="A637" t="str">
            <v>0647</v>
          </cell>
          <cell r="B637" t="str">
            <v>孙红军</v>
          </cell>
          <cell r="C637" t="str">
            <v>机加车间</v>
          </cell>
        </row>
        <row r="638">
          <cell r="A638" t="str">
            <v>0648</v>
          </cell>
          <cell r="B638" t="str">
            <v>冯剑英</v>
          </cell>
          <cell r="C638" t="str">
            <v>后勤管理部</v>
          </cell>
        </row>
        <row r="639">
          <cell r="A639" t="str">
            <v>0649</v>
          </cell>
          <cell r="B639" t="str">
            <v>刘建芳</v>
          </cell>
          <cell r="C639" t="str">
            <v>后勤管理部</v>
          </cell>
        </row>
        <row r="640">
          <cell r="A640" t="str">
            <v>0650</v>
          </cell>
          <cell r="B640" t="str">
            <v>时健</v>
          </cell>
          <cell r="C640" t="str">
            <v>后勤管理部</v>
          </cell>
        </row>
        <row r="641">
          <cell r="A641" t="str">
            <v>0651</v>
          </cell>
          <cell r="B641" t="str">
            <v>陆建忠</v>
          </cell>
          <cell r="C641" t="str">
            <v>后勤管理部</v>
          </cell>
        </row>
        <row r="642">
          <cell r="A642" t="str">
            <v>0652</v>
          </cell>
          <cell r="B642" t="str">
            <v>沈巍</v>
          </cell>
          <cell r="C642" t="str">
            <v>后勤管理部</v>
          </cell>
        </row>
        <row r="643">
          <cell r="A643" t="str">
            <v>0653</v>
          </cell>
          <cell r="B643" t="str">
            <v>陈珍珠</v>
          </cell>
          <cell r="C643" t="str">
            <v>人力资源部</v>
          </cell>
        </row>
        <row r="644">
          <cell r="A644" t="str">
            <v>0654</v>
          </cell>
          <cell r="B644" t="str">
            <v>文燕</v>
          </cell>
          <cell r="C644" t="str">
            <v>工艺规划部</v>
          </cell>
        </row>
        <row r="645">
          <cell r="A645" t="str">
            <v>0655</v>
          </cell>
          <cell r="B645" t="str">
            <v>徐嘉元</v>
          </cell>
          <cell r="C645" t="str">
            <v>IT部</v>
          </cell>
        </row>
        <row r="646">
          <cell r="A646" t="str">
            <v>0656</v>
          </cell>
          <cell r="B646" t="str">
            <v>曹辉清</v>
          </cell>
          <cell r="C646" t="str">
            <v>工艺规划部</v>
          </cell>
        </row>
        <row r="647">
          <cell r="A647" t="str">
            <v>0657</v>
          </cell>
          <cell r="B647" t="str">
            <v>胡巍巍</v>
          </cell>
          <cell r="C647" t="str">
            <v>铆焊车间</v>
          </cell>
        </row>
        <row r="648">
          <cell r="A648" t="str">
            <v>0658</v>
          </cell>
          <cell r="B648" t="str">
            <v>詹士增</v>
          </cell>
          <cell r="C648" t="str">
            <v>铆焊车间</v>
          </cell>
        </row>
        <row r="649">
          <cell r="A649" t="str">
            <v>0659</v>
          </cell>
          <cell r="B649" t="str">
            <v>牛进文</v>
          </cell>
          <cell r="C649" t="str">
            <v>油漆车间</v>
          </cell>
        </row>
        <row r="650">
          <cell r="A650" t="str">
            <v>0660</v>
          </cell>
          <cell r="B650" t="str">
            <v>翟世强</v>
          </cell>
          <cell r="C650" t="str">
            <v>测量室</v>
          </cell>
        </row>
        <row r="651">
          <cell r="A651" t="str">
            <v>0661</v>
          </cell>
          <cell r="B651" t="str">
            <v>李一宸</v>
          </cell>
          <cell r="C651" t="str">
            <v>仓库</v>
          </cell>
        </row>
        <row r="652">
          <cell r="A652" t="str">
            <v>0662</v>
          </cell>
          <cell r="B652" t="str">
            <v>陆剑皓</v>
          </cell>
          <cell r="C652" t="str">
            <v>仓库</v>
          </cell>
        </row>
        <row r="653">
          <cell r="A653" t="str">
            <v>0663</v>
          </cell>
          <cell r="B653" t="str">
            <v>周艳华</v>
          </cell>
          <cell r="C653" t="str">
            <v>仓库</v>
          </cell>
        </row>
        <row r="654">
          <cell r="A654" t="str">
            <v>0664</v>
          </cell>
          <cell r="B654" t="str">
            <v>方港</v>
          </cell>
          <cell r="C654" t="str">
            <v>装配车间</v>
          </cell>
        </row>
        <row r="655">
          <cell r="A655" t="str">
            <v>0665</v>
          </cell>
          <cell r="B655" t="str">
            <v>刘路遥</v>
          </cell>
          <cell r="C655" t="str">
            <v>装配车间</v>
          </cell>
        </row>
        <row r="656">
          <cell r="A656" t="str">
            <v>0666</v>
          </cell>
          <cell r="B656" t="str">
            <v>位志波</v>
          </cell>
          <cell r="C656" t="str">
            <v>装配车间</v>
          </cell>
        </row>
        <row r="657">
          <cell r="A657" t="str">
            <v>0667</v>
          </cell>
          <cell r="B657" t="str">
            <v>张高举</v>
          </cell>
          <cell r="C657" t="str">
            <v>装配车间</v>
          </cell>
        </row>
        <row r="658">
          <cell r="A658" t="str">
            <v>0668</v>
          </cell>
          <cell r="B658" t="str">
            <v>蔡凤军</v>
          </cell>
          <cell r="C658" t="str">
            <v>装配车间</v>
          </cell>
        </row>
        <row r="659">
          <cell r="A659" t="str">
            <v>0669</v>
          </cell>
          <cell r="B659" t="str">
            <v>何小琼</v>
          </cell>
          <cell r="C659" t="str">
            <v>装配车间</v>
          </cell>
        </row>
        <row r="660">
          <cell r="A660" t="str">
            <v>0670</v>
          </cell>
          <cell r="B660" t="str">
            <v>贺毅飞</v>
          </cell>
          <cell r="C660" t="str">
            <v>装配车间</v>
          </cell>
        </row>
        <row r="661">
          <cell r="A661" t="str">
            <v>0671</v>
          </cell>
          <cell r="B661" t="str">
            <v>张琼华</v>
          </cell>
          <cell r="C661" t="str">
            <v>油漆车间</v>
          </cell>
        </row>
        <row r="662">
          <cell r="A662" t="str">
            <v>0672</v>
          </cell>
          <cell r="B662" t="str">
            <v>胡东升</v>
          </cell>
          <cell r="C662" t="str">
            <v>机加车间</v>
          </cell>
        </row>
        <row r="663">
          <cell r="A663" t="str">
            <v>0673</v>
          </cell>
          <cell r="B663" t="str">
            <v>杨静</v>
          </cell>
          <cell r="C663" t="str">
            <v>机加车间</v>
          </cell>
        </row>
        <row r="664">
          <cell r="A664" t="str">
            <v>0674</v>
          </cell>
          <cell r="B664" t="str">
            <v>陈治国</v>
          </cell>
          <cell r="C664" t="str">
            <v>机加车间</v>
          </cell>
        </row>
        <row r="665">
          <cell r="A665" t="str">
            <v>0675</v>
          </cell>
          <cell r="B665" t="str">
            <v>张红伟</v>
          </cell>
          <cell r="C665" t="str">
            <v>机加车间</v>
          </cell>
        </row>
        <row r="666">
          <cell r="A666" t="str">
            <v>0676</v>
          </cell>
          <cell r="B666" t="str">
            <v>何双霞</v>
          </cell>
          <cell r="C666" t="str">
            <v>机加车间</v>
          </cell>
        </row>
        <row r="667">
          <cell r="A667" t="str">
            <v>0677</v>
          </cell>
          <cell r="B667" t="str">
            <v>孙红霞</v>
          </cell>
          <cell r="C667" t="str">
            <v>机加车间</v>
          </cell>
        </row>
        <row r="668">
          <cell r="A668" t="str">
            <v>0678</v>
          </cell>
          <cell r="B668" t="str">
            <v>蔡国飞</v>
          </cell>
          <cell r="C668" t="str">
            <v>机加车间</v>
          </cell>
        </row>
        <row r="669">
          <cell r="A669" t="str">
            <v>0679</v>
          </cell>
          <cell r="B669" t="str">
            <v>段先凯</v>
          </cell>
          <cell r="C669" t="str">
            <v>机加车间</v>
          </cell>
        </row>
        <row r="670">
          <cell r="A670" t="str">
            <v>0680</v>
          </cell>
          <cell r="B670" t="str">
            <v>刘庆飞</v>
          </cell>
          <cell r="C670" t="str">
            <v>机加车间</v>
          </cell>
        </row>
        <row r="671">
          <cell r="A671" t="str">
            <v>0681</v>
          </cell>
          <cell r="B671" t="str">
            <v>张站松</v>
          </cell>
          <cell r="C671" t="str">
            <v>机加车间</v>
          </cell>
        </row>
        <row r="672">
          <cell r="A672" t="str">
            <v>0682</v>
          </cell>
          <cell r="B672" t="str">
            <v>杨利洋</v>
          </cell>
          <cell r="C672" t="str">
            <v>机加车间</v>
          </cell>
        </row>
        <row r="673">
          <cell r="A673" t="str">
            <v>0683</v>
          </cell>
          <cell r="B673" t="str">
            <v>朱志豪</v>
          </cell>
          <cell r="C673" t="str">
            <v>机加车间</v>
          </cell>
        </row>
        <row r="674">
          <cell r="A674" t="str">
            <v>0684</v>
          </cell>
          <cell r="B674" t="str">
            <v>王贵成</v>
          </cell>
          <cell r="C674" t="str">
            <v>机加车间</v>
          </cell>
        </row>
        <row r="675">
          <cell r="A675" t="str">
            <v>0685</v>
          </cell>
          <cell r="B675" t="str">
            <v>刘莲</v>
          </cell>
          <cell r="C675" t="str">
            <v>机加车间</v>
          </cell>
        </row>
        <row r="676">
          <cell r="A676" t="str">
            <v>0686</v>
          </cell>
          <cell r="B676" t="str">
            <v>雷勇</v>
          </cell>
          <cell r="C676" t="str">
            <v>铆焊车间</v>
          </cell>
        </row>
        <row r="677">
          <cell r="A677" t="str">
            <v>0687</v>
          </cell>
          <cell r="B677" t="str">
            <v>王冬冬</v>
          </cell>
          <cell r="C677" t="str">
            <v>铆焊车间</v>
          </cell>
        </row>
        <row r="678">
          <cell r="A678" t="str">
            <v>0688</v>
          </cell>
          <cell r="B678" t="str">
            <v>曹猛</v>
          </cell>
          <cell r="C678" t="str">
            <v>机加车间</v>
          </cell>
        </row>
        <row r="679">
          <cell r="A679" t="str">
            <v>0689</v>
          </cell>
          <cell r="B679" t="str">
            <v>付世冰</v>
          </cell>
          <cell r="C679" t="str">
            <v>机加车间</v>
          </cell>
        </row>
        <row r="680">
          <cell r="A680" t="str">
            <v>0690</v>
          </cell>
          <cell r="B680" t="str">
            <v>杨科</v>
          </cell>
          <cell r="C680" t="str">
            <v>机加车间</v>
          </cell>
        </row>
        <row r="681">
          <cell r="A681" t="str">
            <v>0691</v>
          </cell>
          <cell r="B681" t="str">
            <v>黄士章</v>
          </cell>
          <cell r="C681" t="str">
            <v>生产保障部</v>
          </cell>
        </row>
        <row r="682">
          <cell r="A682" t="str">
            <v>0692</v>
          </cell>
          <cell r="B682" t="str">
            <v>李顺</v>
          </cell>
          <cell r="C682" t="str">
            <v>机加车间</v>
          </cell>
        </row>
        <row r="683">
          <cell r="A683" t="str">
            <v>0693</v>
          </cell>
          <cell r="B683" t="str">
            <v>岳克精</v>
          </cell>
          <cell r="C683" t="str">
            <v>机加车间</v>
          </cell>
        </row>
        <row r="684">
          <cell r="A684" t="str">
            <v>0694</v>
          </cell>
          <cell r="B684" t="str">
            <v>于欢欢</v>
          </cell>
          <cell r="C684" t="str">
            <v>生产保障部</v>
          </cell>
        </row>
        <row r="685">
          <cell r="A685" t="str">
            <v>0695</v>
          </cell>
          <cell r="B685" t="str">
            <v>刘飞</v>
          </cell>
          <cell r="C685" t="str">
            <v>电气自动化部</v>
          </cell>
        </row>
        <row r="686">
          <cell r="A686" t="str">
            <v>0696</v>
          </cell>
          <cell r="B686" t="str">
            <v>沈明浩</v>
          </cell>
          <cell r="C686" t="str">
            <v>电气自动化部</v>
          </cell>
        </row>
        <row r="687">
          <cell r="A687" t="str">
            <v>0697</v>
          </cell>
          <cell r="B687" t="str">
            <v>潘燕</v>
          </cell>
          <cell r="C687" t="str">
            <v>资产财务部</v>
          </cell>
        </row>
        <row r="688">
          <cell r="A688" t="str">
            <v>0698</v>
          </cell>
          <cell r="B688" t="str">
            <v>杨爱琴</v>
          </cell>
          <cell r="C688" t="str">
            <v>后勤管理部</v>
          </cell>
        </row>
        <row r="689">
          <cell r="A689" t="str">
            <v>0699</v>
          </cell>
          <cell r="B689" t="str">
            <v>史松松</v>
          </cell>
          <cell r="C689" t="str">
            <v>机加车间</v>
          </cell>
        </row>
        <row r="690">
          <cell r="A690" t="str">
            <v>0700</v>
          </cell>
          <cell r="B690" t="str">
            <v>李刚</v>
          </cell>
          <cell r="C690" t="str">
            <v>铆焊车间</v>
          </cell>
        </row>
        <row r="691">
          <cell r="A691" t="str">
            <v>0701</v>
          </cell>
          <cell r="B691" t="str">
            <v>何发章</v>
          </cell>
          <cell r="C691" t="str">
            <v>6S管理部</v>
          </cell>
        </row>
        <row r="692">
          <cell r="A692" t="str">
            <v>0702</v>
          </cell>
          <cell r="B692" t="str">
            <v>韩明宇</v>
          </cell>
          <cell r="C692" t="str">
            <v>机加车间</v>
          </cell>
        </row>
        <row r="693">
          <cell r="A693" t="str">
            <v>0703</v>
          </cell>
          <cell r="B693" t="str">
            <v>陶磊</v>
          </cell>
          <cell r="C693" t="str">
            <v>机加车间</v>
          </cell>
        </row>
        <row r="694">
          <cell r="A694" t="str">
            <v>0704</v>
          </cell>
          <cell r="B694" t="str">
            <v>刘万香</v>
          </cell>
          <cell r="C694" t="str">
            <v>机加车间</v>
          </cell>
        </row>
        <row r="695">
          <cell r="A695" t="str">
            <v>0705</v>
          </cell>
          <cell r="B695" t="str">
            <v>郭振春</v>
          </cell>
          <cell r="C695" t="str">
            <v>油漆车间</v>
          </cell>
        </row>
        <row r="696">
          <cell r="A696" t="str">
            <v>0706</v>
          </cell>
          <cell r="B696" t="str">
            <v>苏斌</v>
          </cell>
          <cell r="C696" t="str">
            <v>测量室</v>
          </cell>
        </row>
        <row r="697">
          <cell r="A697" t="str">
            <v>0707</v>
          </cell>
          <cell r="B697" t="str">
            <v>刘秀岭</v>
          </cell>
          <cell r="C697" t="str">
            <v>测量室</v>
          </cell>
        </row>
        <row r="698">
          <cell r="A698" t="str">
            <v>0708</v>
          </cell>
          <cell r="B698" t="str">
            <v>韩明轩</v>
          </cell>
          <cell r="C698" t="str">
            <v>测量室</v>
          </cell>
        </row>
        <row r="699">
          <cell r="A699" t="str">
            <v>0709</v>
          </cell>
          <cell r="B699" t="str">
            <v>刘云</v>
          </cell>
          <cell r="C699" t="str">
            <v>机加车间</v>
          </cell>
        </row>
        <row r="700">
          <cell r="A700" t="str">
            <v>0710</v>
          </cell>
          <cell r="B700" t="str">
            <v>谢伟</v>
          </cell>
          <cell r="C700" t="str">
            <v>仓库</v>
          </cell>
        </row>
        <row r="701">
          <cell r="A701" t="str">
            <v>0711</v>
          </cell>
          <cell r="B701" t="str">
            <v>林青</v>
          </cell>
          <cell r="C701" t="str">
            <v>电气自动化部</v>
          </cell>
        </row>
        <row r="702">
          <cell r="A702" t="str">
            <v>0712</v>
          </cell>
          <cell r="B702" t="str">
            <v>王一帆</v>
          </cell>
          <cell r="C702" t="str">
            <v>工艺规划部</v>
          </cell>
        </row>
        <row r="703">
          <cell r="A703" t="str">
            <v>0713</v>
          </cell>
          <cell r="B703" t="str">
            <v>何勇芳</v>
          </cell>
          <cell r="C703" t="str">
            <v>电气自动化部</v>
          </cell>
        </row>
        <row r="704">
          <cell r="A704" t="str">
            <v>0714</v>
          </cell>
          <cell r="B704" t="str">
            <v>王春洪</v>
          </cell>
          <cell r="C704" t="str">
            <v>机加车间</v>
          </cell>
        </row>
        <row r="705">
          <cell r="A705" t="str">
            <v>0715</v>
          </cell>
          <cell r="B705" t="str">
            <v>王昀</v>
          </cell>
          <cell r="C705" t="str">
            <v>制造质量部</v>
          </cell>
        </row>
        <row r="706">
          <cell r="A706" t="str">
            <v>0716</v>
          </cell>
          <cell r="B706" t="str">
            <v>倪军</v>
          </cell>
          <cell r="C706" t="str">
            <v>电气自动化部</v>
          </cell>
        </row>
        <row r="707">
          <cell r="A707" t="str">
            <v>0717</v>
          </cell>
          <cell r="B707" t="str">
            <v>周熙玲</v>
          </cell>
          <cell r="C707" t="str">
            <v>电气自动化部</v>
          </cell>
        </row>
        <row r="708">
          <cell r="A708" t="str">
            <v>0718</v>
          </cell>
          <cell r="B708" t="str">
            <v>齐亚梦</v>
          </cell>
          <cell r="C708" t="str">
            <v>机械设计部</v>
          </cell>
        </row>
        <row r="709">
          <cell r="A709" t="str">
            <v>0719</v>
          </cell>
          <cell r="B709" t="str">
            <v>孙高阳</v>
          </cell>
          <cell r="C709" t="str">
            <v>装配车间</v>
          </cell>
        </row>
        <row r="710">
          <cell r="A710" t="str">
            <v>0720</v>
          </cell>
          <cell r="B710" t="str">
            <v>冯季林</v>
          </cell>
          <cell r="C710" t="str">
            <v>机加车间</v>
          </cell>
        </row>
        <row r="711">
          <cell r="A711" t="str">
            <v>0721</v>
          </cell>
          <cell r="B711" t="str">
            <v>马登雄</v>
          </cell>
          <cell r="C711" t="str">
            <v>机加车间</v>
          </cell>
        </row>
        <row r="712">
          <cell r="A712" t="str">
            <v>0722</v>
          </cell>
          <cell r="B712" t="str">
            <v>刘文兴</v>
          </cell>
          <cell r="C712" t="str">
            <v>装配车间</v>
          </cell>
        </row>
        <row r="713">
          <cell r="A713" t="str">
            <v>0723</v>
          </cell>
          <cell r="B713" t="str">
            <v>曾祥油</v>
          </cell>
          <cell r="C713" t="str">
            <v>电气自动化部</v>
          </cell>
        </row>
        <row r="714">
          <cell r="A714" t="str">
            <v>0724</v>
          </cell>
          <cell r="B714" t="str">
            <v>陈东风</v>
          </cell>
          <cell r="C714" t="str">
            <v>铆焊车间</v>
          </cell>
        </row>
        <row r="715">
          <cell r="A715" t="str">
            <v>0725</v>
          </cell>
          <cell r="B715" t="str">
            <v>郭凤得</v>
          </cell>
          <cell r="C715" t="str">
            <v>铆焊车间</v>
          </cell>
        </row>
        <row r="716">
          <cell r="A716" t="str">
            <v>0726</v>
          </cell>
          <cell r="B716" t="str">
            <v>李阳杰</v>
          </cell>
          <cell r="C716" t="str">
            <v>电气自动化部</v>
          </cell>
        </row>
        <row r="717">
          <cell r="A717" t="str">
            <v>0727</v>
          </cell>
          <cell r="B717" t="str">
            <v>高磊</v>
          </cell>
          <cell r="C717" t="str">
            <v>项目工程部</v>
          </cell>
        </row>
        <row r="718">
          <cell r="A718" t="str">
            <v>0728</v>
          </cell>
          <cell r="B718" t="str">
            <v>朱冬明</v>
          </cell>
          <cell r="C718" t="str">
            <v>后勤管理部</v>
          </cell>
        </row>
        <row r="719">
          <cell r="A719" t="str">
            <v>0729</v>
          </cell>
          <cell r="B719" t="str">
            <v>陆永全</v>
          </cell>
          <cell r="C719" t="str">
            <v>电气自动化部</v>
          </cell>
        </row>
        <row r="720">
          <cell r="A720" t="str">
            <v>0730</v>
          </cell>
          <cell r="B720" t="str">
            <v>朱成</v>
          </cell>
          <cell r="C720" t="str">
            <v>机械设计部</v>
          </cell>
        </row>
        <row r="721">
          <cell r="A721" t="str">
            <v>0731</v>
          </cell>
          <cell r="B721" t="str">
            <v>梁朝容</v>
          </cell>
          <cell r="C721" t="str">
            <v>油漆车间</v>
          </cell>
        </row>
        <row r="722">
          <cell r="A722" t="str">
            <v>0732</v>
          </cell>
          <cell r="B722" t="str">
            <v>万宇环</v>
          </cell>
          <cell r="C722" t="str">
            <v>铆焊车间</v>
          </cell>
        </row>
        <row r="723">
          <cell r="A723" t="str">
            <v>0733</v>
          </cell>
          <cell r="B723" t="str">
            <v>郭亚伟</v>
          </cell>
          <cell r="C723" t="str">
            <v>铆焊车间</v>
          </cell>
        </row>
        <row r="724">
          <cell r="A724" t="str">
            <v>0734</v>
          </cell>
          <cell r="B724" t="str">
            <v>蔡育成</v>
          </cell>
          <cell r="C724" t="str">
            <v>铆焊车间</v>
          </cell>
        </row>
        <row r="725">
          <cell r="A725" t="str">
            <v>0735</v>
          </cell>
          <cell r="B725" t="str">
            <v>侯彦青</v>
          </cell>
          <cell r="C725" t="str">
            <v>铆焊车间</v>
          </cell>
        </row>
        <row r="726">
          <cell r="A726" t="str">
            <v>0736</v>
          </cell>
          <cell r="B726" t="str">
            <v>王鹏</v>
          </cell>
          <cell r="C726" t="str">
            <v>铆焊车间</v>
          </cell>
        </row>
        <row r="727">
          <cell r="A727" t="str">
            <v>0737</v>
          </cell>
          <cell r="B727" t="str">
            <v>陈文峰</v>
          </cell>
          <cell r="C727" t="str">
            <v>铆焊车间</v>
          </cell>
        </row>
        <row r="728">
          <cell r="A728" t="str">
            <v>0738</v>
          </cell>
          <cell r="B728" t="str">
            <v>徐元明</v>
          </cell>
          <cell r="C728" t="str">
            <v>铆焊车间</v>
          </cell>
        </row>
        <row r="729">
          <cell r="A729" t="str">
            <v>0739</v>
          </cell>
          <cell r="B729" t="str">
            <v>廖少怀</v>
          </cell>
          <cell r="C729" t="str">
            <v>铆焊车间</v>
          </cell>
        </row>
        <row r="730">
          <cell r="A730" t="str">
            <v>0740</v>
          </cell>
          <cell r="B730" t="str">
            <v>何世雄</v>
          </cell>
          <cell r="C730" t="str">
            <v>铆焊车间</v>
          </cell>
        </row>
        <row r="731">
          <cell r="A731" t="str">
            <v>0741</v>
          </cell>
          <cell r="B731" t="str">
            <v>何瑞强</v>
          </cell>
          <cell r="C731" t="str">
            <v>铆焊车间</v>
          </cell>
        </row>
        <row r="732">
          <cell r="A732" t="str">
            <v>0742</v>
          </cell>
          <cell r="B732" t="str">
            <v>王亚军</v>
          </cell>
          <cell r="C732" t="str">
            <v>机加车间</v>
          </cell>
        </row>
        <row r="733">
          <cell r="A733" t="str">
            <v>0743</v>
          </cell>
          <cell r="B733" t="str">
            <v>雷修民</v>
          </cell>
          <cell r="C733" t="str">
            <v>电气自动化部</v>
          </cell>
        </row>
        <row r="734">
          <cell r="A734" t="str">
            <v>0744</v>
          </cell>
          <cell r="B734" t="str">
            <v>王小标</v>
          </cell>
          <cell r="C734" t="str">
            <v>机械设计部</v>
          </cell>
        </row>
        <row r="735">
          <cell r="A735" t="str">
            <v>0745</v>
          </cell>
          <cell r="B735" t="str">
            <v>张武</v>
          </cell>
          <cell r="C735" t="str">
            <v>机械设计部</v>
          </cell>
        </row>
        <row r="736">
          <cell r="A736" t="str">
            <v>0746</v>
          </cell>
          <cell r="B736" t="str">
            <v>何芝红</v>
          </cell>
          <cell r="C736" t="str">
            <v>机加车间</v>
          </cell>
        </row>
        <row r="737">
          <cell r="A737" t="str">
            <v>0747</v>
          </cell>
          <cell r="B737" t="str">
            <v>孙猛</v>
          </cell>
          <cell r="C737" t="str">
            <v>装配车间</v>
          </cell>
        </row>
        <row r="738">
          <cell r="A738" t="str">
            <v>0748</v>
          </cell>
          <cell r="B738" t="str">
            <v>冉海荣</v>
          </cell>
          <cell r="C738" t="str">
            <v>装配车间</v>
          </cell>
        </row>
        <row r="739">
          <cell r="A739" t="str">
            <v>0749</v>
          </cell>
          <cell r="B739" t="str">
            <v>何文祥</v>
          </cell>
          <cell r="C739" t="str">
            <v>油漆车间</v>
          </cell>
        </row>
        <row r="740">
          <cell r="A740" t="str">
            <v>0750</v>
          </cell>
          <cell r="B740" t="str">
            <v>陈虎</v>
          </cell>
          <cell r="C740" t="str">
            <v>机加车间</v>
          </cell>
        </row>
        <row r="741">
          <cell r="A741" t="str">
            <v>0751</v>
          </cell>
          <cell r="B741" t="str">
            <v>程武</v>
          </cell>
          <cell r="C741" t="str">
            <v>机加车间</v>
          </cell>
        </row>
        <row r="742">
          <cell r="A742" t="str">
            <v>0752</v>
          </cell>
          <cell r="B742" t="str">
            <v>任小钢</v>
          </cell>
          <cell r="C742" t="str">
            <v>装配车间</v>
          </cell>
        </row>
        <row r="743">
          <cell r="A743" t="str">
            <v>0753</v>
          </cell>
          <cell r="B743" t="str">
            <v>江虎</v>
          </cell>
          <cell r="C743" t="str">
            <v>机加车间</v>
          </cell>
        </row>
        <row r="744">
          <cell r="A744" t="str">
            <v>0754</v>
          </cell>
          <cell r="B744" t="str">
            <v>宋羽翼</v>
          </cell>
          <cell r="C744" t="str">
            <v>机加车间</v>
          </cell>
        </row>
        <row r="745">
          <cell r="A745" t="str">
            <v>0755</v>
          </cell>
          <cell r="B745" t="str">
            <v>郑星飞</v>
          </cell>
          <cell r="C745" t="str">
            <v>项目工程部</v>
          </cell>
        </row>
        <row r="746">
          <cell r="A746" t="str">
            <v>0756</v>
          </cell>
          <cell r="B746" t="str">
            <v>王成兵</v>
          </cell>
          <cell r="C746" t="str">
            <v>机加车间</v>
          </cell>
        </row>
        <row r="747">
          <cell r="A747" t="str">
            <v>0757</v>
          </cell>
          <cell r="B747" t="str">
            <v>林小军</v>
          </cell>
          <cell r="C747" t="str">
            <v>装配车间</v>
          </cell>
        </row>
        <row r="748">
          <cell r="A748" t="str">
            <v>0758</v>
          </cell>
          <cell r="B748" t="str">
            <v>郑艳明</v>
          </cell>
          <cell r="C748" t="str">
            <v>铆焊车间</v>
          </cell>
        </row>
        <row r="749">
          <cell r="A749" t="str">
            <v>0760</v>
          </cell>
          <cell r="B749" t="str">
            <v>赵义俊</v>
          </cell>
          <cell r="C749" t="str">
            <v>铆焊车间</v>
          </cell>
        </row>
        <row r="750">
          <cell r="A750" t="str">
            <v>0761</v>
          </cell>
          <cell r="B750" t="str">
            <v>张叶</v>
          </cell>
          <cell r="C750" t="str">
            <v>人力资源部</v>
          </cell>
        </row>
        <row r="751">
          <cell r="A751" t="str">
            <v>0762</v>
          </cell>
          <cell r="B751" t="str">
            <v>李敬山</v>
          </cell>
          <cell r="C751" t="str">
            <v>机加车间</v>
          </cell>
        </row>
        <row r="752">
          <cell r="A752" t="str">
            <v>0763</v>
          </cell>
          <cell r="B752" t="str">
            <v>卜电业</v>
          </cell>
          <cell r="C752" t="str">
            <v>机加车间</v>
          </cell>
        </row>
        <row r="753">
          <cell r="A753" t="str">
            <v>0764</v>
          </cell>
          <cell r="B753" t="str">
            <v>毕诗翔</v>
          </cell>
          <cell r="C753" t="str">
            <v>机加车间</v>
          </cell>
        </row>
        <row r="754">
          <cell r="A754" t="str">
            <v>0765</v>
          </cell>
          <cell r="B754" t="str">
            <v>蔡丽楠</v>
          </cell>
          <cell r="C754" t="str">
            <v>6S管理部</v>
          </cell>
        </row>
        <row r="755">
          <cell r="A755" t="str">
            <v>0766</v>
          </cell>
          <cell r="B755" t="str">
            <v>姬健</v>
          </cell>
          <cell r="C755" t="str">
            <v>装配车间</v>
          </cell>
        </row>
        <row r="756">
          <cell r="A756" t="str">
            <v>0767</v>
          </cell>
          <cell r="B756" t="str">
            <v>方天全</v>
          </cell>
          <cell r="C756" t="str">
            <v>装配车间</v>
          </cell>
        </row>
        <row r="757">
          <cell r="A757" t="str">
            <v>0768</v>
          </cell>
          <cell r="B757" t="str">
            <v>余旭东</v>
          </cell>
          <cell r="C757" t="str">
            <v>装配车间</v>
          </cell>
        </row>
        <row r="758">
          <cell r="A758" t="str">
            <v>0769</v>
          </cell>
          <cell r="B758" t="str">
            <v>张洪源</v>
          </cell>
          <cell r="C758" t="str">
            <v>铆焊车间</v>
          </cell>
        </row>
        <row r="759">
          <cell r="A759" t="str">
            <v>0770</v>
          </cell>
          <cell r="B759" t="str">
            <v>朱健</v>
          </cell>
          <cell r="C759" t="str">
            <v>电气自动化部</v>
          </cell>
        </row>
        <row r="760">
          <cell r="A760" t="str">
            <v>0771</v>
          </cell>
          <cell r="B760" t="str">
            <v>王少钦</v>
          </cell>
          <cell r="C760" t="str">
            <v>项目工程部</v>
          </cell>
        </row>
        <row r="761">
          <cell r="A761" t="str">
            <v>0772</v>
          </cell>
          <cell r="B761" t="str">
            <v>张勇</v>
          </cell>
          <cell r="C761" t="str">
            <v>机加车间</v>
          </cell>
        </row>
        <row r="762">
          <cell r="A762" t="str">
            <v>0773</v>
          </cell>
          <cell r="B762" t="str">
            <v>王圣松</v>
          </cell>
          <cell r="C762" t="str">
            <v>机加车间</v>
          </cell>
        </row>
        <row r="763">
          <cell r="A763" t="str">
            <v>0774</v>
          </cell>
          <cell r="B763" t="str">
            <v>李生宽</v>
          </cell>
          <cell r="C763" t="str">
            <v>机加车间</v>
          </cell>
        </row>
        <row r="764">
          <cell r="A764" t="str">
            <v>0775</v>
          </cell>
          <cell r="B764" t="str">
            <v>彭群辉</v>
          </cell>
          <cell r="C764" t="str">
            <v>生产保障部</v>
          </cell>
        </row>
        <row r="765">
          <cell r="A765" t="str">
            <v>0776</v>
          </cell>
          <cell r="B765" t="str">
            <v>林鑫</v>
          </cell>
          <cell r="C765" t="str">
            <v>机加车间</v>
          </cell>
        </row>
        <row r="766">
          <cell r="A766" t="str">
            <v>0777</v>
          </cell>
          <cell r="B766" t="str">
            <v>义志和</v>
          </cell>
          <cell r="C766" t="str">
            <v>铆焊车间</v>
          </cell>
        </row>
        <row r="767">
          <cell r="A767" t="str">
            <v>0778</v>
          </cell>
          <cell r="B767" t="str">
            <v>黄智勇</v>
          </cell>
          <cell r="C767" t="str">
            <v>电气自动化部</v>
          </cell>
        </row>
        <row r="768">
          <cell r="A768" t="str">
            <v>0779</v>
          </cell>
          <cell r="B768" t="str">
            <v>刘成云</v>
          </cell>
          <cell r="C768" t="str">
            <v>铆焊车间</v>
          </cell>
        </row>
        <row r="769">
          <cell r="A769" t="str">
            <v>0780</v>
          </cell>
          <cell r="B769" t="str">
            <v>陈维国</v>
          </cell>
          <cell r="C769" t="str">
            <v>铆焊车间</v>
          </cell>
        </row>
        <row r="770">
          <cell r="A770" t="str">
            <v>0781</v>
          </cell>
          <cell r="B770" t="str">
            <v>李树德</v>
          </cell>
          <cell r="C770" t="str">
            <v>铆焊车间</v>
          </cell>
        </row>
        <row r="771">
          <cell r="A771" t="str">
            <v>0782</v>
          </cell>
          <cell r="B771" t="str">
            <v>袁洪平</v>
          </cell>
          <cell r="C771" t="str">
            <v>铆焊车间</v>
          </cell>
        </row>
        <row r="772">
          <cell r="A772" t="str">
            <v>0783</v>
          </cell>
          <cell r="B772" t="str">
            <v>义智君</v>
          </cell>
          <cell r="C772" t="str">
            <v>铆焊车间</v>
          </cell>
        </row>
        <row r="773">
          <cell r="A773" t="str">
            <v>0784</v>
          </cell>
          <cell r="B773" t="str">
            <v>李维领</v>
          </cell>
          <cell r="C773" t="str">
            <v>铆焊车间</v>
          </cell>
        </row>
        <row r="774">
          <cell r="A774" t="str">
            <v>0785</v>
          </cell>
          <cell r="B774" t="str">
            <v>王俊俊</v>
          </cell>
          <cell r="C774" t="str">
            <v>机加车间</v>
          </cell>
        </row>
        <row r="775">
          <cell r="A775" t="str">
            <v>0786</v>
          </cell>
          <cell r="B775" t="str">
            <v>陈红新</v>
          </cell>
          <cell r="C775" t="str">
            <v>电气自动化部</v>
          </cell>
        </row>
        <row r="776">
          <cell r="A776" t="str">
            <v>0787</v>
          </cell>
          <cell r="B776" t="str">
            <v>陈怀东</v>
          </cell>
          <cell r="C776" t="str">
            <v>机加车间</v>
          </cell>
        </row>
        <row r="777">
          <cell r="A777" t="str">
            <v>0788</v>
          </cell>
          <cell r="B777" t="str">
            <v>陈祥伟</v>
          </cell>
          <cell r="C777" t="str">
            <v>机械设计部</v>
          </cell>
        </row>
        <row r="778">
          <cell r="A778" t="str">
            <v>0789</v>
          </cell>
          <cell r="B778" t="str">
            <v>单乾坤</v>
          </cell>
          <cell r="C778" t="str">
            <v>机加车间</v>
          </cell>
        </row>
        <row r="779">
          <cell r="A779" t="str">
            <v>0790</v>
          </cell>
          <cell r="B779" t="str">
            <v>王明</v>
          </cell>
          <cell r="C779" t="str">
            <v>装配车间</v>
          </cell>
        </row>
        <row r="780">
          <cell r="A780" t="str">
            <v>0791</v>
          </cell>
          <cell r="B780" t="str">
            <v>王婷婷</v>
          </cell>
          <cell r="C780" t="str">
            <v>电气自动化部</v>
          </cell>
        </row>
        <row r="781">
          <cell r="A781" t="str">
            <v>0792</v>
          </cell>
          <cell r="B781" t="str">
            <v>王晓飞</v>
          </cell>
          <cell r="C781" t="str">
            <v>机加车间</v>
          </cell>
        </row>
        <row r="782">
          <cell r="A782" t="str">
            <v>0793</v>
          </cell>
          <cell r="B782" t="str">
            <v>苏沈华</v>
          </cell>
          <cell r="C782" t="str">
            <v>机加车间</v>
          </cell>
        </row>
        <row r="783">
          <cell r="A783" t="str">
            <v>0794</v>
          </cell>
          <cell r="B783" t="str">
            <v>李正青</v>
          </cell>
          <cell r="C783" t="str">
            <v>机加车间</v>
          </cell>
        </row>
        <row r="784">
          <cell r="A784" t="str">
            <v>0795</v>
          </cell>
          <cell r="B784" t="str">
            <v>郭瑞奇</v>
          </cell>
          <cell r="C784" t="str">
            <v>装配车间</v>
          </cell>
        </row>
        <row r="785">
          <cell r="A785" t="str">
            <v>0796</v>
          </cell>
          <cell r="B785" t="str">
            <v>周韧</v>
          </cell>
          <cell r="C785" t="str">
            <v>机加车间</v>
          </cell>
        </row>
        <row r="786">
          <cell r="A786" t="str">
            <v>0797</v>
          </cell>
          <cell r="B786" t="str">
            <v>顾宇杰</v>
          </cell>
          <cell r="C786" t="str">
            <v>机加车间</v>
          </cell>
        </row>
        <row r="787">
          <cell r="A787" t="str">
            <v>0798</v>
          </cell>
          <cell r="B787" t="str">
            <v>彭小雨</v>
          </cell>
          <cell r="C787" t="str">
            <v>机加车间</v>
          </cell>
        </row>
        <row r="788">
          <cell r="A788" t="str">
            <v>0799</v>
          </cell>
          <cell r="B788" t="str">
            <v>金磊</v>
          </cell>
          <cell r="C788" t="str">
            <v>装配车间</v>
          </cell>
        </row>
        <row r="789">
          <cell r="A789" t="str">
            <v>0800</v>
          </cell>
          <cell r="B789" t="str">
            <v>化新友</v>
          </cell>
          <cell r="C789" t="str">
            <v>装配车间</v>
          </cell>
        </row>
        <row r="790">
          <cell r="A790" t="str">
            <v>0801</v>
          </cell>
          <cell r="B790" t="str">
            <v>柳丹宇</v>
          </cell>
          <cell r="C790" t="str">
            <v>机加车间</v>
          </cell>
        </row>
        <row r="791">
          <cell r="A791" t="str">
            <v>0802</v>
          </cell>
          <cell r="B791" t="str">
            <v>马财春</v>
          </cell>
          <cell r="C791" t="str">
            <v>铆焊车间</v>
          </cell>
        </row>
        <row r="792">
          <cell r="A792" t="str">
            <v>0803</v>
          </cell>
          <cell r="B792" t="str">
            <v>晏闯</v>
          </cell>
          <cell r="C792" t="str">
            <v>工程安装部</v>
          </cell>
        </row>
        <row r="793">
          <cell r="A793" t="str">
            <v>0804</v>
          </cell>
          <cell r="B793" t="str">
            <v>庄壮</v>
          </cell>
          <cell r="C793" t="str">
            <v>工程安装部</v>
          </cell>
        </row>
        <row r="794">
          <cell r="A794" t="str">
            <v>0805</v>
          </cell>
          <cell r="B794" t="str">
            <v>孙广旭</v>
          </cell>
          <cell r="C794" t="str">
            <v>工程安装部</v>
          </cell>
        </row>
        <row r="795">
          <cell r="A795" t="str">
            <v>0806</v>
          </cell>
          <cell r="B795" t="str">
            <v>徐宝成</v>
          </cell>
          <cell r="C795" t="str">
            <v>工程安装部</v>
          </cell>
        </row>
        <row r="796">
          <cell r="A796" t="str">
            <v>0807</v>
          </cell>
          <cell r="B796" t="str">
            <v>毛驰航</v>
          </cell>
          <cell r="C796" t="str">
            <v>装配车间</v>
          </cell>
        </row>
        <row r="797">
          <cell r="A797" t="str">
            <v>0808</v>
          </cell>
          <cell r="B797" t="str">
            <v>孙遨</v>
          </cell>
          <cell r="C797" t="str">
            <v>工艺规划部</v>
          </cell>
        </row>
        <row r="798">
          <cell r="A798" t="str">
            <v>0809</v>
          </cell>
          <cell r="B798" t="str">
            <v>田发旭</v>
          </cell>
          <cell r="C798" t="str">
            <v>工艺规划部</v>
          </cell>
        </row>
        <row r="799">
          <cell r="A799" t="str">
            <v>0810</v>
          </cell>
          <cell r="B799" t="str">
            <v>周泽</v>
          </cell>
          <cell r="C799" t="str">
            <v>工艺规划部</v>
          </cell>
        </row>
        <row r="800">
          <cell r="A800" t="str">
            <v>0811</v>
          </cell>
          <cell r="B800" t="str">
            <v>黎海波</v>
          </cell>
          <cell r="C800" t="str">
            <v>项目工程部</v>
          </cell>
        </row>
        <row r="801">
          <cell r="A801" t="str">
            <v>0812</v>
          </cell>
          <cell r="B801" t="str">
            <v>高波</v>
          </cell>
          <cell r="C801" t="str">
            <v>项目工程部</v>
          </cell>
        </row>
        <row r="802">
          <cell r="A802" t="str">
            <v>0813</v>
          </cell>
          <cell r="B802" t="str">
            <v>杨春雨</v>
          </cell>
          <cell r="C802" t="str">
            <v>项目工程部</v>
          </cell>
        </row>
        <row r="803">
          <cell r="A803" t="str">
            <v>0814</v>
          </cell>
          <cell r="B803" t="str">
            <v>常振敏</v>
          </cell>
          <cell r="C803" t="str">
            <v>项目工程部</v>
          </cell>
        </row>
        <row r="804">
          <cell r="A804" t="str">
            <v>0815</v>
          </cell>
          <cell r="B804" t="str">
            <v>罗维祯</v>
          </cell>
          <cell r="C804" t="str">
            <v>机械设计部</v>
          </cell>
        </row>
        <row r="805">
          <cell r="A805" t="str">
            <v>0816</v>
          </cell>
          <cell r="B805" t="str">
            <v>吴冰</v>
          </cell>
          <cell r="C805" t="str">
            <v>机械设计部</v>
          </cell>
        </row>
        <row r="806">
          <cell r="A806" t="str">
            <v>0817</v>
          </cell>
          <cell r="B806" t="str">
            <v>杜丹</v>
          </cell>
          <cell r="C806" t="str">
            <v>机械设计部</v>
          </cell>
        </row>
        <row r="807">
          <cell r="A807" t="str">
            <v>0818</v>
          </cell>
          <cell r="B807" t="str">
            <v>陈丹</v>
          </cell>
          <cell r="C807" t="str">
            <v>机械设计部</v>
          </cell>
        </row>
        <row r="808">
          <cell r="A808" t="str">
            <v>0819</v>
          </cell>
          <cell r="B808" t="str">
            <v>赫连晓倩</v>
          </cell>
          <cell r="C808" t="str">
            <v>机械设计部</v>
          </cell>
        </row>
        <row r="809">
          <cell r="A809" t="str">
            <v>0820</v>
          </cell>
          <cell r="B809" t="str">
            <v>过佩文</v>
          </cell>
          <cell r="C809" t="str">
            <v>机械设计部</v>
          </cell>
        </row>
        <row r="810">
          <cell r="A810" t="str">
            <v>0821</v>
          </cell>
          <cell r="B810" t="str">
            <v>周忠明</v>
          </cell>
          <cell r="C810" t="str">
            <v>机加车间</v>
          </cell>
        </row>
        <row r="811">
          <cell r="A811" t="str">
            <v>0822</v>
          </cell>
          <cell r="B811" t="str">
            <v>周边炜</v>
          </cell>
          <cell r="C811" t="str">
            <v>机加车间</v>
          </cell>
        </row>
        <row r="812">
          <cell r="A812" t="str">
            <v>0823</v>
          </cell>
          <cell r="B812" t="str">
            <v>吕智刚</v>
          </cell>
          <cell r="C812" t="str">
            <v>电气自动化部</v>
          </cell>
        </row>
        <row r="813">
          <cell r="A813" t="str">
            <v>0824</v>
          </cell>
          <cell r="B813" t="str">
            <v>蔡中刚</v>
          </cell>
          <cell r="C813" t="str">
            <v>铆焊车间</v>
          </cell>
        </row>
        <row r="814">
          <cell r="A814" t="str">
            <v>0825</v>
          </cell>
          <cell r="B814" t="str">
            <v>张慈顺</v>
          </cell>
          <cell r="C814" t="str">
            <v>机加车间</v>
          </cell>
        </row>
        <row r="815">
          <cell r="A815" t="str">
            <v>0826</v>
          </cell>
          <cell r="B815" t="str">
            <v>刘钢强</v>
          </cell>
          <cell r="C815" t="str">
            <v>机加车间</v>
          </cell>
        </row>
        <row r="816">
          <cell r="A816" t="str">
            <v>0827</v>
          </cell>
          <cell r="B816" t="str">
            <v>邵贺朋</v>
          </cell>
          <cell r="C816" t="str">
            <v>工艺规划部</v>
          </cell>
        </row>
        <row r="817">
          <cell r="A817" t="str">
            <v>0828</v>
          </cell>
          <cell r="B817" t="str">
            <v>李晓沛</v>
          </cell>
          <cell r="C817" t="str">
            <v>工艺规划部</v>
          </cell>
        </row>
        <row r="818">
          <cell r="A818" t="str">
            <v>0829</v>
          </cell>
          <cell r="B818" t="str">
            <v>袁野</v>
          </cell>
          <cell r="C818" t="str">
            <v>机加车间</v>
          </cell>
        </row>
        <row r="819">
          <cell r="A819" t="str">
            <v>0830</v>
          </cell>
          <cell r="B819" t="str">
            <v>刘继豪</v>
          </cell>
          <cell r="C819" t="str">
            <v>装配车间</v>
          </cell>
        </row>
        <row r="820">
          <cell r="A820" t="str">
            <v>0831</v>
          </cell>
          <cell r="B820" t="str">
            <v>范同云</v>
          </cell>
          <cell r="C820" t="str">
            <v>机加车间</v>
          </cell>
        </row>
        <row r="821">
          <cell r="A821" t="str">
            <v>0832</v>
          </cell>
          <cell r="B821" t="str">
            <v>董磊</v>
          </cell>
          <cell r="C821" t="str">
            <v>电气自动化部</v>
          </cell>
        </row>
        <row r="822">
          <cell r="A822" t="str">
            <v>0833</v>
          </cell>
          <cell r="B822" t="str">
            <v>陈开勇</v>
          </cell>
          <cell r="C822" t="str">
            <v>机加车间</v>
          </cell>
        </row>
        <row r="823">
          <cell r="A823" t="str">
            <v>0834</v>
          </cell>
          <cell r="B823" t="str">
            <v>义海青</v>
          </cell>
          <cell r="C823" t="str">
            <v>机加车间</v>
          </cell>
        </row>
        <row r="824">
          <cell r="A824" t="str">
            <v>0835</v>
          </cell>
          <cell r="B824" t="str">
            <v>廉鹏</v>
          </cell>
          <cell r="C824" t="str">
            <v>工艺规划部</v>
          </cell>
        </row>
        <row r="825">
          <cell r="A825" t="str">
            <v>0836</v>
          </cell>
          <cell r="B825" t="str">
            <v>张金顺</v>
          </cell>
          <cell r="C825" t="str">
            <v>铆焊车间</v>
          </cell>
        </row>
        <row r="826">
          <cell r="A826" t="str">
            <v>0837</v>
          </cell>
          <cell r="B826" t="str">
            <v>张克胜</v>
          </cell>
          <cell r="C826" t="str">
            <v>铆焊车间</v>
          </cell>
        </row>
        <row r="827">
          <cell r="A827" t="str">
            <v>0838</v>
          </cell>
          <cell r="B827" t="str">
            <v>石勇要</v>
          </cell>
          <cell r="C827" t="str">
            <v>装配车间</v>
          </cell>
        </row>
        <row r="828">
          <cell r="A828" t="str">
            <v>0839</v>
          </cell>
          <cell r="B828" t="str">
            <v>耿朋</v>
          </cell>
          <cell r="C828" t="str">
            <v>采购部</v>
          </cell>
        </row>
        <row r="829">
          <cell r="A829" t="str">
            <v>0840</v>
          </cell>
          <cell r="B829" t="str">
            <v>李肖俊</v>
          </cell>
          <cell r="C829" t="str">
            <v>电气自动化部</v>
          </cell>
        </row>
        <row r="830">
          <cell r="A830" t="str">
            <v>0841</v>
          </cell>
          <cell r="B830" t="str">
            <v>智荣坤</v>
          </cell>
          <cell r="C830" t="str">
            <v>测量室</v>
          </cell>
        </row>
        <row r="831">
          <cell r="A831" t="str">
            <v>0842</v>
          </cell>
          <cell r="B831" t="str">
            <v>韩龙平</v>
          </cell>
          <cell r="C831" t="str">
            <v>机加车间</v>
          </cell>
        </row>
        <row r="832">
          <cell r="A832" t="str">
            <v>0843</v>
          </cell>
          <cell r="B832" t="str">
            <v>何如华</v>
          </cell>
          <cell r="C832" t="str">
            <v>铆焊车间</v>
          </cell>
        </row>
        <row r="833">
          <cell r="A833" t="str">
            <v>0844</v>
          </cell>
          <cell r="B833" t="str">
            <v>邱智民</v>
          </cell>
          <cell r="C833" t="str">
            <v>铆焊车间</v>
          </cell>
        </row>
        <row r="834">
          <cell r="A834" t="str">
            <v>0845</v>
          </cell>
          <cell r="B834" t="str">
            <v>张付龙</v>
          </cell>
          <cell r="C834" t="str">
            <v>机加车间</v>
          </cell>
        </row>
        <row r="835">
          <cell r="A835" t="str">
            <v>0846</v>
          </cell>
          <cell r="B835" t="str">
            <v>周云龙</v>
          </cell>
          <cell r="C835" t="str">
            <v>工艺规划部</v>
          </cell>
        </row>
        <row r="836">
          <cell r="A836" t="str">
            <v>0847</v>
          </cell>
          <cell r="B836" t="str">
            <v>莫燕玲</v>
          </cell>
          <cell r="C836" t="str">
            <v>项目工程部</v>
          </cell>
        </row>
        <row r="837">
          <cell r="A837" t="str">
            <v>0848</v>
          </cell>
          <cell r="B837" t="str">
            <v>钱光锦</v>
          </cell>
          <cell r="C837" t="str">
            <v>铆焊车间</v>
          </cell>
        </row>
        <row r="838">
          <cell r="A838" t="str">
            <v>0849</v>
          </cell>
          <cell r="B838" t="str">
            <v>刘恩志</v>
          </cell>
          <cell r="C838" t="str">
            <v>机加车间</v>
          </cell>
        </row>
        <row r="839">
          <cell r="A839" t="str">
            <v>0850</v>
          </cell>
          <cell r="B839" t="str">
            <v>石恒胜</v>
          </cell>
          <cell r="C839" t="str">
            <v>工程安装部</v>
          </cell>
        </row>
        <row r="840">
          <cell r="A840" t="str">
            <v>0851</v>
          </cell>
          <cell r="B840" t="str">
            <v>李凤祥</v>
          </cell>
          <cell r="C840" t="str">
            <v>装配车间</v>
          </cell>
        </row>
        <row r="841">
          <cell r="A841" t="str">
            <v>0852</v>
          </cell>
          <cell r="B841" t="str">
            <v>叶小伟</v>
          </cell>
          <cell r="C841" t="str">
            <v>机加车间</v>
          </cell>
        </row>
        <row r="842">
          <cell r="A842" t="str">
            <v>0853</v>
          </cell>
          <cell r="B842" t="str">
            <v>吉东升</v>
          </cell>
          <cell r="C842" t="str">
            <v>工程安装部</v>
          </cell>
        </row>
        <row r="843">
          <cell r="A843" t="str">
            <v>0854</v>
          </cell>
          <cell r="B843" t="str">
            <v>李峰</v>
          </cell>
          <cell r="C843" t="str">
            <v>机加车间</v>
          </cell>
        </row>
        <row r="844">
          <cell r="A844" t="str">
            <v>0855</v>
          </cell>
          <cell r="B844" t="str">
            <v>徐顺阳</v>
          </cell>
          <cell r="C844" t="str">
            <v>机加车间</v>
          </cell>
        </row>
        <row r="845">
          <cell r="A845" t="str">
            <v>0856</v>
          </cell>
          <cell r="B845" t="str">
            <v>叶鑫</v>
          </cell>
          <cell r="C845" t="str">
            <v>机加车间</v>
          </cell>
        </row>
        <row r="846">
          <cell r="A846" t="str">
            <v>0857</v>
          </cell>
          <cell r="B846" t="str">
            <v>高俊</v>
          </cell>
          <cell r="C846" t="str">
            <v>测量室</v>
          </cell>
        </row>
        <row r="847">
          <cell r="A847" t="str">
            <v>0858</v>
          </cell>
          <cell r="B847" t="str">
            <v>万孝远</v>
          </cell>
          <cell r="C847" t="str">
            <v>装配车间</v>
          </cell>
        </row>
        <row r="848">
          <cell r="A848" t="str">
            <v>0859</v>
          </cell>
          <cell r="B848" t="str">
            <v>曹磊</v>
          </cell>
          <cell r="C848" t="str">
            <v>工程安装部</v>
          </cell>
        </row>
        <row r="849">
          <cell r="A849" t="str">
            <v>0860</v>
          </cell>
          <cell r="B849" t="str">
            <v>李宝军</v>
          </cell>
          <cell r="C849" t="str">
            <v>机加车间</v>
          </cell>
        </row>
        <row r="850">
          <cell r="A850" t="str">
            <v>0861</v>
          </cell>
          <cell r="B850" t="str">
            <v>王大东</v>
          </cell>
          <cell r="C850" t="str">
            <v>铆焊车间</v>
          </cell>
        </row>
        <row r="851">
          <cell r="A851" t="str">
            <v>0862</v>
          </cell>
          <cell r="B851" t="str">
            <v>王许伟</v>
          </cell>
          <cell r="C851" t="str">
            <v>铆焊车间</v>
          </cell>
        </row>
        <row r="852">
          <cell r="A852" t="str">
            <v>0863</v>
          </cell>
          <cell r="B852" t="str">
            <v>王海峰</v>
          </cell>
          <cell r="C852" t="str">
            <v>铆焊车间</v>
          </cell>
        </row>
        <row r="853">
          <cell r="A853" t="str">
            <v>0864</v>
          </cell>
          <cell r="B853" t="str">
            <v>刘志</v>
          </cell>
          <cell r="C853" t="str">
            <v>机加车间</v>
          </cell>
        </row>
        <row r="854">
          <cell r="A854" t="str">
            <v>0865</v>
          </cell>
          <cell r="B854" t="str">
            <v>刘艳华</v>
          </cell>
          <cell r="C854" t="str">
            <v>油漆车间</v>
          </cell>
        </row>
        <row r="855">
          <cell r="A855" t="str">
            <v>0866</v>
          </cell>
          <cell r="B855" t="str">
            <v>赵晓光</v>
          </cell>
          <cell r="C855" t="str">
            <v>机加车间</v>
          </cell>
        </row>
        <row r="856">
          <cell r="A856" t="str">
            <v>0867</v>
          </cell>
          <cell r="B856" t="str">
            <v>霍爱兰</v>
          </cell>
          <cell r="C856" t="str">
            <v>铆焊车间</v>
          </cell>
        </row>
        <row r="857">
          <cell r="A857" t="str">
            <v>0868</v>
          </cell>
          <cell r="B857" t="str">
            <v>范光全</v>
          </cell>
          <cell r="C857" t="str">
            <v>油漆车间</v>
          </cell>
        </row>
        <row r="858">
          <cell r="A858" t="str">
            <v>0869</v>
          </cell>
          <cell r="B858" t="str">
            <v>段青</v>
          </cell>
          <cell r="C858" t="str">
            <v>电气自动化部</v>
          </cell>
        </row>
        <row r="859">
          <cell r="A859" t="str">
            <v>0870</v>
          </cell>
          <cell r="B859" t="str">
            <v>刘宗伍</v>
          </cell>
          <cell r="C859" t="str">
            <v>铆焊车间</v>
          </cell>
        </row>
        <row r="860">
          <cell r="A860" t="str">
            <v>0871</v>
          </cell>
          <cell r="B860" t="str">
            <v>孙标标</v>
          </cell>
          <cell r="C860" t="str">
            <v>电气自动化部</v>
          </cell>
        </row>
        <row r="861">
          <cell r="A861" t="str">
            <v>0872</v>
          </cell>
          <cell r="B861" t="str">
            <v>苏仕强</v>
          </cell>
          <cell r="C861" t="str">
            <v>装配车间</v>
          </cell>
        </row>
        <row r="862">
          <cell r="A862" t="str">
            <v>0873</v>
          </cell>
          <cell r="B862" t="str">
            <v>母元超</v>
          </cell>
          <cell r="C862" t="str">
            <v>铆焊车间</v>
          </cell>
        </row>
        <row r="863">
          <cell r="A863" t="str">
            <v>0874</v>
          </cell>
          <cell r="B863" t="str">
            <v>赵欢欢</v>
          </cell>
          <cell r="C863" t="str">
            <v>铆焊车间</v>
          </cell>
        </row>
        <row r="864">
          <cell r="A864" t="str">
            <v>0875</v>
          </cell>
          <cell r="B864" t="str">
            <v>刘洋</v>
          </cell>
          <cell r="C864" t="str">
            <v>IT部</v>
          </cell>
        </row>
        <row r="865">
          <cell r="A865" t="str">
            <v>0876</v>
          </cell>
          <cell r="B865" t="str">
            <v>杨建华</v>
          </cell>
          <cell r="C865" t="str">
            <v>仓库</v>
          </cell>
        </row>
        <row r="866">
          <cell r="A866" t="str">
            <v>0877</v>
          </cell>
          <cell r="B866" t="str">
            <v>才晓莉</v>
          </cell>
          <cell r="C866" t="str">
            <v>测量室</v>
          </cell>
        </row>
        <row r="867">
          <cell r="A867" t="str">
            <v>0878</v>
          </cell>
          <cell r="B867" t="str">
            <v>张英豪</v>
          </cell>
          <cell r="C867" t="str">
            <v>机械设计部</v>
          </cell>
        </row>
        <row r="868">
          <cell r="A868" t="str">
            <v>0879</v>
          </cell>
          <cell r="B868" t="str">
            <v>文鹏</v>
          </cell>
          <cell r="C868" t="str">
            <v>装配车间</v>
          </cell>
        </row>
        <row r="869">
          <cell r="A869" t="str">
            <v>0880</v>
          </cell>
          <cell r="B869" t="str">
            <v>熊彬</v>
          </cell>
          <cell r="C869" t="str">
            <v>测量室</v>
          </cell>
        </row>
        <row r="870">
          <cell r="A870" t="str">
            <v>0881</v>
          </cell>
          <cell r="B870" t="str">
            <v>孙培</v>
          </cell>
          <cell r="C870" t="str">
            <v>铆焊车间</v>
          </cell>
        </row>
        <row r="871">
          <cell r="A871" t="str">
            <v>0882</v>
          </cell>
          <cell r="B871" t="str">
            <v>王建</v>
          </cell>
          <cell r="C871" t="str">
            <v>仓库</v>
          </cell>
        </row>
        <row r="872">
          <cell r="A872" t="str">
            <v>0883</v>
          </cell>
          <cell r="B872" t="str">
            <v>陶烨</v>
          </cell>
          <cell r="C872" t="str">
            <v>铆焊车间</v>
          </cell>
        </row>
        <row r="873">
          <cell r="A873" t="str">
            <v>0884</v>
          </cell>
          <cell r="B873" t="str">
            <v>李先进</v>
          </cell>
          <cell r="C873" t="str">
            <v>装配车间</v>
          </cell>
        </row>
        <row r="874">
          <cell r="A874" t="str">
            <v>0885</v>
          </cell>
          <cell r="B874" t="str">
            <v>康洹铨</v>
          </cell>
          <cell r="C874" t="str">
            <v>装配车间</v>
          </cell>
        </row>
        <row r="875">
          <cell r="A875" t="str">
            <v>0886</v>
          </cell>
          <cell r="B875" t="str">
            <v>涂龙兵</v>
          </cell>
          <cell r="C875" t="str">
            <v>装配车间</v>
          </cell>
        </row>
        <row r="876">
          <cell r="A876" t="str">
            <v>0887</v>
          </cell>
          <cell r="B876" t="str">
            <v>邵先付</v>
          </cell>
          <cell r="C876" t="str">
            <v>装配车间</v>
          </cell>
        </row>
        <row r="877">
          <cell r="A877" t="str">
            <v>0888</v>
          </cell>
          <cell r="B877" t="str">
            <v>王盛</v>
          </cell>
          <cell r="C877" t="str">
            <v>6S管理部</v>
          </cell>
        </row>
        <row r="878">
          <cell r="A878" t="str">
            <v>0889</v>
          </cell>
          <cell r="B878" t="str">
            <v>李杰</v>
          </cell>
          <cell r="C878" t="str">
            <v>铆焊车间</v>
          </cell>
        </row>
        <row r="879">
          <cell r="A879" t="str">
            <v>0890</v>
          </cell>
          <cell r="B879" t="str">
            <v>陈凌峰</v>
          </cell>
          <cell r="C879" t="str">
            <v>机加车间</v>
          </cell>
        </row>
        <row r="880">
          <cell r="A880" t="str">
            <v>0891</v>
          </cell>
          <cell r="B880" t="str">
            <v>于长坤</v>
          </cell>
          <cell r="C880" t="str">
            <v>铆焊车间</v>
          </cell>
        </row>
        <row r="881">
          <cell r="A881" t="str">
            <v>0892</v>
          </cell>
          <cell r="B881" t="str">
            <v>孙浩</v>
          </cell>
          <cell r="C881" t="str">
            <v>铆焊车间</v>
          </cell>
        </row>
        <row r="882">
          <cell r="A882" t="str">
            <v>0893</v>
          </cell>
          <cell r="B882" t="str">
            <v>唐德循</v>
          </cell>
          <cell r="C882" t="str">
            <v>铆焊车间</v>
          </cell>
        </row>
        <row r="883">
          <cell r="A883" t="str">
            <v>0894</v>
          </cell>
          <cell r="B883" t="str">
            <v>侯振博</v>
          </cell>
          <cell r="C883" t="str">
            <v>装配车间</v>
          </cell>
        </row>
        <row r="884">
          <cell r="A884" t="str">
            <v>0895</v>
          </cell>
          <cell r="B884" t="str">
            <v>顾洋</v>
          </cell>
          <cell r="C884" t="str">
            <v>仓库</v>
          </cell>
        </row>
        <row r="885">
          <cell r="A885" t="str">
            <v>0896</v>
          </cell>
          <cell r="B885" t="str">
            <v>刘亚</v>
          </cell>
          <cell r="C885" t="str">
            <v>装配车间</v>
          </cell>
        </row>
        <row r="886">
          <cell r="A886" t="str">
            <v>0897</v>
          </cell>
          <cell r="B886" t="str">
            <v>朱晓鹏</v>
          </cell>
          <cell r="C886" t="str">
            <v>装配车间</v>
          </cell>
        </row>
        <row r="887">
          <cell r="A887" t="str">
            <v>0898</v>
          </cell>
          <cell r="B887" t="str">
            <v>倪军之</v>
          </cell>
          <cell r="C887" t="str">
            <v>铆焊车间</v>
          </cell>
        </row>
        <row r="888">
          <cell r="A888" t="str">
            <v>0899</v>
          </cell>
          <cell r="B888" t="str">
            <v>夏伟明</v>
          </cell>
          <cell r="C888" t="str">
            <v>铆焊车间</v>
          </cell>
        </row>
        <row r="889">
          <cell r="A889" t="str">
            <v>0900</v>
          </cell>
          <cell r="B889" t="str">
            <v>申兰贵</v>
          </cell>
          <cell r="C889" t="str">
            <v>铆焊车间</v>
          </cell>
        </row>
        <row r="890">
          <cell r="A890" t="str">
            <v>0901</v>
          </cell>
          <cell r="B890" t="str">
            <v>何志伟</v>
          </cell>
          <cell r="C890" t="str">
            <v>装配车间</v>
          </cell>
        </row>
        <row r="891">
          <cell r="A891" t="str">
            <v>0902</v>
          </cell>
          <cell r="B891" t="str">
            <v>吴梦杰</v>
          </cell>
          <cell r="C891" t="str">
            <v>机械设计部</v>
          </cell>
        </row>
        <row r="892">
          <cell r="A892" t="str">
            <v>0903</v>
          </cell>
          <cell r="B892" t="str">
            <v>张李宏</v>
          </cell>
          <cell r="C892" t="str">
            <v>铆焊车间</v>
          </cell>
        </row>
        <row r="893">
          <cell r="A893" t="str">
            <v>0904</v>
          </cell>
          <cell r="B893" t="str">
            <v>王小斌</v>
          </cell>
          <cell r="C893" t="str">
            <v>仓库</v>
          </cell>
        </row>
        <row r="894">
          <cell r="A894" t="str">
            <v>0905</v>
          </cell>
          <cell r="B894" t="str">
            <v>任军</v>
          </cell>
          <cell r="C894" t="str">
            <v>6S管理部</v>
          </cell>
        </row>
        <row r="895">
          <cell r="A895" t="str">
            <v>0906</v>
          </cell>
          <cell r="B895" t="str">
            <v>黄名文</v>
          </cell>
          <cell r="C895" t="str">
            <v>铆焊车间</v>
          </cell>
        </row>
        <row r="896">
          <cell r="A896" t="str">
            <v>0907</v>
          </cell>
          <cell r="B896" t="str">
            <v>李金龙</v>
          </cell>
          <cell r="C896" t="str">
            <v>机加车间</v>
          </cell>
        </row>
        <row r="897">
          <cell r="A897" t="str">
            <v>0908</v>
          </cell>
          <cell r="B897" t="str">
            <v>魏昊</v>
          </cell>
          <cell r="C897" t="str">
            <v>项目工程部</v>
          </cell>
        </row>
        <row r="898">
          <cell r="A898" t="str">
            <v>0909</v>
          </cell>
          <cell r="B898" t="str">
            <v>张明辉</v>
          </cell>
          <cell r="C898" t="str">
            <v>机加车间</v>
          </cell>
        </row>
        <row r="899">
          <cell r="A899" t="str">
            <v>0910</v>
          </cell>
          <cell r="B899" t="str">
            <v>关鹏飞</v>
          </cell>
          <cell r="C899" t="str">
            <v>机加车间</v>
          </cell>
        </row>
        <row r="900">
          <cell r="A900" t="str">
            <v>0911</v>
          </cell>
          <cell r="B900" t="str">
            <v>何力明</v>
          </cell>
          <cell r="C900" t="str">
            <v>机加车间</v>
          </cell>
        </row>
        <row r="901">
          <cell r="A901" t="str">
            <v>0912</v>
          </cell>
          <cell r="B901" t="str">
            <v>龙勇亮</v>
          </cell>
          <cell r="C901" t="str">
            <v>铆焊车间</v>
          </cell>
        </row>
        <row r="902">
          <cell r="A902" t="str">
            <v>0913</v>
          </cell>
          <cell r="B902" t="str">
            <v>朱文锋</v>
          </cell>
          <cell r="C902" t="str">
            <v>后勤管理部</v>
          </cell>
        </row>
        <row r="903">
          <cell r="A903" t="str">
            <v>0914</v>
          </cell>
          <cell r="B903" t="str">
            <v>赵志情</v>
          </cell>
          <cell r="C903" t="str">
            <v>铆焊车间</v>
          </cell>
        </row>
        <row r="904">
          <cell r="A904" t="str">
            <v>0915</v>
          </cell>
          <cell r="B904" t="str">
            <v>李见锋</v>
          </cell>
          <cell r="C904" t="str">
            <v>机加车间</v>
          </cell>
        </row>
        <row r="905">
          <cell r="A905" t="str">
            <v>8026</v>
          </cell>
          <cell r="B905" t="str">
            <v>梁开平</v>
          </cell>
          <cell r="C905" t="str">
            <v>后勤管理部</v>
          </cell>
        </row>
        <row r="906">
          <cell r="A906" t="str">
            <v>9101</v>
          </cell>
          <cell r="B906" t="str">
            <v>总经理室职员</v>
          </cell>
          <cell r="C906" t="str">
            <v>总经理室</v>
          </cell>
        </row>
        <row r="907">
          <cell r="A907" t="str">
            <v>9102</v>
          </cell>
          <cell r="B907" t="str">
            <v>综合管理部职员</v>
          </cell>
          <cell r="C907" t="str">
            <v>后勤管理部</v>
          </cell>
        </row>
        <row r="908">
          <cell r="A908" t="str">
            <v>9103</v>
          </cell>
          <cell r="B908" t="str">
            <v>人力资源部职员</v>
          </cell>
          <cell r="C908" t="str">
            <v>人力资源部</v>
          </cell>
        </row>
        <row r="909">
          <cell r="A909" t="str">
            <v>9104</v>
          </cell>
          <cell r="B909" t="str">
            <v>资产财务部职员</v>
          </cell>
          <cell r="C909" t="str">
            <v>资产财务部</v>
          </cell>
        </row>
        <row r="910">
          <cell r="A910" t="str">
            <v>9105</v>
          </cell>
          <cell r="B910" t="str">
            <v>采购部职员</v>
          </cell>
          <cell r="C910" t="str">
            <v>采购部</v>
          </cell>
        </row>
        <row r="911">
          <cell r="A911" t="str">
            <v>9106</v>
          </cell>
          <cell r="B911" t="str">
            <v>仓库职工</v>
          </cell>
          <cell r="C911" t="str">
            <v>仓库</v>
          </cell>
        </row>
        <row r="912">
          <cell r="A912" t="str">
            <v>9107</v>
          </cell>
          <cell r="B912" t="str">
            <v>6S管理部职员</v>
          </cell>
          <cell r="C912" t="str">
            <v>6S管理部</v>
          </cell>
        </row>
        <row r="913">
          <cell r="A913" t="str">
            <v>9108</v>
          </cell>
          <cell r="B913" t="str">
            <v>综合管理部职员</v>
          </cell>
          <cell r="C913" t="str">
            <v>后勤管理部</v>
          </cell>
        </row>
        <row r="914">
          <cell r="A914" t="str">
            <v>9109</v>
          </cell>
          <cell r="B914" t="str">
            <v>总经办人员</v>
          </cell>
          <cell r="C914" t="str">
            <v>公司办公室</v>
          </cell>
        </row>
        <row r="915">
          <cell r="A915" t="str">
            <v>9111</v>
          </cell>
          <cell r="B915" t="str">
            <v>IT人员</v>
          </cell>
          <cell r="C915" t="str">
            <v>IT部</v>
          </cell>
        </row>
        <row r="916">
          <cell r="A916" t="str">
            <v>9201</v>
          </cell>
          <cell r="B916" t="str">
            <v>设计部职员</v>
          </cell>
          <cell r="C916" t="str">
            <v>机械设计部</v>
          </cell>
        </row>
        <row r="917">
          <cell r="A917" t="str">
            <v>9202</v>
          </cell>
          <cell r="B917" t="str">
            <v>技术部职员</v>
          </cell>
          <cell r="C917" t="str">
            <v>工艺规划部</v>
          </cell>
        </row>
        <row r="918">
          <cell r="A918" t="str">
            <v>9203</v>
          </cell>
          <cell r="B918" t="str">
            <v>项目部职员</v>
          </cell>
          <cell r="C918" t="str">
            <v>项目工程部</v>
          </cell>
        </row>
        <row r="919">
          <cell r="A919" t="str">
            <v>9204</v>
          </cell>
          <cell r="B919" t="str">
            <v>电气自动化部职员</v>
          </cell>
          <cell r="C919" t="str">
            <v>电气自动化部</v>
          </cell>
        </row>
        <row r="920">
          <cell r="A920" t="str">
            <v>9301</v>
          </cell>
          <cell r="B920" t="str">
            <v>机加车间职员</v>
          </cell>
          <cell r="C920" t="str">
            <v>机加车间</v>
          </cell>
        </row>
        <row r="921">
          <cell r="A921" t="str">
            <v>9302</v>
          </cell>
          <cell r="B921" t="str">
            <v>装配车间职员</v>
          </cell>
          <cell r="C921" t="str">
            <v>装配车间</v>
          </cell>
        </row>
        <row r="922">
          <cell r="A922" t="str">
            <v>9303</v>
          </cell>
          <cell r="B922" t="str">
            <v>铆焊车间职员</v>
          </cell>
          <cell r="C922" t="str">
            <v>铆焊车间</v>
          </cell>
        </row>
        <row r="923">
          <cell r="A923" t="str">
            <v>9304</v>
          </cell>
          <cell r="B923" t="str">
            <v>油漆车间职员</v>
          </cell>
          <cell r="C923" t="str">
            <v>油漆车间</v>
          </cell>
        </row>
        <row r="924">
          <cell r="A924" t="str">
            <v>9305</v>
          </cell>
          <cell r="B924" t="str">
            <v>生产保障部职员</v>
          </cell>
          <cell r="C924" t="str">
            <v>生产保障部</v>
          </cell>
        </row>
        <row r="925">
          <cell r="A925" t="str">
            <v>9306</v>
          </cell>
          <cell r="B925" t="str">
            <v>测量室职员</v>
          </cell>
          <cell r="C925" t="str">
            <v>测量室</v>
          </cell>
        </row>
        <row r="926">
          <cell r="A926" t="str">
            <v>9307</v>
          </cell>
          <cell r="B926" t="str">
            <v>工程安装部职员</v>
          </cell>
          <cell r="C926" t="str">
            <v>工程安装部</v>
          </cell>
        </row>
        <row r="927">
          <cell r="A927" t="str">
            <v>9308</v>
          </cell>
          <cell r="B927" t="str">
            <v>制造质量部职员</v>
          </cell>
          <cell r="C927" t="str">
            <v>制造质量部</v>
          </cell>
        </row>
        <row r="928">
          <cell r="A928" t="str">
            <v>9401</v>
          </cell>
          <cell r="B928" t="str">
            <v>沈阳办事处职员</v>
          </cell>
          <cell r="C928" t="str">
            <v>沈阳办事处筹建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RP_项目2015" connectionId="2" xr16:uid="{00000000-0016-0000-0900-000000000000}" autoFormatId="16" applyNumberFormats="0" applyBorderFormats="0" applyFontFormats="1" applyPatternFormats="1" applyAlignmentFormats="0" applyWidthHeightFormats="0">
  <queryTableRefresh nextId="9">
    <queryTableFields count="8">
      <queryTableField id="1" name="I_id" tableColumnId="1"/>
      <queryTableField id="2" name="citemcode" tableColumnId="2"/>
      <queryTableField id="3" name="citemname" tableColumnId="3"/>
      <queryTableField id="4" name="bclose" tableColumnId="4"/>
      <queryTableField id="5" name="citemccode" tableColumnId="5"/>
      <queryTableField id="6" name="iotherused" tableColumnId="6"/>
      <queryTableField id="7" name="客户单位名称" tableColumnId="7"/>
      <queryTableField id="8" name="项目序号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表_ERP_项目2015" displayName="表_ERP_项目2015" ref="A1:H77" tableType="queryTable" totalsRowShown="0">
  <autoFilter ref="A1:H77" xr:uid="{00000000-0009-0000-0100-000002000000}"/>
  <tableColumns count="8">
    <tableColumn id="1" xr3:uid="{00000000-0010-0000-0000-000001000000}" uniqueName="1" name="I_id" queryTableFieldId="1" dataDxfId="7"/>
    <tableColumn id="2" xr3:uid="{00000000-0010-0000-0000-000002000000}" uniqueName="2" name="citemcode" queryTableFieldId="2" dataDxfId="6"/>
    <tableColumn id="3" xr3:uid="{00000000-0010-0000-0000-000003000000}" uniqueName="3" name="citemname" queryTableFieldId="3" dataDxfId="5"/>
    <tableColumn id="4" xr3:uid="{00000000-0010-0000-0000-000004000000}" uniqueName="4" name="bclose" queryTableFieldId="4" dataDxfId="4"/>
    <tableColumn id="5" xr3:uid="{00000000-0010-0000-0000-000005000000}" uniqueName="5" name="citemccode" queryTableFieldId="5" dataDxfId="3"/>
    <tableColumn id="6" xr3:uid="{00000000-0010-0000-0000-000006000000}" uniqueName="6" name="iotherused" queryTableFieldId="6" dataDxfId="2"/>
    <tableColumn id="7" xr3:uid="{00000000-0010-0000-0000-000007000000}" uniqueName="7" name="客户单位名称" queryTableFieldId="7" dataDxfId="1"/>
    <tableColumn id="8" xr3:uid="{00000000-0010-0000-0000-000008000000}" uniqueName="8" name="项目序号" queryTableFieldId="8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F244A-B19F-47D9-89B0-333E48B0FE92}">
  <sheetPr codeName="Sheet1"/>
  <dimension ref="A1:AF53"/>
  <sheetViews>
    <sheetView zoomScaleNormal="100" workbookViewId="0">
      <pane ySplit="1" topLeftCell="A2" activePane="bottomLeft" state="frozen"/>
      <selection pane="bottomLeft" activeCell="R3" sqref="R3"/>
    </sheetView>
  </sheetViews>
  <sheetFormatPr defaultColWidth="9" defaultRowHeight="14.25" customHeight="1" x14ac:dyDescent="0.15"/>
  <cols>
    <col min="1" max="1" width="5.875" style="88" customWidth="1"/>
    <col min="2" max="2" width="4.125" style="102" customWidth="1"/>
    <col min="3" max="3" width="5.875" style="102" customWidth="1"/>
    <col min="4" max="8" width="5.875" style="88" customWidth="1"/>
    <col min="9" max="9" width="5.875" style="102" customWidth="1"/>
    <col min="10" max="10" width="4.125" style="102" customWidth="1"/>
    <col min="11" max="15" width="5.875" style="102" customWidth="1"/>
    <col min="16" max="16" width="6.375" style="102" customWidth="1"/>
    <col min="17" max="17" width="9" style="105"/>
    <col min="18" max="32" width="9" style="103"/>
    <col min="33" max="223" width="9" style="88"/>
    <col min="224" max="224" width="5.875" style="88" customWidth="1"/>
    <col min="225" max="225" width="4.125" style="88" customWidth="1"/>
    <col min="226" max="232" width="5.875" style="88" customWidth="1"/>
    <col min="233" max="233" width="4.125" style="88" customWidth="1"/>
    <col min="234" max="239" width="5.875" style="88" customWidth="1"/>
    <col min="240" max="241" width="9" style="88"/>
    <col min="242" max="242" width="10.5" style="88" customWidth="1"/>
    <col min="243" max="243" width="12.75" style="88" customWidth="1"/>
    <col min="244" max="479" width="9" style="88"/>
    <col min="480" max="480" width="5.875" style="88" customWidth="1"/>
    <col min="481" max="481" width="4.125" style="88" customWidth="1"/>
    <col min="482" max="488" width="5.875" style="88" customWidth="1"/>
    <col min="489" max="489" width="4.125" style="88" customWidth="1"/>
    <col min="490" max="495" width="5.875" style="88" customWidth="1"/>
    <col min="496" max="497" width="9" style="88"/>
    <col min="498" max="498" width="10.5" style="88" customWidth="1"/>
    <col min="499" max="499" width="12.75" style="88" customWidth="1"/>
    <col min="500" max="735" width="9" style="88"/>
    <col min="736" max="736" width="5.875" style="88" customWidth="1"/>
    <col min="737" max="737" width="4.125" style="88" customWidth="1"/>
    <col min="738" max="744" width="5.875" style="88" customWidth="1"/>
    <col min="745" max="745" width="4.125" style="88" customWidth="1"/>
    <col min="746" max="751" width="5.875" style="88" customWidth="1"/>
    <col min="752" max="753" width="9" style="88"/>
    <col min="754" max="754" width="10.5" style="88" customWidth="1"/>
    <col min="755" max="755" width="12.75" style="88" customWidth="1"/>
    <col min="756" max="991" width="9" style="88"/>
    <col min="992" max="992" width="5.875" style="88" customWidth="1"/>
    <col min="993" max="993" width="4.125" style="88" customWidth="1"/>
    <col min="994" max="1000" width="5.875" style="88" customWidth="1"/>
    <col min="1001" max="1001" width="4.125" style="88" customWidth="1"/>
    <col min="1002" max="1007" width="5.875" style="88" customWidth="1"/>
    <col min="1008" max="1009" width="9" style="88"/>
    <col min="1010" max="1010" width="10.5" style="88" customWidth="1"/>
    <col min="1011" max="1011" width="12.75" style="88" customWidth="1"/>
    <col min="1012" max="1247" width="9" style="88"/>
    <col min="1248" max="1248" width="5.875" style="88" customWidth="1"/>
    <col min="1249" max="1249" width="4.125" style="88" customWidth="1"/>
    <col min="1250" max="1256" width="5.875" style="88" customWidth="1"/>
    <col min="1257" max="1257" width="4.125" style="88" customWidth="1"/>
    <col min="1258" max="1263" width="5.875" style="88" customWidth="1"/>
    <col min="1264" max="1265" width="9" style="88"/>
    <col min="1266" max="1266" width="10.5" style="88" customWidth="1"/>
    <col min="1267" max="1267" width="12.75" style="88" customWidth="1"/>
    <col min="1268" max="1503" width="9" style="88"/>
    <col min="1504" max="1504" width="5.875" style="88" customWidth="1"/>
    <col min="1505" max="1505" width="4.125" style="88" customWidth="1"/>
    <col min="1506" max="1512" width="5.875" style="88" customWidth="1"/>
    <col min="1513" max="1513" width="4.125" style="88" customWidth="1"/>
    <col min="1514" max="1519" width="5.875" style="88" customWidth="1"/>
    <col min="1520" max="1521" width="9" style="88"/>
    <col min="1522" max="1522" width="10.5" style="88" customWidth="1"/>
    <col min="1523" max="1523" width="12.75" style="88" customWidth="1"/>
    <col min="1524" max="1759" width="9" style="88"/>
    <col min="1760" max="1760" width="5.875" style="88" customWidth="1"/>
    <col min="1761" max="1761" width="4.125" style="88" customWidth="1"/>
    <col min="1762" max="1768" width="5.875" style="88" customWidth="1"/>
    <col min="1769" max="1769" width="4.125" style="88" customWidth="1"/>
    <col min="1770" max="1775" width="5.875" style="88" customWidth="1"/>
    <col min="1776" max="1777" width="9" style="88"/>
    <col min="1778" max="1778" width="10.5" style="88" customWidth="1"/>
    <col min="1779" max="1779" width="12.75" style="88" customWidth="1"/>
    <col min="1780" max="2015" width="9" style="88"/>
    <col min="2016" max="2016" width="5.875" style="88" customWidth="1"/>
    <col min="2017" max="2017" width="4.125" style="88" customWidth="1"/>
    <col min="2018" max="2024" width="5.875" style="88" customWidth="1"/>
    <col min="2025" max="2025" width="4.125" style="88" customWidth="1"/>
    <col min="2026" max="2031" width="5.875" style="88" customWidth="1"/>
    <col min="2032" max="2033" width="9" style="88"/>
    <col min="2034" max="2034" width="10.5" style="88" customWidth="1"/>
    <col min="2035" max="2035" width="12.75" style="88" customWidth="1"/>
    <col min="2036" max="2271" width="9" style="88"/>
    <col min="2272" max="2272" width="5.875" style="88" customWidth="1"/>
    <col min="2273" max="2273" width="4.125" style="88" customWidth="1"/>
    <col min="2274" max="2280" width="5.875" style="88" customWidth="1"/>
    <col min="2281" max="2281" width="4.125" style="88" customWidth="1"/>
    <col min="2282" max="2287" width="5.875" style="88" customWidth="1"/>
    <col min="2288" max="2289" width="9" style="88"/>
    <col min="2290" max="2290" width="10.5" style="88" customWidth="1"/>
    <col min="2291" max="2291" width="12.75" style="88" customWidth="1"/>
    <col min="2292" max="2527" width="9" style="88"/>
    <col min="2528" max="2528" width="5.875" style="88" customWidth="1"/>
    <col min="2529" max="2529" width="4.125" style="88" customWidth="1"/>
    <col min="2530" max="2536" width="5.875" style="88" customWidth="1"/>
    <col min="2537" max="2537" width="4.125" style="88" customWidth="1"/>
    <col min="2538" max="2543" width="5.875" style="88" customWidth="1"/>
    <col min="2544" max="2545" width="9" style="88"/>
    <col min="2546" max="2546" width="10.5" style="88" customWidth="1"/>
    <col min="2547" max="2547" width="12.75" style="88" customWidth="1"/>
    <col min="2548" max="2783" width="9" style="88"/>
    <col min="2784" max="2784" width="5.875" style="88" customWidth="1"/>
    <col min="2785" max="2785" width="4.125" style="88" customWidth="1"/>
    <col min="2786" max="2792" width="5.875" style="88" customWidth="1"/>
    <col min="2793" max="2793" width="4.125" style="88" customWidth="1"/>
    <col min="2794" max="2799" width="5.875" style="88" customWidth="1"/>
    <col min="2800" max="2801" width="9" style="88"/>
    <col min="2802" max="2802" width="10.5" style="88" customWidth="1"/>
    <col min="2803" max="2803" width="12.75" style="88" customWidth="1"/>
    <col min="2804" max="3039" width="9" style="88"/>
    <col min="3040" max="3040" width="5.875" style="88" customWidth="1"/>
    <col min="3041" max="3041" width="4.125" style="88" customWidth="1"/>
    <col min="3042" max="3048" width="5.875" style="88" customWidth="1"/>
    <col min="3049" max="3049" width="4.125" style="88" customWidth="1"/>
    <col min="3050" max="3055" width="5.875" style="88" customWidth="1"/>
    <col min="3056" max="3057" width="9" style="88"/>
    <col min="3058" max="3058" width="10.5" style="88" customWidth="1"/>
    <col min="3059" max="3059" width="12.75" style="88" customWidth="1"/>
    <col min="3060" max="3295" width="9" style="88"/>
    <col min="3296" max="3296" width="5.875" style="88" customWidth="1"/>
    <col min="3297" max="3297" width="4.125" style="88" customWidth="1"/>
    <col min="3298" max="3304" width="5.875" style="88" customWidth="1"/>
    <col min="3305" max="3305" width="4.125" style="88" customWidth="1"/>
    <col min="3306" max="3311" width="5.875" style="88" customWidth="1"/>
    <col min="3312" max="3313" width="9" style="88"/>
    <col min="3314" max="3314" width="10.5" style="88" customWidth="1"/>
    <col min="3315" max="3315" width="12.75" style="88" customWidth="1"/>
    <col min="3316" max="3551" width="9" style="88"/>
    <col min="3552" max="3552" width="5.875" style="88" customWidth="1"/>
    <col min="3553" max="3553" width="4.125" style="88" customWidth="1"/>
    <col min="3554" max="3560" width="5.875" style="88" customWidth="1"/>
    <col min="3561" max="3561" width="4.125" style="88" customWidth="1"/>
    <col min="3562" max="3567" width="5.875" style="88" customWidth="1"/>
    <col min="3568" max="3569" width="9" style="88"/>
    <col min="3570" max="3570" width="10.5" style="88" customWidth="1"/>
    <col min="3571" max="3571" width="12.75" style="88" customWidth="1"/>
    <col min="3572" max="3807" width="9" style="88"/>
    <col min="3808" max="3808" width="5.875" style="88" customWidth="1"/>
    <col min="3809" max="3809" width="4.125" style="88" customWidth="1"/>
    <col min="3810" max="3816" width="5.875" style="88" customWidth="1"/>
    <col min="3817" max="3817" width="4.125" style="88" customWidth="1"/>
    <col min="3818" max="3823" width="5.875" style="88" customWidth="1"/>
    <col min="3824" max="3825" width="9" style="88"/>
    <col min="3826" max="3826" width="10.5" style="88" customWidth="1"/>
    <col min="3827" max="3827" width="12.75" style="88" customWidth="1"/>
    <col min="3828" max="4063" width="9" style="88"/>
    <col min="4064" max="4064" width="5.875" style="88" customWidth="1"/>
    <col min="4065" max="4065" width="4.125" style="88" customWidth="1"/>
    <col min="4066" max="4072" width="5.875" style="88" customWidth="1"/>
    <col min="4073" max="4073" width="4.125" style="88" customWidth="1"/>
    <col min="4074" max="4079" width="5.875" style="88" customWidth="1"/>
    <col min="4080" max="4081" width="9" style="88"/>
    <col min="4082" max="4082" width="10.5" style="88" customWidth="1"/>
    <col min="4083" max="4083" width="12.75" style="88" customWidth="1"/>
    <col min="4084" max="4319" width="9" style="88"/>
    <col min="4320" max="4320" width="5.875" style="88" customWidth="1"/>
    <col min="4321" max="4321" width="4.125" style="88" customWidth="1"/>
    <col min="4322" max="4328" width="5.875" style="88" customWidth="1"/>
    <col min="4329" max="4329" width="4.125" style="88" customWidth="1"/>
    <col min="4330" max="4335" width="5.875" style="88" customWidth="1"/>
    <col min="4336" max="4337" width="9" style="88"/>
    <col min="4338" max="4338" width="10.5" style="88" customWidth="1"/>
    <col min="4339" max="4339" width="12.75" style="88" customWidth="1"/>
    <col min="4340" max="4575" width="9" style="88"/>
    <col min="4576" max="4576" width="5.875" style="88" customWidth="1"/>
    <col min="4577" max="4577" width="4.125" style="88" customWidth="1"/>
    <col min="4578" max="4584" width="5.875" style="88" customWidth="1"/>
    <col min="4585" max="4585" width="4.125" style="88" customWidth="1"/>
    <col min="4586" max="4591" width="5.875" style="88" customWidth="1"/>
    <col min="4592" max="4593" width="9" style="88"/>
    <col min="4594" max="4594" width="10.5" style="88" customWidth="1"/>
    <col min="4595" max="4595" width="12.75" style="88" customWidth="1"/>
    <col min="4596" max="4831" width="9" style="88"/>
    <col min="4832" max="4832" width="5.875" style="88" customWidth="1"/>
    <col min="4833" max="4833" width="4.125" style="88" customWidth="1"/>
    <col min="4834" max="4840" width="5.875" style="88" customWidth="1"/>
    <col min="4841" max="4841" width="4.125" style="88" customWidth="1"/>
    <col min="4842" max="4847" width="5.875" style="88" customWidth="1"/>
    <col min="4848" max="4849" width="9" style="88"/>
    <col min="4850" max="4850" width="10.5" style="88" customWidth="1"/>
    <col min="4851" max="4851" width="12.75" style="88" customWidth="1"/>
    <col min="4852" max="5087" width="9" style="88"/>
    <col min="5088" max="5088" width="5.875" style="88" customWidth="1"/>
    <col min="5089" max="5089" width="4.125" style="88" customWidth="1"/>
    <col min="5090" max="5096" width="5.875" style="88" customWidth="1"/>
    <col min="5097" max="5097" width="4.125" style="88" customWidth="1"/>
    <col min="5098" max="5103" width="5.875" style="88" customWidth="1"/>
    <col min="5104" max="5105" width="9" style="88"/>
    <col min="5106" max="5106" width="10.5" style="88" customWidth="1"/>
    <col min="5107" max="5107" width="12.75" style="88" customWidth="1"/>
    <col min="5108" max="5343" width="9" style="88"/>
    <col min="5344" max="5344" width="5.875" style="88" customWidth="1"/>
    <col min="5345" max="5345" width="4.125" style="88" customWidth="1"/>
    <col min="5346" max="5352" width="5.875" style="88" customWidth="1"/>
    <col min="5353" max="5353" width="4.125" style="88" customWidth="1"/>
    <col min="5354" max="5359" width="5.875" style="88" customWidth="1"/>
    <col min="5360" max="5361" width="9" style="88"/>
    <col min="5362" max="5362" width="10.5" style="88" customWidth="1"/>
    <col min="5363" max="5363" width="12.75" style="88" customWidth="1"/>
    <col min="5364" max="5599" width="9" style="88"/>
    <col min="5600" max="5600" width="5.875" style="88" customWidth="1"/>
    <col min="5601" max="5601" width="4.125" style="88" customWidth="1"/>
    <col min="5602" max="5608" width="5.875" style="88" customWidth="1"/>
    <col min="5609" max="5609" width="4.125" style="88" customWidth="1"/>
    <col min="5610" max="5615" width="5.875" style="88" customWidth="1"/>
    <col min="5616" max="5617" width="9" style="88"/>
    <col min="5618" max="5618" width="10.5" style="88" customWidth="1"/>
    <col min="5619" max="5619" width="12.75" style="88" customWidth="1"/>
    <col min="5620" max="5855" width="9" style="88"/>
    <col min="5856" max="5856" width="5.875" style="88" customWidth="1"/>
    <col min="5857" max="5857" width="4.125" style="88" customWidth="1"/>
    <col min="5858" max="5864" width="5.875" style="88" customWidth="1"/>
    <col min="5865" max="5865" width="4.125" style="88" customWidth="1"/>
    <col min="5866" max="5871" width="5.875" style="88" customWidth="1"/>
    <col min="5872" max="5873" width="9" style="88"/>
    <col min="5874" max="5874" width="10.5" style="88" customWidth="1"/>
    <col min="5875" max="5875" width="12.75" style="88" customWidth="1"/>
    <col min="5876" max="6111" width="9" style="88"/>
    <col min="6112" max="6112" width="5.875" style="88" customWidth="1"/>
    <col min="6113" max="6113" width="4.125" style="88" customWidth="1"/>
    <col min="6114" max="6120" width="5.875" style="88" customWidth="1"/>
    <col min="6121" max="6121" width="4.125" style="88" customWidth="1"/>
    <col min="6122" max="6127" width="5.875" style="88" customWidth="1"/>
    <col min="6128" max="6129" width="9" style="88"/>
    <col min="6130" max="6130" width="10.5" style="88" customWidth="1"/>
    <col min="6131" max="6131" width="12.75" style="88" customWidth="1"/>
    <col min="6132" max="6367" width="9" style="88"/>
    <col min="6368" max="6368" width="5.875" style="88" customWidth="1"/>
    <col min="6369" max="6369" width="4.125" style="88" customWidth="1"/>
    <col min="6370" max="6376" width="5.875" style="88" customWidth="1"/>
    <col min="6377" max="6377" width="4.125" style="88" customWidth="1"/>
    <col min="6378" max="6383" width="5.875" style="88" customWidth="1"/>
    <col min="6384" max="6385" width="9" style="88"/>
    <col min="6386" max="6386" width="10.5" style="88" customWidth="1"/>
    <col min="6387" max="6387" width="12.75" style="88" customWidth="1"/>
    <col min="6388" max="6623" width="9" style="88"/>
    <col min="6624" max="6624" width="5.875" style="88" customWidth="1"/>
    <col min="6625" max="6625" width="4.125" style="88" customWidth="1"/>
    <col min="6626" max="6632" width="5.875" style="88" customWidth="1"/>
    <col min="6633" max="6633" width="4.125" style="88" customWidth="1"/>
    <col min="6634" max="6639" width="5.875" style="88" customWidth="1"/>
    <col min="6640" max="6641" width="9" style="88"/>
    <col min="6642" max="6642" width="10.5" style="88" customWidth="1"/>
    <col min="6643" max="6643" width="12.75" style="88" customWidth="1"/>
    <col min="6644" max="6879" width="9" style="88"/>
    <col min="6880" max="6880" width="5.875" style="88" customWidth="1"/>
    <col min="6881" max="6881" width="4.125" style="88" customWidth="1"/>
    <col min="6882" max="6888" width="5.875" style="88" customWidth="1"/>
    <col min="6889" max="6889" width="4.125" style="88" customWidth="1"/>
    <col min="6890" max="6895" width="5.875" style="88" customWidth="1"/>
    <col min="6896" max="6897" width="9" style="88"/>
    <col min="6898" max="6898" width="10.5" style="88" customWidth="1"/>
    <col min="6899" max="6899" width="12.75" style="88" customWidth="1"/>
    <col min="6900" max="7135" width="9" style="88"/>
    <col min="7136" max="7136" width="5.875" style="88" customWidth="1"/>
    <col min="7137" max="7137" width="4.125" style="88" customWidth="1"/>
    <col min="7138" max="7144" width="5.875" style="88" customWidth="1"/>
    <col min="7145" max="7145" width="4.125" style="88" customWidth="1"/>
    <col min="7146" max="7151" width="5.875" style="88" customWidth="1"/>
    <col min="7152" max="7153" width="9" style="88"/>
    <col min="7154" max="7154" width="10.5" style="88" customWidth="1"/>
    <col min="7155" max="7155" width="12.75" style="88" customWidth="1"/>
    <col min="7156" max="7391" width="9" style="88"/>
    <col min="7392" max="7392" width="5.875" style="88" customWidth="1"/>
    <col min="7393" max="7393" width="4.125" style="88" customWidth="1"/>
    <col min="7394" max="7400" width="5.875" style="88" customWidth="1"/>
    <col min="7401" max="7401" width="4.125" style="88" customWidth="1"/>
    <col min="7402" max="7407" width="5.875" style="88" customWidth="1"/>
    <col min="7408" max="7409" width="9" style="88"/>
    <col min="7410" max="7410" width="10.5" style="88" customWidth="1"/>
    <col min="7411" max="7411" width="12.75" style="88" customWidth="1"/>
    <col min="7412" max="7647" width="9" style="88"/>
    <col min="7648" max="7648" width="5.875" style="88" customWidth="1"/>
    <col min="7649" max="7649" width="4.125" style="88" customWidth="1"/>
    <col min="7650" max="7656" width="5.875" style="88" customWidth="1"/>
    <col min="7657" max="7657" width="4.125" style="88" customWidth="1"/>
    <col min="7658" max="7663" width="5.875" style="88" customWidth="1"/>
    <col min="7664" max="7665" width="9" style="88"/>
    <col min="7666" max="7666" width="10.5" style="88" customWidth="1"/>
    <col min="7667" max="7667" width="12.75" style="88" customWidth="1"/>
    <col min="7668" max="7903" width="9" style="88"/>
    <col min="7904" max="7904" width="5.875" style="88" customWidth="1"/>
    <col min="7905" max="7905" width="4.125" style="88" customWidth="1"/>
    <col min="7906" max="7912" width="5.875" style="88" customWidth="1"/>
    <col min="7913" max="7913" width="4.125" style="88" customWidth="1"/>
    <col min="7914" max="7919" width="5.875" style="88" customWidth="1"/>
    <col min="7920" max="7921" width="9" style="88"/>
    <col min="7922" max="7922" width="10.5" style="88" customWidth="1"/>
    <col min="7923" max="7923" width="12.75" style="88" customWidth="1"/>
    <col min="7924" max="8159" width="9" style="88"/>
    <col min="8160" max="8160" width="5.875" style="88" customWidth="1"/>
    <col min="8161" max="8161" width="4.125" style="88" customWidth="1"/>
    <col min="8162" max="8168" width="5.875" style="88" customWidth="1"/>
    <col min="8169" max="8169" width="4.125" style="88" customWidth="1"/>
    <col min="8170" max="8175" width="5.875" style="88" customWidth="1"/>
    <col min="8176" max="8177" width="9" style="88"/>
    <col min="8178" max="8178" width="10.5" style="88" customWidth="1"/>
    <col min="8179" max="8179" width="12.75" style="88" customWidth="1"/>
    <col min="8180" max="8415" width="9" style="88"/>
    <col min="8416" max="8416" width="5.875" style="88" customWidth="1"/>
    <col min="8417" max="8417" width="4.125" style="88" customWidth="1"/>
    <col min="8418" max="8424" width="5.875" style="88" customWidth="1"/>
    <col min="8425" max="8425" width="4.125" style="88" customWidth="1"/>
    <col min="8426" max="8431" width="5.875" style="88" customWidth="1"/>
    <col min="8432" max="8433" width="9" style="88"/>
    <col min="8434" max="8434" width="10.5" style="88" customWidth="1"/>
    <col min="8435" max="8435" width="12.75" style="88" customWidth="1"/>
    <col min="8436" max="8671" width="9" style="88"/>
    <col min="8672" max="8672" width="5.875" style="88" customWidth="1"/>
    <col min="8673" max="8673" width="4.125" style="88" customWidth="1"/>
    <col min="8674" max="8680" width="5.875" style="88" customWidth="1"/>
    <col min="8681" max="8681" width="4.125" style="88" customWidth="1"/>
    <col min="8682" max="8687" width="5.875" style="88" customWidth="1"/>
    <col min="8688" max="8689" width="9" style="88"/>
    <col min="8690" max="8690" width="10.5" style="88" customWidth="1"/>
    <col min="8691" max="8691" width="12.75" style="88" customWidth="1"/>
    <col min="8692" max="8927" width="9" style="88"/>
    <col min="8928" max="8928" width="5.875" style="88" customWidth="1"/>
    <col min="8929" max="8929" width="4.125" style="88" customWidth="1"/>
    <col min="8930" max="8936" width="5.875" style="88" customWidth="1"/>
    <col min="8937" max="8937" width="4.125" style="88" customWidth="1"/>
    <col min="8938" max="8943" width="5.875" style="88" customWidth="1"/>
    <col min="8944" max="8945" width="9" style="88"/>
    <col min="8946" max="8946" width="10.5" style="88" customWidth="1"/>
    <col min="8947" max="8947" width="12.75" style="88" customWidth="1"/>
    <col min="8948" max="9183" width="9" style="88"/>
    <col min="9184" max="9184" width="5.875" style="88" customWidth="1"/>
    <col min="9185" max="9185" width="4.125" style="88" customWidth="1"/>
    <col min="9186" max="9192" width="5.875" style="88" customWidth="1"/>
    <col min="9193" max="9193" width="4.125" style="88" customWidth="1"/>
    <col min="9194" max="9199" width="5.875" style="88" customWidth="1"/>
    <col min="9200" max="9201" width="9" style="88"/>
    <col min="9202" max="9202" width="10.5" style="88" customWidth="1"/>
    <col min="9203" max="9203" width="12.75" style="88" customWidth="1"/>
    <col min="9204" max="9439" width="9" style="88"/>
    <col min="9440" max="9440" width="5.875" style="88" customWidth="1"/>
    <col min="9441" max="9441" width="4.125" style="88" customWidth="1"/>
    <col min="9442" max="9448" width="5.875" style="88" customWidth="1"/>
    <col min="9449" max="9449" width="4.125" style="88" customWidth="1"/>
    <col min="9450" max="9455" width="5.875" style="88" customWidth="1"/>
    <col min="9456" max="9457" width="9" style="88"/>
    <col min="9458" max="9458" width="10.5" style="88" customWidth="1"/>
    <col min="9459" max="9459" width="12.75" style="88" customWidth="1"/>
    <col min="9460" max="9695" width="9" style="88"/>
    <col min="9696" max="9696" width="5.875" style="88" customWidth="1"/>
    <col min="9697" max="9697" width="4.125" style="88" customWidth="1"/>
    <col min="9698" max="9704" width="5.875" style="88" customWidth="1"/>
    <col min="9705" max="9705" width="4.125" style="88" customWidth="1"/>
    <col min="9706" max="9711" width="5.875" style="88" customWidth="1"/>
    <col min="9712" max="9713" width="9" style="88"/>
    <col min="9714" max="9714" width="10.5" style="88" customWidth="1"/>
    <col min="9715" max="9715" width="12.75" style="88" customWidth="1"/>
    <col min="9716" max="9951" width="9" style="88"/>
    <col min="9952" max="9952" width="5.875" style="88" customWidth="1"/>
    <col min="9953" max="9953" width="4.125" style="88" customWidth="1"/>
    <col min="9954" max="9960" width="5.875" style="88" customWidth="1"/>
    <col min="9961" max="9961" width="4.125" style="88" customWidth="1"/>
    <col min="9962" max="9967" width="5.875" style="88" customWidth="1"/>
    <col min="9968" max="9969" width="9" style="88"/>
    <col min="9970" max="9970" width="10.5" style="88" customWidth="1"/>
    <col min="9971" max="9971" width="12.75" style="88" customWidth="1"/>
    <col min="9972" max="10207" width="9" style="88"/>
    <col min="10208" max="10208" width="5.875" style="88" customWidth="1"/>
    <col min="10209" max="10209" width="4.125" style="88" customWidth="1"/>
    <col min="10210" max="10216" width="5.875" style="88" customWidth="1"/>
    <col min="10217" max="10217" width="4.125" style="88" customWidth="1"/>
    <col min="10218" max="10223" width="5.875" style="88" customWidth="1"/>
    <col min="10224" max="10225" width="9" style="88"/>
    <col min="10226" max="10226" width="10.5" style="88" customWidth="1"/>
    <col min="10227" max="10227" width="12.75" style="88" customWidth="1"/>
    <col min="10228" max="10463" width="9" style="88"/>
    <col min="10464" max="10464" width="5.875" style="88" customWidth="1"/>
    <col min="10465" max="10465" width="4.125" style="88" customWidth="1"/>
    <col min="10466" max="10472" width="5.875" style="88" customWidth="1"/>
    <col min="10473" max="10473" width="4.125" style="88" customWidth="1"/>
    <col min="10474" max="10479" width="5.875" style="88" customWidth="1"/>
    <col min="10480" max="10481" width="9" style="88"/>
    <col min="10482" max="10482" width="10.5" style="88" customWidth="1"/>
    <col min="10483" max="10483" width="12.75" style="88" customWidth="1"/>
    <col min="10484" max="10719" width="9" style="88"/>
    <col min="10720" max="10720" width="5.875" style="88" customWidth="1"/>
    <col min="10721" max="10721" width="4.125" style="88" customWidth="1"/>
    <col min="10722" max="10728" width="5.875" style="88" customWidth="1"/>
    <col min="10729" max="10729" width="4.125" style="88" customWidth="1"/>
    <col min="10730" max="10735" width="5.875" style="88" customWidth="1"/>
    <col min="10736" max="10737" width="9" style="88"/>
    <col min="10738" max="10738" width="10.5" style="88" customWidth="1"/>
    <col min="10739" max="10739" width="12.75" style="88" customWidth="1"/>
    <col min="10740" max="10975" width="9" style="88"/>
    <col min="10976" max="10976" width="5.875" style="88" customWidth="1"/>
    <col min="10977" max="10977" width="4.125" style="88" customWidth="1"/>
    <col min="10978" max="10984" width="5.875" style="88" customWidth="1"/>
    <col min="10985" max="10985" width="4.125" style="88" customWidth="1"/>
    <col min="10986" max="10991" width="5.875" style="88" customWidth="1"/>
    <col min="10992" max="10993" width="9" style="88"/>
    <col min="10994" max="10994" width="10.5" style="88" customWidth="1"/>
    <col min="10995" max="10995" width="12.75" style="88" customWidth="1"/>
    <col min="10996" max="11231" width="9" style="88"/>
    <col min="11232" max="11232" width="5.875" style="88" customWidth="1"/>
    <col min="11233" max="11233" width="4.125" style="88" customWidth="1"/>
    <col min="11234" max="11240" width="5.875" style="88" customWidth="1"/>
    <col min="11241" max="11241" width="4.125" style="88" customWidth="1"/>
    <col min="11242" max="11247" width="5.875" style="88" customWidth="1"/>
    <col min="11248" max="11249" width="9" style="88"/>
    <col min="11250" max="11250" width="10.5" style="88" customWidth="1"/>
    <col min="11251" max="11251" width="12.75" style="88" customWidth="1"/>
    <col min="11252" max="11487" width="9" style="88"/>
    <col min="11488" max="11488" width="5.875" style="88" customWidth="1"/>
    <col min="11489" max="11489" width="4.125" style="88" customWidth="1"/>
    <col min="11490" max="11496" width="5.875" style="88" customWidth="1"/>
    <col min="11497" max="11497" width="4.125" style="88" customWidth="1"/>
    <col min="11498" max="11503" width="5.875" style="88" customWidth="1"/>
    <col min="11504" max="11505" width="9" style="88"/>
    <col min="11506" max="11506" width="10.5" style="88" customWidth="1"/>
    <col min="11507" max="11507" width="12.75" style="88" customWidth="1"/>
    <col min="11508" max="11743" width="9" style="88"/>
    <col min="11744" max="11744" width="5.875" style="88" customWidth="1"/>
    <col min="11745" max="11745" width="4.125" style="88" customWidth="1"/>
    <col min="11746" max="11752" width="5.875" style="88" customWidth="1"/>
    <col min="11753" max="11753" width="4.125" style="88" customWidth="1"/>
    <col min="11754" max="11759" width="5.875" style="88" customWidth="1"/>
    <col min="11760" max="11761" width="9" style="88"/>
    <col min="11762" max="11762" width="10.5" style="88" customWidth="1"/>
    <col min="11763" max="11763" width="12.75" style="88" customWidth="1"/>
    <col min="11764" max="11999" width="9" style="88"/>
    <col min="12000" max="12000" width="5.875" style="88" customWidth="1"/>
    <col min="12001" max="12001" width="4.125" style="88" customWidth="1"/>
    <col min="12002" max="12008" width="5.875" style="88" customWidth="1"/>
    <col min="12009" max="12009" width="4.125" style="88" customWidth="1"/>
    <col min="12010" max="12015" width="5.875" style="88" customWidth="1"/>
    <col min="12016" max="12017" width="9" style="88"/>
    <col min="12018" max="12018" width="10.5" style="88" customWidth="1"/>
    <col min="12019" max="12019" width="12.75" style="88" customWidth="1"/>
    <col min="12020" max="12255" width="9" style="88"/>
    <col min="12256" max="12256" width="5.875" style="88" customWidth="1"/>
    <col min="12257" max="12257" width="4.125" style="88" customWidth="1"/>
    <col min="12258" max="12264" width="5.875" style="88" customWidth="1"/>
    <col min="12265" max="12265" width="4.125" style="88" customWidth="1"/>
    <col min="12266" max="12271" width="5.875" style="88" customWidth="1"/>
    <col min="12272" max="12273" width="9" style="88"/>
    <col min="12274" max="12274" width="10.5" style="88" customWidth="1"/>
    <col min="12275" max="12275" width="12.75" style="88" customWidth="1"/>
    <col min="12276" max="12511" width="9" style="88"/>
    <col min="12512" max="12512" width="5.875" style="88" customWidth="1"/>
    <col min="12513" max="12513" width="4.125" style="88" customWidth="1"/>
    <col min="12514" max="12520" width="5.875" style="88" customWidth="1"/>
    <col min="12521" max="12521" width="4.125" style="88" customWidth="1"/>
    <col min="12522" max="12527" width="5.875" style="88" customWidth="1"/>
    <col min="12528" max="12529" width="9" style="88"/>
    <col min="12530" max="12530" width="10.5" style="88" customWidth="1"/>
    <col min="12531" max="12531" width="12.75" style="88" customWidth="1"/>
    <col min="12532" max="12767" width="9" style="88"/>
    <col min="12768" max="12768" width="5.875" style="88" customWidth="1"/>
    <col min="12769" max="12769" width="4.125" style="88" customWidth="1"/>
    <col min="12770" max="12776" width="5.875" style="88" customWidth="1"/>
    <col min="12777" max="12777" width="4.125" style="88" customWidth="1"/>
    <col min="12778" max="12783" width="5.875" style="88" customWidth="1"/>
    <col min="12784" max="12785" width="9" style="88"/>
    <col min="12786" max="12786" width="10.5" style="88" customWidth="1"/>
    <col min="12787" max="12787" width="12.75" style="88" customWidth="1"/>
    <col min="12788" max="13023" width="9" style="88"/>
    <col min="13024" max="13024" width="5.875" style="88" customWidth="1"/>
    <col min="13025" max="13025" width="4.125" style="88" customWidth="1"/>
    <col min="13026" max="13032" width="5.875" style="88" customWidth="1"/>
    <col min="13033" max="13033" width="4.125" style="88" customWidth="1"/>
    <col min="13034" max="13039" width="5.875" style="88" customWidth="1"/>
    <col min="13040" max="13041" width="9" style="88"/>
    <col min="13042" max="13042" width="10.5" style="88" customWidth="1"/>
    <col min="13043" max="13043" width="12.75" style="88" customWidth="1"/>
    <col min="13044" max="13279" width="9" style="88"/>
    <col min="13280" max="13280" width="5.875" style="88" customWidth="1"/>
    <col min="13281" max="13281" width="4.125" style="88" customWidth="1"/>
    <col min="13282" max="13288" width="5.875" style="88" customWidth="1"/>
    <col min="13289" max="13289" width="4.125" style="88" customWidth="1"/>
    <col min="13290" max="13295" width="5.875" style="88" customWidth="1"/>
    <col min="13296" max="13297" width="9" style="88"/>
    <col min="13298" max="13298" width="10.5" style="88" customWidth="1"/>
    <col min="13299" max="13299" width="12.75" style="88" customWidth="1"/>
    <col min="13300" max="13535" width="9" style="88"/>
    <col min="13536" max="13536" width="5.875" style="88" customWidth="1"/>
    <col min="13537" max="13537" width="4.125" style="88" customWidth="1"/>
    <col min="13538" max="13544" width="5.875" style="88" customWidth="1"/>
    <col min="13545" max="13545" width="4.125" style="88" customWidth="1"/>
    <col min="13546" max="13551" width="5.875" style="88" customWidth="1"/>
    <col min="13552" max="13553" width="9" style="88"/>
    <col min="13554" max="13554" width="10.5" style="88" customWidth="1"/>
    <col min="13555" max="13555" width="12.75" style="88" customWidth="1"/>
    <col min="13556" max="13791" width="9" style="88"/>
    <col min="13792" max="13792" width="5.875" style="88" customWidth="1"/>
    <col min="13793" max="13793" width="4.125" style="88" customWidth="1"/>
    <col min="13794" max="13800" width="5.875" style="88" customWidth="1"/>
    <col min="13801" max="13801" width="4.125" style="88" customWidth="1"/>
    <col min="13802" max="13807" width="5.875" style="88" customWidth="1"/>
    <col min="13808" max="13809" width="9" style="88"/>
    <col min="13810" max="13810" width="10.5" style="88" customWidth="1"/>
    <col min="13811" max="13811" width="12.75" style="88" customWidth="1"/>
    <col min="13812" max="14047" width="9" style="88"/>
    <col min="14048" max="14048" width="5.875" style="88" customWidth="1"/>
    <col min="14049" max="14049" width="4.125" style="88" customWidth="1"/>
    <col min="14050" max="14056" width="5.875" style="88" customWidth="1"/>
    <col min="14057" max="14057" width="4.125" style="88" customWidth="1"/>
    <col min="14058" max="14063" width="5.875" style="88" customWidth="1"/>
    <col min="14064" max="14065" width="9" style="88"/>
    <col min="14066" max="14066" width="10.5" style="88" customWidth="1"/>
    <col min="14067" max="14067" width="12.75" style="88" customWidth="1"/>
    <col min="14068" max="14303" width="9" style="88"/>
    <col min="14304" max="14304" width="5.875" style="88" customWidth="1"/>
    <col min="14305" max="14305" width="4.125" style="88" customWidth="1"/>
    <col min="14306" max="14312" width="5.875" style="88" customWidth="1"/>
    <col min="14313" max="14313" width="4.125" style="88" customWidth="1"/>
    <col min="14314" max="14319" width="5.875" style="88" customWidth="1"/>
    <col min="14320" max="14321" width="9" style="88"/>
    <col min="14322" max="14322" width="10.5" style="88" customWidth="1"/>
    <col min="14323" max="14323" width="12.75" style="88" customWidth="1"/>
    <col min="14324" max="14559" width="9" style="88"/>
    <col min="14560" max="14560" width="5.875" style="88" customWidth="1"/>
    <col min="14561" max="14561" width="4.125" style="88" customWidth="1"/>
    <col min="14562" max="14568" width="5.875" style="88" customWidth="1"/>
    <col min="14569" max="14569" width="4.125" style="88" customWidth="1"/>
    <col min="14570" max="14575" width="5.875" style="88" customWidth="1"/>
    <col min="14576" max="14577" width="9" style="88"/>
    <col min="14578" max="14578" width="10.5" style="88" customWidth="1"/>
    <col min="14579" max="14579" width="12.75" style="88" customWidth="1"/>
    <col min="14580" max="14815" width="9" style="88"/>
    <col min="14816" max="14816" width="5.875" style="88" customWidth="1"/>
    <col min="14817" max="14817" width="4.125" style="88" customWidth="1"/>
    <col min="14818" max="14824" width="5.875" style="88" customWidth="1"/>
    <col min="14825" max="14825" width="4.125" style="88" customWidth="1"/>
    <col min="14826" max="14831" width="5.875" style="88" customWidth="1"/>
    <col min="14832" max="14833" width="9" style="88"/>
    <col min="14834" max="14834" width="10.5" style="88" customWidth="1"/>
    <col min="14835" max="14835" width="12.75" style="88" customWidth="1"/>
    <col min="14836" max="15071" width="9" style="88"/>
    <col min="15072" max="15072" width="5.875" style="88" customWidth="1"/>
    <col min="15073" max="15073" width="4.125" style="88" customWidth="1"/>
    <col min="15074" max="15080" width="5.875" style="88" customWidth="1"/>
    <col min="15081" max="15081" width="4.125" style="88" customWidth="1"/>
    <col min="15082" max="15087" width="5.875" style="88" customWidth="1"/>
    <col min="15088" max="15089" width="9" style="88"/>
    <col min="15090" max="15090" width="10.5" style="88" customWidth="1"/>
    <col min="15091" max="15091" width="12.75" style="88" customWidth="1"/>
    <col min="15092" max="15327" width="9" style="88"/>
    <col min="15328" max="15328" width="5.875" style="88" customWidth="1"/>
    <col min="15329" max="15329" width="4.125" style="88" customWidth="1"/>
    <col min="15330" max="15336" width="5.875" style="88" customWidth="1"/>
    <col min="15337" max="15337" width="4.125" style="88" customWidth="1"/>
    <col min="15338" max="15343" width="5.875" style="88" customWidth="1"/>
    <col min="15344" max="15345" width="9" style="88"/>
    <col min="15346" max="15346" width="10.5" style="88" customWidth="1"/>
    <col min="15347" max="15347" width="12.75" style="88" customWidth="1"/>
    <col min="15348" max="15583" width="9" style="88"/>
    <col min="15584" max="15584" width="5.875" style="88" customWidth="1"/>
    <col min="15585" max="15585" width="4.125" style="88" customWidth="1"/>
    <col min="15586" max="15592" width="5.875" style="88" customWidth="1"/>
    <col min="15593" max="15593" width="4.125" style="88" customWidth="1"/>
    <col min="15594" max="15599" width="5.875" style="88" customWidth="1"/>
    <col min="15600" max="15601" width="9" style="88"/>
    <col min="15602" max="15602" width="10.5" style="88" customWidth="1"/>
    <col min="15603" max="15603" width="12.75" style="88" customWidth="1"/>
    <col min="15604" max="15839" width="9" style="88"/>
    <col min="15840" max="15840" width="5.875" style="88" customWidth="1"/>
    <col min="15841" max="15841" width="4.125" style="88" customWidth="1"/>
    <col min="15842" max="15848" width="5.875" style="88" customWidth="1"/>
    <col min="15849" max="15849" width="4.125" style="88" customWidth="1"/>
    <col min="15850" max="15855" width="5.875" style="88" customWidth="1"/>
    <col min="15856" max="15857" width="9" style="88"/>
    <col min="15858" max="15858" width="10.5" style="88" customWidth="1"/>
    <col min="15859" max="15859" width="12.75" style="88" customWidth="1"/>
    <col min="15860" max="16095" width="9" style="88"/>
    <col min="16096" max="16096" width="5.875" style="88" customWidth="1"/>
    <col min="16097" max="16097" width="4.125" style="88" customWidth="1"/>
    <col min="16098" max="16104" width="5.875" style="88" customWidth="1"/>
    <col min="16105" max="16105" width="4.125" style="88" customWidth="1"/>
    <col min="16106" max="16111" width="5.875" style="88" customWidth="1"/>
    <col min="16112" max="16113" width="9" style="88"/>
    <col min="16114" max="16114" width="10.5" style="88" customWidth="1"/>
    <col min="16115" max="16115" width="12.75" style="88" customWidth="1"/>
    <col min="16116" max="16384" width="9" style="88"/>
  </cols>
  <sheetData>
    <row r="1" spans="1:16" ht="14.25" customHeight="1" x14ac:dyDescent="0.15">
      <c r="A1" s="85"/>
      <c r="B1" s="86"/>
      <c r="C1" s="87"/>
      <c r="D1" s="87"/>
      <c r="E1" s="87"/>
      <c r="F1" s="87"/>
      <c r="G1" s="87"/>
      <c r="H1" s="87"/>
      <c r="I1" s="86"/>
      <c r="J1" s="86"/>
      <c r="K1" s="87"/>
      <c r="L1" s="87"/>
      <c r="M1" s="87"/>
      <c r="N1" s="87"/>
      <c r="O1" s="87"/>
      <c r="P1" s="87"/>
    </row>
    <row r="2" spans="1:16" ht="14.25" customHeight="1" x14ac:dyDescent="0.15">
      <c r="A2" s="85"/>
      <c r="B2" s="86"/>
      <c r="C2" s="87"/>
      <c r="D2" s="87"/>
      <c r="E2" s="87"/>
      <c r="F2" s="87"/>
      <c r="G2" s="87"/>
      <c r="H2" s="87"/>
      <c r="I2" s="86"/>
      <c r="J2" s="86"/>
      <c r="K2" s="87"/>
      <c r="L2" s="87"/>
      <c r="M2" s="87"/>
      <c r="N2" s="87"/>
      <c r="O2" s="87"/>
      <c r="P2" s="87"/>
    </row>
    <row r="3" spans="1:16" ht="14.25" customHeight="1" x14ac:dyDescent="0.15">
      <c r="A3" s="89"/>
      <c r="B3" s="90"/>
      <c r="C3" s="87"/>
      <c r="D3" s="87"/>
      <c r="E3" s="87"/>
      <c r="F3" s="87"/>
      <c r="G3" s="87"/>
      <c r="H3" s="87"/>
      <c r="I3" s="86"/>
      <c r="J3" s="86"/>
      <c r="K3" s="87"/>
      <c r="L3" s="87"/>
      <c r="M3" s="87"/>
      <c r="N3" s="87"/>
      <c r="O3" s="87"/>
      <c r="P3" s="87"/>
    </row>
    <row r="4" spans="1:16" ht="14.25" customHeight="1" x14ac:dyDescent="0.15">
      <c r="A4" s="112" t="s">
        <v>0</v>
      </c>
      <c r="B4" s="113"/>
      <c r="C4" s="113"/>
      <c r="D4" s="114"/>
      <c r="E4" s="118" t="s">
        <v>6627</v>
      </c>
      <c r="F4" s="119"/>
      <c r="G4" s="120"/>
      <c r="H4" s="112" t="s">
        <v>6628</v>
      </c>
      <c r="I4" s="114"/>
      <c r="J4" s="112" t="s">
        <v>1</v>
      </c>
      <c r="K4" s="113"/>
      <c r="L4" s="114"/>
      <c r="M4" s="118" t="s">
        <v>6636</v>
      </c>
      <c r="N4" s="119"/>
      <c r="O4" s="119"/>
      <c r="P4" s="120"/>
    </row>
    <row r="5" spans="1:16" ht="14.25" customHeight="1" x14ac:dyDescent="0.15">
      <c r="A5" s="112" t="s">
        <v>2</v>
      </c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  <c r="N5" s="113"/>
      <c r="O5" s="113"/>
      <c r="P5" s="114"/>
    </row>
    <row r="6" spans="1:16" ht="14.25" customHeight="1" x14ac:dyDescent="0.15">
      <c r="A6" s="112" t="s">
        <v>3</v>
      </c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4"/>
    </row>
    <row r="7" spans="1:16" ht="14.25" customHeight="1" x14ac:dyDescent="0.15">
      <c r="A7" s="91"/>
      <c r="B7" s="92"/>
      <c r="C7" s="115" t="s">
        <v>4</v>
      </c>
      <c r="D7" s="121"/>
      <c r="E7" s="122" t="s">
        <v>5</v>
      </c>
      <c r="F7" s="121"/>
      <c r="G7" s="122" t="s">
        <v>6</v>
      </c>
      <c r="H7" s="121"/>
      <c r="I7" s="92"/>
      <c r="J7" s="92"/>
      <c r="K7" s="115" t="s">
        <v>4</v>
      </c>
      <c r="L7" s="121"/>
      <c r="M7" s="122" t="s">
        <v>5</v>
      </c>
      <c r="N7" s="121"/>
      <c r="O7" s="122" t="s">
        <v>6</v>
      </c>
      <c r="P7" s="121"/>
    </row>
    <row r="8" spans="1:16" ht="14.25" customHeight="1" x14ac:dyDescent="0.15">
      <c r="A8" s="93" t="s">
        <v>7</v>
      </c>
      <c r="B8" s="94" t="s">
        <v>8</v>
      </c>
      <c r="C8" s="95" t="s">
        <v>9</v>
      </c>
      <c r="D8" s="95" t="s">
        <v>10</v>
      </c>
      <c r="E8" s="95" t="s">
        <v>9</v>
      </c>
      <c r="F8" s="95" t="s">
        <v>10</v>
      </c>
      <c r="G8" s="95" t="s">
        <v>9</v>
      </c>
      <c r="H8" s="95" t="s">
        <v>10</v>
      </c>
      <c r="I8" s="94" t="s">
        <v>7</v>
      </c>
      <c r="J8" s="94" t="s">
        <v>8</v>
      </c>
      <c r="K8" s="95" t="s">
        <v>9</v>
      </c>
      <c r="L8" s="95" t="s">
        <v>10</v>
      </c>
      <c r="M8" s="95" t="s">
        <v>9</v>
      </c>
      <c r="N8" s="95" t="s">
        <v>10</v>
      </c>
      <c r="O8" s="95" t="s">
        <v>9</v>
      </c>
      <c r="P8" s="95" t="s">
        <v>10</v>
      </c>
    </row>
    <row r="9" spans="1:16" ht="14.25" customHeight="1" x14ac:dyDescent="0.15">
      <c r="A9" s="96">
        <f>取日</f>
        <v>44593</v>
      </c>
      <c r="B9" s="97">
        <f>取星</f>
        <v>3</v>
      </c>
      <c r="C9" s="98"/>
      <c r="D9" s="98" t="s">
        <v>12</v>
      </c>
      <c r="E9" s="98" t="s">
        <v>12</v>
      </c>
      <c r="F9" s="98" t="s">
        <v>12</v>
      </c>
      <c r="G9" s="98" t="s">
        <v>12</v>
      </c>
      <c r="H9" s="98" t="s">
        <v>12</v>
      </c>
      <c r="I9" s="96">
        <f>后半</f>
        <v>44609</v>
      </c>
      <c r="J9" s="97">
        <f>取星</f>
        <v>5</v>
      </c>
      <c r="K9" s="98" t="s">
        <v>6630</v>
      </c>
      <c r="L9" s="98"/>
      <c r="M9" s="98"/>
      <c r="N9" s="98"/>
      <c r="O9" s="98"/>
      <c r="P9" s="98" t="s">
        <v>6261</v>
      </c>
    </row>
    <row r="10" spans="1:16" ht="14.25" customHeight="1" x14ac:dyDescent="0.15">
      <c r="A10" s="96">
        <f t="shared" ref="A10:A24" si="0">序列</f>
        <v>44594</v>
      </c>
      <c r="B10" s="97">
        <f>取星</f>
        <v>4</v>
      </c>
      <c r="C10" s="98"/>
      <c r="D10" s="98" t="s">
        <v>12</v>
      </c>
      <c r="E10" s="98" t="s">
        <v>12</v>
      </c>
      <c r="F10" s="98" t="s">
        <v>12</v>
      </c>
      <c r="G10" s="98" t="s">
        <v>12</v>
      </c>
      <c r="H10" s="98" t="s">
        <v>12</v>
      </c>
      <c r="I10" s="96">
        <f t="shared" ref="I10:I20" si="1">序列</f>
        <v>44610</v>
      </c>
      <c r="J10" s="97">
        <f>取星</f>
        <v>6</v>
      </c>
      <c r="K10" s="98" t="s">
        <v>6149</v>
      </c>
      <c r="L10" s="98"/>
      <c r="M10" s="98"/>
      <c r="N10" s="98"/>
      <c r="O10" s="98"/>
      <c r="P10" s="98" t="s">
        <v>6514</v>
      </c>
    </row>
    <row r="11" spans="1:16" ht="14.25" customHeight="1" x14ac:dyDescent="0.15">
      <c r="A11" s="96">
        <f t="shared" si="0"/>
        <v>44595</v>
      </c>
      <c r="B11" s="97">
        <f>取星</f>
        <v>5</v>
      </c>
      <c r="C11" s="98" t="s">
        <v>12</v>
      </c>
      <c r="D11" s="98" t="s">
        <v>12</v>
      </c>
      <c r="E11" s="98" t="s">
        <v>12</v>
      </c>
      <c r="F11" s="98" t="s">
        <v>12</v>
      </c>
      <c r="G11" s="98" t="s">
        <v>12</v>
      </c>
      <c r="H11" s="98" t="s">
        <v>12</v>
      </c>
      <c r="I11" s="96">
        <f t="shared" si="1"/>
        <v>44611</v>
      </c>
      <c r="J11" s="97">
        <f>取星</f>
        <v>7</v>
      </c>
      <c r="K11" s="98" t="s">
        <v>6131</v>
      </c>
      <c r="L11" s="98"/>
      <c r="M11" s="98"/>
      <c r="N11" s="98"/>
      <c r="O11" s="98"/>
      <c r="P11" s="98" t="s">
        <v>6391</v>
      </c>
    </row>
    <row r="12" spans="1:16" ht="14.25" customHeight="1" x14ac:dyDescent="0.15">
      <c r="A12" s="96">
        <f t="shared" si="0"/>
        <v>44596</v>
      </c>
      <c r="B12" s="97">
        <f>取星</f>
        <v>6</v>
      </c>
      <c r="C12" s="98"/>
      <c r="D12" s="98"/>
      <c r="E12" s="98"/>
      <c r="F12" s="98"/>
      <c r="G12" s="98"/>
      <c r="H12" s="98"/>
      <c r="I12" s="96">
        <f t="shared" si="1"/>
        <v>44612</v>
      </c>
      <c r="J12" s="97">
        <f>取星</f>
        <v>1</v>
      </c>
      <c r="K12" s="98" t="s">
        <v>6152</v>
      </c>
      <c r="L12" s="98"/>
      <c r="M12" s="98"/>
      <c r="N12" s="98"/>
      <c r="O12" s="98"/>
      <c r="P12" s="98" t="s">
        <v>6631</v>
      </c>
    </row>
    <row r="13" spans="1:16" ht="14.25" customHeight="1" x14ac:dyDescent="0.15">
      <c r="A13" s="96">
        <f t="shared" si="0"/>
        <v>44597</v>
      </c>
      <c r="B13" s="97">
        <f>取星</f>
        <v>7</v>
      </c>
      <c r="C13" s="98"/>
      <c r="D13" s="98"/>
      <c r="E13" s="98"/>
      <c r="F13" s="98"/>
      <c r="G13" s="98"/>
      <c r="H13" s="98"/>
      <c r="I13" s="96">
        <f t="shared" si="1"/>
        <v>44613</v>
      </c>
      <c r="J13" s="97">
        <f>取星</f>
        <v>2</v>
      </c>
      <c r="K13" s="98"/>
      <c r="L13" s="98"/>
      <c r="M13" s="98"/>
      <c r="N13" s="98"/>
      <c r="O13" s="98"/>
      <c r="P13" s="98"/>
    </row>
    <row r="14" spans="1:16" ht="14.25" customHeight="1" x14ac:dyDescent="0.15">
      <c r="A14" s="96">
        <f t="shared" si="0"/>
        <v>44598</v>
      </c>
      <c r="B14" s="97">
        <f>取星</f>
        <v>1</v>
      </c>
      <c r="C14" s="98"/>
      <c r="D14" s="98"/>
      <c r="E14" s="98"/>
      <c r="F14" s="98"/>
      <c r="G14" s="98"/>
      <c r="H14" s="98"/>
      <c r="I14" s="96">
        <f t="shared" si="1"/>
        <v>44614</v>
      </c>
      <c r="J14" s="97">
        <f>取星</f>
        <v>3</v>
      </c>
      <c r="K14" s="98"/>
      <c r="L14" s="98"/>
      <c r="M14" s="98"/>
      <c r="N14" s="98"/>
      <c r="O14" s="98"/>
      <c r="P14" s="98"/>
    </row>
    <row r="15" spans="1:16" ht="14.25" customHeight="1" x14ac:dyDescent="0.15">
      <c r="A15" s="96">
        <f t="shared" si="0"/>
        <v>44599</v>
      </c>
      <c r="B15" s="97">
        <f>取星</f>
        <v>2</v>
      </c>
      <c r="C15" s="98"/>
      <c r="D15" s="98"/>
      <c r="E15" s="98"/>
      <c r="F15" s="98"/>
      <c r="G15" s="98"/>
      <c r="H15" s="98"/>
      <c r="I15" s="96">
        <f t="shared" si="1"/>
        <v>44615</v>
      </c>
      <c r="J15" s="97">
        <f>取星</f>
        <v>4</v>
      </c>
      <c r="K15" s="98"/>
      <c r="L15" s="98"/>
      <c r="M15" s="98"/>
      <c r="N15" s="98"/>
      <c r="O15" s="98"/>
      <c r="P15" s="98"/>
    </row>
    <row r="16" spans="1:16" ht="14.25" customHeight="1" x14ac:dyDescent="0.15">
      <c r="A16" s="96">
        <f t="shared" si="0"/>
        <v>44600</v>
      </c>
      <c r="B16" s="97">
        <f>取星</f>
        <v>3</v>
      </c>
      <c r="C16" s="98"/>
      <c r="D16" s="98"/>
      <c r="E16" s="98"/>
      <c r="F16" s="98"/>
      <c r="G16" s="98"/>
      <c r="H16" s="98"/>
      <c r="I16" s="96">
        <f t="shared" si="1"/>
        <v>44616</v>
      </c>
      <c r="J16" s="97">
        <f>取星</f>
        <v>5</v>
      </c>
      <c r="K16" s="98"/>
      <c r="L16" s="98"/>
      <c r="M16" s="98"/>
      <c r="N16" s="98"/>
      <c r="O16" s="98"/>
      <c r="P16" s="98"/>
    </row>
    <row r="17" spans="1:16" ht="14.25" customHeight="1" x14ac:dyDescent="0.15">
      <c r="A17" s="96">
        <f t="shared" si="0"/>
        <v>44601</v>
      </c>
      <c r="B17" s="97">
        <f>取星</f>
        <v>4</v>
      </c>
      <c r="C17" s="98"/>
      <c r="D17" s="98"/>
      <c r="E17" s="98"/>
      <c r="F17" s="98"/>
      <c r="G17" s="98"/>
      <c r="H17" s="98"/>
      <c r="I17" s="96">
        <f t="shared" si="1"/>
        <v>44617</v>
      </c>
      <c r="J17" s="97">
        <f>取星</f>
        <v>6</v>
      </c>
      <c r="K17" s="98"/>
      <c r="L17" s="98"/>
      <c r="M17" s="98"/>
      <c r="N17" s="98"/>
      <c r="O17" s="98"/>
      <c r="P17" s="98"/>
    </row>
    <row r="18" spans="1:16" ht="14.25" customHeight="1" x14ac:dyDescent="0.15">
      <c r="A18" s="96">
        <f t="shared" si="0"/>
        <v>44602</v>
      </c>
      <c r="B18" s="97">
        <f>取星</f>
        <v>5</v>
      </c>
      <c r="C18" s="98"/>
      <c r="D18" s="98"/>
      <c r="E18" s="98"/>
      <c r="F18" s="98"/>
      <c r="G18" s="98"/>
      <c r="H18" s="98"/>
      <c r="I18" s="96">
        <f t="shared" si="1"/>
        <v>44618</v>
      </c>
      <c r="J18" s="97">
        <f>取星</f>
        <v>7</v>
      </c>
      <c r="K18" s="98"/>
      <c r="L18" s="98"/>
      <c r="M18" s="98"/>
      <c r="N18" s="98"/>
      <c r="O18" s="98"/>
      <c r="P18" s="98"/>
    </row>
    <row r="19" spans="1:16" ht="14.25" customHeight="1" x14ac:dyDescent="0.15">
      <c r="A19" s="96">
        <f t="shared" si="0"/>
        <v>44603</v>
      </c>
      <c r="B19" s="97">
        <f>取星</f>
        <v>6</v>
      </c>
      <c r="C19" s="98"/>
      <c r="D19" s="98"/>
      <c r="E19" s="98"/>
      <c r="F19" s="98"/>
      <c r="G19" s="98"/>
      <c r="H19" s="98"/>
      <c r="I19" s="96">
        <f t="shared" si="1"/>
        <v>44619</v>
      </c>
      <c r="J19" s="97">
        <f>取星</f>
        <v>1</v>
      </c>
      <c r="K19" s="98"/>
      <c r="L19" s="98"/>
      <c r="M19" s="98"/>
      <c r="N19" s="98"/>
      <c r="O19" s="98"/>
      <c r="P19" s="98"/>
    </row>
    <row r="20" spans="1:16" ht="14.25" customHeight="1" x14ac:dyDescent="0.15">
      <c r="A20" s="96">
        <f t="shared" si="0"/>
        <v>44604</v>
      </c>
      <c r="B20" s="97">
        <f>取星</f>
        <v>7</v>
      </c>
      <c r="C20" s="98"/>
      <c r="D20" s="98"/>
      <c r="E20" s="98"/>
      <c r="F20" s="98"/>
      <c r="G20" s="98"/>
      <c r="H20" s="98"/>
      <c r="I20" s="96">
        <f t="shared" si="1"/>
        <v>44620</v>
      </c>
      <c r="J20" s="97">
        <f>取星</f>
        <v>2</v>
      </c>
      <c r="K20" s="98"/>
      <c r="L20" s="98"/>
      <c r="M20" s="98"/>
      <c r="N20" s="98"/>
      <c r="O20" s="98"/>
      <c r="P20" s="98"/>
    </row>
    <row r="21" spans="1:16" ht="14.25" customHeight="1" x14ac:dyDescent="0.15">
      <c r="A21" s="96">
        <f t="shared" si="0"/>
        <v>44605</v>
      </c>
      <c r="B21" s="97">
        <f>取星</f>
        <v>1</v>
      </c>
      <c r="C21" s="98"/>
      <c r="D21" s="98"/>
      <c r="E21" s="98"/>
      <c r="F21" s="98"/>
      <c r="G21" s="98"/>
      <c r="H21" s="98"/>
      <c r="I21" s="96" t="str">
        <f>二判</f>
        <v/>
      </c>
      <c r="J21" s="97" t="str">
        <f>取星</f>
        <v/>
      </c>
      <c r="K21" s="98"/>
      <c r="L21" s="98"/>
      <c r="M21" s="98"/>
      <c r="N21" s="98"/>
      <c r="O21" s="98"/>
      <c r="P21" s="98"/>
    </row>
    <row r="22" spans="1:16" ht="14.25" customHeight="1" x14ac:dyDescent="0.15">
      <c r="A22" s="96">
        <f t="shared" si="0"/>
        <v>44606</v>
      </c>
      <c r="B22" s="97">
        <f>取星</f>
        <v>2</v>
      </c>
      <c r="C22" s="98"/>
      <c r="D22" s="98"/>
      <c r="E22" s="98"/>
      <c r="F22" s="98"/>
      <c r="G22" s="98"/>
      <c r="H22" s="98"/>
      <c r="I22" s="96" t="str">
        <f>二判</f>
        <v/>
      </c>
      <c r="J22" s="97" t="str">
        <f>取星</f>
        <v/>
      </c>
      <c r="K22" s="98"/>
      <c r="L22" s="98"/>
      <c r="M22" s="98"/>
      <c r="N22" s="98"/>
      <c r="O22" s="98"/>
      <c r="P22" s="98"/>
    </row>
    <row r="23" spans="1:16" ht="14.25" customHeight="1" x14ac:dyDescent="0.15">
      <c r="A23" s="96">
        <f t="shared" si="0"/>
        <v>44607</v>
      </c>
      <c r="B23" s="97">
        <f>取星</f>
        <v>3</v>
      </c>
      <c r="C23" s="98"/>
      <c r="D23" s="98"/>
      <c r="E23" s="98"/>
      <c r="F23" s="98"/>
      <c r="G23" s="98"/>
      <c r="H23" s="98" t="s">
        <v>6632</v>
      </c>
      <c r="I23" s="96" t="str">
        <f>二判</f>
        <v/>
      </c>
      <c r="J23" s="97" t="str">
        <f>取星</f>
        <v/>
      </c>
      <c r="K23" s="98"/>
      <c r="L23" s="98"/>
      <c r="M23" s="98"/>
      <c r="N23" s="98"/>
      <c r="O23" s="98"/>
      <c r="P23" s="98"/>
    </row>
    <row r="24" spans="1:16" ht="14.25" customHeight="1" x14ac:dyDescent="0.15">
      <c r="A24" s="96">
        <f t="shared" si="0"/>
        <v>44608</v>
      </c>
      <c r="B24" s="97">
        <f>取星</f>
        <v>4</v>
      </c>
      <c r="C24" s="98" t="s">
        <v>6633</v>
      </c>
      <c r="D24" s="98"/>
      <c r="E24" s="98"/>
      <c r="F24" s="98"/>
      <c r="G24" s="98"/>
      <c r="H24" s="98" t="s">
        <v>6632</v>
      </c>
      <c r="I24" s="96" t="str">
        <f>二判</f>
        <v/>
      </c>
      <c r="J24" s="97" t="str">
        <f>取星</f>
        <v/>
      </c>
      <c r="K24" s="99"/>
      <c r="L24" s="99"/>
      <c r="M24" s="99"/>
      <c r="N24" s="99"/>
      <c r="O24" s="99"/>
      <c r="P24" s="99"/>
    </row>
    <row r="25" spans="1:16" ht="14.25" customHeight="1" x14ac:dyDescent="0.15">
      <c r="A25" s="89"/>
      <c r="B25" s="86"/>
      <c r="C25" s="100"/>
      <c r="D25" s="100"/>
      <c r="E25" s="100"/>
      <c r="F25" s="100"/>
      <c r="G25" s="100"/>
      <c r="H25" s="100"/>
      <c r="I25" s="90"/>
      <c r="J25" s="86"/>
      <c r="K25" s="87"/>
      <c r="L25" s="87"/>
      <c r="M25" s="111" t="s">
        <v>19</v>
      </c>
      <c r="N25" s="111"/>
      <c r="O25" s="111"/>
      <c r="P25" s="111"/>
    </row>
    <row r="26" spans="1:16" ht="14.25" customHeight="1" x14ac:dyDescent="0.15">
      <c r="A26" s="85"/>
      <c r="B26" s="86"/>
      <c r="C26" s="87"/>
      <c r="D26" s="87"/>
      <c r="E26" s="87"/>
      <c r="F26" s="87"/>
      <c r="G26" s="87"/>
      <c r="H26" s="87"/>
      <c r="I26" s="86"/>
      <c r="J26" s="86"/>
      <c r="K26" s="87"/>
      <c r="L26" s="87"/>
      <c r="M26" s="87"/>
      <c r="N26" s="87"/>
      <c r="O26" s="87"/>
      <c r="P26" s="87"/>
    </row>
    <row r="27" spans="1:16" ht="14.25" customHeight="1" x14ac:dyDescent="0.15">
      <c r="A27" s="85"/>
      <c r="B27" s="86"/>
      <c r="C27" s="87"/>
      <c r="D27" s="87"/>
      <c r="E27" s="87"/>
      <c r="F27" s="87"/>
      <c r="G27" s="87"/>
      <c r="H27" s="87"/>
      <c r="I27" s="86"/>
      <c r="J27" s="86"/>
      <c r="K27" s="87"/>
      <c r="L27" s="87"/>
      <c r="M27" s="87"/>
      <c r="N27" s="87"/>
      <c r="O27" s="87"/>
      <c r="P27" s="87"/>
    </row>
    <row r="28" spans="1:16" ht="14.25" customHeight="1" x14ac:dyDescent="0.15">
      <c r="A28" s="85"/>
      <c r="B28" s="86"/>
      <c r="C28" s="87"/>
      <c r="D28" s="87"/>
      <c r="E28" s="87"/>
      <c r="F28" s="87"/>
      <c r="G28" s="87"/>
      <c r="H28" s="87"/>
      <c r="I28" s="86"/>
      <c r="J28" s="86"/>
      <c r="K28" s="87"/>
      <c r="L28" s="87"/>
      <c r="M28" s="87"/>
      <c r="N28" s="87"/>
      <c r="O28" s="87"/>
      <c r="P28" s="87"/>
    </row>
    <row r="29" spans="1:16" ht="14.25" customHeight="1" x14ac:dyDescent="0.15">
      <c r="A29" s="112" t="s">
        <v>0</v>
      </c>
      <c r="B29" s="113"/>
      <c r="C29" s="113"/>
      <c r="D29" s="114"/>
      <c r="E29" s="118" t="s">
        <v>6629</v>
      </c>
      <c r="F29" s="119"/>
      <c r="G29" s="120"/>
      <c r="H29" s="112" t="s">
        <v>6625</v>
      </c>
      <c r="I29" s="114"/>
      <c r="J29" s="113" t="s">
        <v>6626</v>
      </c>
      <c r="K29" s="113"/>
      <c r="L29" s="114"/>
      <c r="M29" s="112" t="str">
        <f>表期</f>
        <v>日期:22.02.11～22.02.20</v>
      </c>
      <c r="N29" s="113"/>
      <c r="O29" s="113"/>
      <c r="P29" s="114"/>
    </row>
    <row r="30" spans="1:16" ht="14.25" customHeight="1" x14ac:dyDescent="0.15">
      <c r="A30" s="112" t="s">
        <v>2</v>
      </c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  <c r="O30" s="113"/>
      <c r="P30" s="114"/>
    </row>
    <row r="31" spans="1:16" ht="14.25" customHeight="1" x14ac:dyDescent="0.15">
      <c r="A31" s="112" t="s">
        <v>3</v>
      </c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  <c r="O31" s="113"/>
      <c r="P31" s="114"/>
    </row>
    <row r="32" spans="1:16" ht="14.25" customHeight="1" x14ac:dyDescent="0.15">
      <c r="A32" s="91"/>
      <c r="B32" s="92"/>
      <c r="C32" s="115" t="s">
        <v>4</v>
      </c>
      <c r="D32" s="116"/>
      <c r="E32" s="117" t="s">
        <v>5</v>
      </c>
      <c r="F32" s="116"/>
      <c r="G32" s="117" t="s">
        <v>6</v>
      </c>
      <c r="H32" s="116"/>
      <c r="I32" s="92"/>
      <c r="J32" s="92"/>
      <c r="K32" s="115" t="s">
        <v>4</v>
      </c>
      <c r="L32" s="116"/>
      <c r="M32" s="117" t="s">
        <v>5</v>
      </c>
      <c r="N32" s="116"/>
      <c r="O32" s="117" t="s">
        <v>6</v>
      </c>
      <c r="P32" s="116"/>
    </row>
    <row r="33" spans="1:16" ht="14.25" customHeight="1" x14ac:dyDescent="0.15">
      <c r="A33" s="93" t="s">
        <v>7</v>
      </c>
      <c r="B33" s="94" t="s">
        <v>8</v>
      </c>
      <c r="C33" s="95" t="s">
        <v>9</v>
      </c>
      <c r="D33" s="95" t="s">
        <v>10</v>
      </c>
      <c r="E33" s="95" t="s">
        <v>9</v>
      </c>
      <c r="F33" s="95" t="s">
        <v>10</v>
      </c>
      <c r="G33" s="95" t="s">
        <v>9</v>
      </c>
      <c r="H33" s="95" t="s">
        <v>10</v>
      </c>
      <c r="I33" s="94" t="s">
        <v>7</v>
      </c>
      <c r="J33" s="94" t="s">
        <v>8</v>
      </c>
      <c r="K33" s="95" t="s">
        <v>9</v>
      </c>
      <c r="L33" s="95" t="s">
        <v>10</v>
      </c>
      <c r="M33" s="95" t="s">
        <v>9</v>
      </c>
      <c r="N33" s="95" t="s">
        <v>10</v>
      </c>
      <c r="O33" s="95" t="s">
        <v>9</v>
      </c>
      <c r="P33" s="95" t="s">
        <v>10</v>
      </c>
    </row>
    <row r="34" spans="1:16" ht="14.25" customHeight="1" x14ac:dyDescent="0.15">
      <c r="A34" s="96">
        <f>日期</f>
        <v>44593</v>
      </c>
      <c r="B34" s="101">
        <f>日期</f>
        <v>3</v>
      </c>
      <c r="C34" s="98" t="s">
        <v>12</v>
      </c>
      <c r="D34" s="98" t="s">
        <v>12</v>
      </c>
      <c r="E34" s="98" t="s">
        <v>12</v>
      </c>
      <c r="F34" s="98" t="s">
        <v>12</v>
      </c>
      <c r="G34" s="98" t="s">
        <v>12</v>
      </c>
      <c r="H34" s="98" t="s">
        <v>12</v>
      </c>
      <c r="I34" s="96">
        <f>日期</f>
        <v>44609</v>
      </c>
      <c r="J34" s="101">
        <f>日期</f>
        <v>5</v>
      </c>
      <c r="K34" s="98" t="s">
        <v>6630</v>
      </c>
      <c r="L34" s="98"/>
      <c r="M34" s="98"/>
      <c r="N34" s="98"/>
      <c r="O34" s="98"/>
      <c r="P34" s="98" t="s">
        <v>6261</v>
      </c>
    </row>
    <row r="35" spans="1:16" ht="14.25" customHeight="1" x14ac:dyDescent="0.15">
      <c r="A35" s="96">
        <f>日期</f>
        <v>44594</v>
      </c>
      <c r="B35" s="101">
        <f>日期</f>
        <v>4</v>
      </c>
      <c r="C35" s="98" t="s">
        <v>12</v>
      </c>
      <c r="D35" s="98" t="s">
        <v>12</v>
      </c>
      <c r="E35" s="98" t="s">
        <v>12</v>
      </c>
      <c r="F35" s="98" t="s">
        <v>12</v>
      </c>
      <c r="G35" s="98" t="s">
        <v>12</v>
      </c>
      <c r="H35" s="98" t="s">
        <v>12</v>
      </c>
      <c r="I35" s="96">
        <f>日期</f>
        <v>44610</v>
      </c>
      <c r="J35" s="101">
        <f>日期</f>
        <v>6</v>
      </c>
      <c r="K35" s="98" t="s">
        <v>6149</v>
      </c>
      <c r="L35" s="98"/>
      <c r="M35" s="98"/>
      <c r="N35" s="98"/>
      <c r="O35" s="98"/>
      <c r="P35" s="98" t="s">
        <v>6514</v>
      </c>
    </row>
    <row r="36" spans="1:16" ht="14.25" customHeight="1" x14ac:dyDescent="0.15">
      <c r="A36" s="96">
        <f>日期</f>
        <v>44595</v>
      </c>
      <c r="B36" s="101">
        <f>日期</f>
        <v>5</v>
      </c>
      <c r="C36" s="98" t="s">
        <v>12</v>
      </c>
      <c r="D36" s="98" t="s">
        <v>12</v>
      </c>
      <c r="E36" s="98" t="s">
        <v>12</v>
      </c>
      <c r="F36" s="98" t="s">
        <v>12</v>
      </c>
      <c r="G36" s="98" t="s">
        <v>12</v>
      </c>
      <c r="H36" s="98" t="s">
        <v>12</v>
      </c>
      <c r="I36" s="96">
        <f>日期</f>
        <v>44611</v>
      </c>
      <c r="J36" s="101">
        <f>日期</f>
        <v>7</v>
      </c>
      <c r="K36" s="98" t="s">
        <v>6131</v>
      </c>
      <c r="L36" s="98"/>
      <c r="M36" s="98"/>
      <c r="N36" s="98"/>
      <c r="O36" s="98"/>
      <c r="P36" s="98" t="s">
        <v>6391</v>
      </c>
    </row>
    <row r="37" spans="1:16" ht="14.25" customHeight="1" x14ac:dyDescent="0.15">
      <c r="A37" s="96">
        <f>日期</f>
        <v>44596</v>
      </c>
      <c r="B37" s="101">
        <f>日期</f>
        <v>6</v>
      </c>
      <c r="C37" s="98" t="s">
        <v>12</v>
      </c>
      <c r="D37" s="98" t="s">
        <v>12</v>
      </c>
      <c r="E37" s="98" t="s">
        <v>12</v>
      </c>
      <c r="F37" s="98" t="s">
        <v>12</v>
      </c>
      <c r="G37" s="98" t="s">
        <v>12</v>
      </c>
      <c r="H37" s="98" t="s">
        <v>12</v>
      </c>
      <c r="I37" s="96">
        <f>日期</f>
        <v>44612</v>
      </c>
      <c r="J37" s="101">
        <f>日期</f>
        <v>1</v>
      </c>
      <c r="K37" s="98" t="s">
        <v>6152</v>
      </c>
      <c r="L37" s="98"/>
      <c r="M37" s="98"/>
      <c r="N37" s="98"/>
      <c r="O37" s="98"/>
      <c r="P37" s="98" t="s">
        <v>6631</v>
      </c>
    </row>
    <row r="38" spans="1:16" ht="14.25" customHeight="1" x14ac:dyDescent="0.15">
      <c r="A38" s="96">
        <f>日期</f>
        <v>44597</v>
      </c>
      <c r="B38" s="101">
        <f>日期</f>
        <v>7</v>
      </c>
      <c r="C38" s="98"/>
      <c r="D38" s="98"/>
      <c r="E38" s="98"/>
      <c r="F38" s="98"/>
      <c r="G38" s="98"/>
      <c r="H38" s="98"/>
      <c r="I38" s="96">
        <f>日期</f>
        <v>44613</v>
      </c>
      <c r="J38" s="101">
        <f>日期</f>
        <v>2</v>
      </c>
      <c r="K38" s="98"/>
      <c r="L38" s="98"/>
      <c r="M38" s="98"/>
      <c r="N38" s="98"/>
      <c r="O38" s="98"/>
      <c r="P38" s="98"/>
    </row>
    <row r="39" spans="1:16" ht="14.25" customHeight="1" x14ac:dyDescent="0.15">
      <c r="A39" s="96">
        <f>日期</f>
        <v>44598</v>
      </c>
      <c r="B39" s="101">
        <f>日期</f>
        <v>1</v>
      </c>
      <c r="C39" s="98"/>
      <c r="D39" s="98"/>
      <c r="E39" s="98"/>
      <c r="F39" s="98"/>
      <c r="G39" s="98"/>
      <c r="H39" s="98"/>
      <c r="I39" s="96">
        <f>日期</f>
        <v>44614</v>
      </c>
      <c r="J39" s="101">
        <f>日期</f>
        <v>3</v>
      </c>
      <c r="K39" s="98"/>
      <c r="L39" s="98"/>
      <c r="M39" s="98"/>
      <c r="N39" s="98"/>
      <c r="O39" s="98"/>
      <c r="P39" s="98"/>
    </row>
    <row r="40" spans="1:16" ht="14.25" customHeight="1" x14ac:dyDescent="0.15">
      <c r="A40" s="96">
        <f>日期</f>
        <v>44599</v>
      </c>
      <c r="B40" s="101">
        <f>日期</f>
        <v>2</v>
      </c>
      <c r="C40" s="98"/>
      <c r="D40" s="98"/>
      <c r="E40" s="98"/>
      <c r="F40" s="98"/>
      <c r="G40" s="98"/>
      <c r="H40" s="98"/>
      <c r="I40" s="96">
        <f>日期</f>
        <v>44615</v>
      </c>
      <c r="J40" s="101">
        <f>日期</f>
        <v>4</v>
      </c>
      <c r="K40" s="98"/>
      <c r="L40" s="98"/>
      <c r="M40" s="98"/>
      <c r="N40" s="98"/>
      <c r="O40" s="98"/>
      <c r="P40" s="98"/>
    </row>
    <row r="41" spans="1:16" ht="14.25" customHeight="1" x14ac:dyDescent="0.15">
      <c r="A41" s="96">
        <f>日期</f>
        <v>44600</v>
      </c>
      <c r="B41" s="101">
        <f>日期</f>
        <v>3</v>
      </c>
      <c r="C41" s="98"/>
      <c r="D41" s="98"/>
      <c r="E41" s="98"/>
      <c r="F41" s="98"/>
      <c r="G41" s="98"/>
      <c r="H41" s="98"/>
      <c r="I41" s="96">
        <f>日期</f>
        <v>44616</v>
      </c>
      <c r="J41" s="101">
        <f>日期</f>
        <v>5</v>
      </c>
      <c r="K41" s="98"/>
      <c r="L41" s="98"/>
      <c r="M41" s="98"/>
      <c r="N41" s="98"/>
      <c r="O41" s="98"/>
      <c r="P41" s="98"/>
    </row>
    <row r="42" spans="1:16" ht="14.25" customHeight="1" x14ac:dyDescent="0.15">
      <c r="A42" s="96">
        <f>日期</f>
        <v>44601</v>
      </c>
      <c r="B42" s="101">
        <f>日期</f>
        <v>4</v>
      </c>
      <c r="C42" s="98"/>
      <c r="D42" s="98"/>
      <c r="E42" s="98"/>
      <c r="F42" s="98"/>
      <c r="G42" s="98"/>
      <c r="H42" s="98"/>
      <c r="I42" s="96">
        <f>日期</f>
        <v>44617</v>
      </c>
      <c r="J42" s="101">
        <f>日期</f>
        <v>6</v>
      </c>
      <c r="K42" s="98"/>
      <c r="L42" s="98"/>
      <c r="M42" s="98"/>
      <c r="N42" s="98"/>
      <c r="O42" s="98"/>
      <c r="P42" s="98"/>
    </row>
    <row r="43" spans="1:16" ht="14.25" customHeight="1" x14ac:dyDescent="0.15">
      <c r="A43" s="96">
        <f>日期</f>
        <v>44602</v>
      </c>
      <c r="B43" s="101">
        <f>日期</f>
        <v>5</v>
      </c>
      <c r="C43" s="98"/>
      <c r="D43" s="98"/>
      <c r="E43" s="98"/>
      <c r="F43" s="98"/>
      <c r="G43" s="98"/>
      <c r="H43" s="98"/>
      <c r="I43" s="96">
        <f>日期</f>
        <v>44618</v>
      </c>
      <c r="J43" s="101">
        <f>日期</f>
        <v>7</v>
      </c>
      <c r="K43" s="98"/>
      <c r="L43" s="98"/>
      <c r="M43" s="98"/>
      <c r="N43" s="98"/>
      <c r="O43" s="98"/>
      <c r="P43" s="98"/>
    </row>
    <row r="44" spans="1:16" ht="14.25" customHeight="1" x14ac:dyDescent="0.15">
      <c r="A44" s="96">
        <f>日期</f>
        <v>44603</v>
      </c>
      <c r="B44" s="101">
        <f>日期</f>
        <v>6</v>
      </c>
      <c r="C44" s="98"/>
      <c r="D44" s="98"/>
      <c r="E44" s="98"/>
      <c r="F44" s="98"/>
      <c r="G44" s="98"/>
      <c r="H44" s="98"/>
      <c r="I44" s="96">
        <f>日期</f>
        <v>44619</v>
      </c>
      <c r="J44" s="101">
        <f>日期</f>
        <v>1</v>
      </c>
      <c r="K44" s="98"/>
      <c r="L44" s="98"/>
      <c r="M44" s="98"/>
      <c r="N44" s="98"/>
      <c r="O44" s="98"/>
      <c r="P44" s="98"/>
    </row>
    <row r="45" spans="1:16" ht="14.25" customHeight="1" x14ac:dyDescent="0.15">
      <c r="A45" s="96">
        <f>日期</f>
        <v>44604</v>
      </c>
      <c r="B45" s="101">
        <f>日期</f>
        <v>7</v>
      </c>
      <c r="C45" s="98"/>
      <c r="D45" s="98"/>
      <c r="E45" s="98"/>
      <c r="F45" s="98"/>
      <c r="G45" s="98"/>
      <c r="H45" s="98"/>
      <c r="I45" s="96">
        <f>日期</f>
        <v>44620</v>
      </c>
      <c r="J45" s="101">
        <f>日期</f>
        <v>2</v>
      </c>
      <c r="K45" s="98"/>
      <c r="L45" s="98"/>
      <c r="M45" s="98"/>
      <c r="N45" s="98"/>
      <c r="O45" s="98"/>
      <c r="P45" s="98"/>
    </row>
    <row r="46" spans="1:16" ht="14.25" customHeight="1" x14ac:dyDescent="0.15">
      <c r="A46" s="96">
        <f>日期</f>
        <v>44605</v>
      </c>
      <c r="B46" s="101">
        <f>日期</f>
        <v>1</v>
      </c>
      <c r="C46" s="98"/>
      <c r="D46" s="98"/>
      <c r="E46" s="98"/>
      <c r="F46" s="98"/>
      <c r="G46" s="98"/>
      <c r="H46" s="98"/>
      <c r="I46" s="96" t="str">
        <f>日期</f>
        <v/>
      </c>
      <c r="J46" s="101" t="str">
        <f>日期</f>
        <v/>
      </c>
      <c r="K46" s="98"/>
      <c r="L46" s="98"/>
      <c r="M46" s="98"/>
      <c r="N46" s="98"/>
      <c r="O46" s="98"/>
      <c r="P46" s="98"/>
    </row>
    <row r="47" spans="1:16" ht="14.25" customHeight="1" x14ac:dyDescent="0.15">
      <c r="A47" s="96">
        <f>日期</f>
        <v>44606</v>
      </c>
      <c r="B47" s="101">
        <f>日期</f>
        <v>2</v>
      </c>
      <c r="C47" s="98"/>
      <c r="D47" s="98"/>
      <c r="E47" s="98"/>
      <c r="F47" s="98"/>
      <c r="G47" s="98"/>
      <c r="H47" s="98"/>
      <c r="I47" s="96" t="str">
        <f>日期</f>
        <v/>
      </c>
      <c r="J47" s="101" t="str">
        <f>日期</f>
        <v/>
      </c>
      <c r="K47" s="98"/>
      <c r="L47" s="98"/>
      <c r="M47" s="98"/>
      <c r="N47" s="98"/>
      <c r="O47" s="98"/>
      <c r="P47" s="98"/>
    </row>
    <row r="48" spans="1:16" ht="14.25" customHeight="1" x14ac:dyDescent="0.15">
      <c r="A48" s="96">
        <f>日期</f>
        <v>44607</v>
      </c>
      <c r="B48" s="101">
        <f>日期</f>
        <v>3</v>
      </c>
      <c r="C48" s="98"/>
      <c r="D48" s="98"/>
      <c r="E48" s="98"/>
      <c r="F48" s="98"/>
      <c r="G48" s="98"/>
      <c r="H48" s="98" t="s">
        <v>6632</v>
      </c>
      <c r="I48" s="96" t="str">
        <f>日期</f>
        <v/>
      </c>
      <c r="J48" s="101" t="str">
        <f>日期</f>
        <v/>
      </c>
      <c r="K48" s="98"/>
      <c r="L48" s="98"/>
      <c r="M48" s="98"/>
      <c r="N48" s="98"/>
      <c r="O48" s="98"/>
      <c r="P48" s="98"/>
    </row>
    <row r="49" spans="1:16" ht="14.25" customHeight="1" x14ac:dyDescent="0.15">
      <c r="A49" s="96">
        <f>日期</f>
        <v>44608</v>
      </c>
      <c r="B49" s="101">
        <f>日期</f>
        <v>4</v>
      </c>
      <c r="C49" s="98" t="s">
        <v>6633</v>
      </c>
      <c r="D49" s="98"/>
      <c r="E49" s="98"/>
      <c r="F49" s="98"/>
      <c r="G49" s="98"/>
      <c r="H49" s="98" t="s">
        <v>6632</v>
      </c>
      <c r="I49" s="96" t="str">
        <f>日期</f>
        <v/>
      </c>
      <c r="J49" s="101" t="str">
        <f>日期</f>
        <v/>
      </c>
      <c r="K49" s="99"/>
      <c r="L49" s="99"/>
      <c r="M49" s="99"/>
      <c r="N49" s="99"/>
      <c r="O49" s="99"/>
      <c r="P49" s="99"/>
    </row>
    <row r="50" spans="1:16" ht="14.25" customHeight="1" x14ac:dyDescent="0.15">
      <c r="A50" s="89"/>
      <c r="B50" s="86"/>
      <c r="C50" s="100"/>
      <c r="D50" s="100"/>
      <c r="E50" s="100"/>
      <c r="F50" s="100"/>
      <c r="G50" s="100"/>
      <c r="H50" s="100"/>
      <c r="I50" s="90"/>
      <c r="J50" s="86"/>
      <c r="K50" s="87"/>
      <c r="L50" s="87"/>
      <c r="M50" s="111" t="s">
        <v>19</v>
      </c>
      <c r="N50" s="111"/>
      <c r="O50" s="111"/>
      <c r="P50" s="111"/>
    </row>
    <row r="51" spans="1:16" ht="14.25" customHeight="1" x14ac:dyDescent="0.15">
      <c r="A51" s="85"/>
      <c r="B51" s="86"/>
      <c r="C51" s="87"/>
      <c r="D51" s="87"/>
      <c r="E51" s="87"/>
      <c r="F51" s="87"/>
      <c r="G51" s="87"/>
      <c r="H51" s="87"/>
      <c r="I51" s="86"/>
      <c r="J51" s="86"/>
      <c r="K51" s="87"/>
      <c r="L51" s="87"/>
      <c r="M51" s="87"/>
      <c r="N51" s="87"/>
      <c r="O51" s="87"/>
      <c r="P51" s="87"/>
    </row>
    <row r="52" spans="1:16" ht="14.25" customHeight="1" x14ac:dyDescent="0.15">
      <c r="A52" s="85"/>
      <c r="B52" s="86"/>
      <c r="C52" s="87"/>
      <c r="D52" s="87"/>
      <c r="E52" s="87"/>
      <c r="F52" s="87"/>
      <c r="G52" s="87"/>
      <c r="H52" s="87"/>
      <c r="I52" s="86"/>
      <c r="J52" s="86"/>
      <c r="K52" s="87"/>
      <c r="L52" s="87"/>
      <c r="M52" s="87"/>
      <c r="N52" s="87"/>
      <c r="O52" s="87"/>
      <c r="P52" s="87"/>
    </row>
    <row r="53" spans="1:16" ht="14.25" customHeight="1" x14ac:dyDescent="0.15">
      <c r="A53" s="85"/>
      <c r="B53" s="86"/>
      <c r="C53" s="87"/>
      <c r="D53" s="87"/>
      <c r="E53" s="87"/>
      <c r="F53" s="87"/>
      <c r="G53" s="87"/>
      <c r="H53" s="87"/>
      <c r="I53" s="86"/>
      <c r="J53" s="86"/>
      <c r="K53" s="87"/>
      <c r="L53" s="87"/>
      <c r="M53" s="87"/>
      <c r="N53" s="87"/>
      <c r="O53" s="87"/>
      <c r="P53" s="87"/>
    </row>
  </sheetData>
  <mergeCells count="28">
    <mergeCell ref="A5:P5"/>
    <mergeCell ref="A4:D4"/>
    <mergeCell ref="E4:G4"/>
    <mergeCell ref="H4:I4"/>
    <mergeCell ref="J4:L4"/>
    <mergeCell ref="M4:P4"/>
    <mergeCell ref="A6:P6"/>
    <mergeCell ref="C7:D7"/>
    <mergeCell ref="E7:F7"/>
    <mergeCell ref="G7:H7"/>
    <mergeCell ref="K7:L7"/>
    <mergeCell ref="M7:N7"/>
    <mergeCell ref="O7:P7"/>
    <mergeCell ref="M25:P25"/>
    <mergeCell ref="A29:D29"/>
    <mergeCell ref="E29:G29"/>
    <mergeCell ref="H29:I29"/>
    <mergeCell ref="J29:L29"/>
    <mergeCell ref="M29:P29"/>
    <mergeCell ref="M50:P50"/>
    <mergeCell ref="A30:P30"/>
    <mergeCell ref="A31:P31"/>
    <mergeCell ref="C32:D32"/>
    <mergeCell ref="E32:F32"/>
    <mergeCell ref="G32:H32"/>
    <mergeCell ref="K32:L32"/>
    <mergeCell ref="M32:N32"/>
    <mergeCell ref="O32:P32"/>
  </mergeCells>
  <phoneticPr fontId="1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0"/>
  <sheetViews>
    <sheetView showGridLines="0" tabSelected="1" workbookViewId="0">
      <selection activeCell="I21" sqref="I21"/>
    </sheetView>
  </sheetViews>
  <sheetFormatPr defaultColWidth="9" defaultRowHeight="14.25" x14ac:dyDescent="0.15"/>
  <cols>
    <col min="1" max="3" width="19.375" style="80" customWidth="1"/>
    <col min="4" max="4" width="17.625" style="80" customWidth="1"/>
    <col min="5" max="5" width="9" style="80"/>
    <col min="6" max="6" width="20.125" style="80" customWidth="1"/>
    <col min="7" max="7" width="22.625" style="80" customWidth="1"/>
    <col min="8" max="16384" width="9" style="80"/>
  </cols>
  <sheetData>
    <row r="1" spans="1:6" ht="31.5" customHeight="1" x14ac:dyDescent="0.15">
      <c r="A1" s="81" t="s">
        <v>20</v>
      </c>
      <c r="B1" s="82" t="s">
        <v>21</v>
      </c>
      <c r="C1" s="82" t="s">
        <v>22</v>
      </c>
    </row>
    <row r="2" spans="1:6" ht="30" customHeight="1" x14ac:dyDescent="0.15">
      <c r="A2" s="82" t="s">
        <v>23</v>
      </c>
      <c r="B2" s="83">
        <v>44603</v>
      </c>
      <c r="C2" s="83">
        <v>44612</v>
      </c>
    </row>
    <row r="3" spans="1:6" ht="105.75" customHeight="1" x14ac:dyDescent="0.15"/>
    <row r="5" spans="1:6" x14ac:dyDescent="0.15">
      <c r="A5" s="80" t="s">
        <v>24</v>
      </c>
    </row>
    <row r="6" spans="1:6" x14ac:dyDescent="0.15">
      <c r="A6" s="80" t="s">
        <v>25</v>
      </c>
    </row>
    <row r="7" spans="1:6" x14ac:dyDescent="0.15">
      <c r="A7" s="80" t="s">
        <v>26</v>
      </c>
    </row>
    <row r="9" spans="1:6" ht="15.75" customHeight="1" x14ac:dyDescent="0.15">
      <c r="A9" s="80" t="s">
        <v>27</v>
      </c>
      <c r="B9" s="123" t="s">
        <v>28</v>
      </c>
      <c r="C9" s="123"/>
      <c r="D9" s="123"/>
      <c r="E9" s="123"/>
      <c r="F9" s="123"/>
    </row>
    <row r="10" spans="1:6" ht="56.25" customHeight="1" x14ac:dyDescent="0.15">
      <c r="B10" s="123"/>
      <c r="C10" s="123"/>
      <c r="D10" s="123"/>
      <c r="E10" s="123"/>
      <c r="F10" s="123"/>
    </row>
    <row r="13" spans="1:6" x14ac:dyDescent="0.15">
      <c r="A13" s="84" t="s">
        <v>29</v>
      </c>
      <c r="B13" s="80" t="s">
        <v>30</v>
      </c>
    </row>
    <row r="14" spans="1:6" x14ac:dyDescent="0.15">
      <c r="A14" s="84" t="s">
        <v>31</v>
      </c>
      <c r="B14" s="80" t="s">
        <v>32</v>
      </c>
    </row>
    <row r="15" spans="1:6" x14ac:dyDescent="0.15">
      <c r="B15" s="80" t="s">
        <v>33</v>
      </c>
    </row>
    <row r="16" spans="1:6" x14ac:dyDescent="0.15">
      <c r="A16" s="80">
        <v>1</v>
      </c>
      <c r="B16" s="80" t="s">
        <v>34</v>
      </c>
    </row>
    <row r="17" spans="1:2" x14ac:dyDescent="0.15">
      <c r="A17" s="80">
        <v>2</v>
      </c>
      <c r="B17" s="80" t="s">
        <v>35</v>
      </c>
    </row>
    <row r="18" spans="1:2" x14ac:dyDescent="0.15">
      <c r="A18" s="80">
        <v>3</v>
      </c>
      <c r="B18" s="80" t="s">
        <v>36</v>
      </c>
    </row>
    <row r="19" spans="1:2" x14ac:dyDescent="0.15">
      <c r="A19" s="80">
        <v>4</v>
      </c>
      <c r="B19" s="80" t="s">
        <v>37</v>
      </c>
    </row>
    <row r="20" spans="1:2" x14ac:dyDescent="0.15">
      <c r="A20" s="80">
        <v>5</v>
      </c>
      <c r="B20" s="80" t="s">
        <v>38</v>
      </c>
    </row>
  </sheetData>
  <mergeCells count="1">
    <mergeCell ref="B9:F10"/>
  </mergeCells>
  <phoneticPr fontId="16" type="noConversion"/>
  <pageMargins left="0.7" right="0.7" top="0.75" bottom="0.75" header="0.3" footer="0.3"/>
  <pageSetup paperSize="1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Pict="0" macro="[0]!Sheet2.TransferAttendance_StatusBar">
                <anchor moveWithCells="1" sizeWithCells="1">
                  <from>
                    <xdr:col>0</xdr:col>
                    <xdr:colOff>361950</xdr:colOff>
                    <xdr:row>2</xdr:row>
                    <xdr:rowOff>209550</xdr:rowOff>
                  </from>
                  <to>
                    <xdr:col>0</xdr:col>
                    <xdr:colOff>1438275</xdr:colOff>
                    <xdr:row>2</xdr:row>
                    <xdr:rowOff>933450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Pict="0" macro="[0]!获取工号和部门信息">
                <anchor moveWithCells="1" sizeWithCells="1">
                  <from>
                    <xdr:col>1</xdr:col>
                    <xdr:colOff>276225</xdr:colOff>
                    <xdr:row>2</xdr:row>
                    <xdr:rowOff>200025</xdr:rowOff>
                  </from>
                  <to>
                    <xdr:col>1</xdr:col>
                    <xdr:colOff>1352550</xdr:colOff>
                    <xdr:row>2</xdr:row>
                    <xdr:rowOff>923925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Button 8">
              <controlPr defaultSize="0" print="0" autoPict="0" macro="[0]!Sheet2.CmdBtnSum_Click">
                <anchor moveWithCells="1" sizeWithCells="1">
                  <from>
                    <xdr:col>2</xdr:col>
                    <xdr:colOff>171450</xdr:colOff>
                    <xdr:row>2</xdr:row>
                    <xdr:rowOff>190500</xdr:rowOff>
                  </from>
                  <to>
                    <xdr:col>2</xdr:col>
                    <xdr:colOff>1247775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Button 9">
              <controlPr defaultSize="0" print="0" autoPict="0" macro="[0]!清空考勤清单数据">
                <anchor moveWithCells="1" sizeWithCells="1">
                  <from>
                    <xdr:col>3</xdr:col>
                    <xdr:colOff>171450</xdr:colOff>
                    <xdr:row>2</xdr:row>
                    <xdr:rowOff>190500</xdr:rowOff>
                  </from>
                  <to>
                    <xdr:col>3</xdr:col>
                    <xdr:colOff>1247775</xdr:colOff>
                    <xdr:row>2</xdr:row>
                    <xdr:rowOff>914400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IV21"/>
  <sheetViews>
    <sheetView topLeftCell="F1" zoomScaleNormal="100" workbookViewId="0">
      <pane ySplit="1" topLeftCell="A2" activePane="bottomLeft" state="frozen"/>
      <selection pane="bottomLeft" activeCell="H50" sqref="H50"/>
    </sheetView>
  </sheetViews>
  <sheetFormatPr defaultColWidth="9" defaultRowHeight="12.75" x14ac:dyDescent="0.2"/>
  <cols>
    <col min="1" max="1" width="5.25" style="10" customWidth="1"/>
    <col min="2" max="2" width="5.375" style="10" customWidth="1"/>
    <col min="3" max="3" width="9.375" style="9" customWidth="1"/>
    <col min="4" max="4" width="6.625" style="10" customWidth="1"/>
    <col min="5" max="5" width="10.125" style="1" customWidth="1"/>
    <col min="6" max="6" width="9" style="1"/>
    <col min="7" max="7" width="10.75" style="11" customWidth="1"/>
    <col min="8" max="9" width="8.75" style="12" bestFit="1" customWidth="1"/>
    <col min="10" max="11" width="4.75" style="18" customWidth="1"/>
    <col min="12" max="12" width="7.5" style="18" customWidth="1"/>
    <col min="13" max="14" width="4.75" style="18" customWidth="1"/>
    <col min="15" max="15" width="7.875" style="19" customWidth="1"/>
    <col min="16" max="16" width="7.75" style="19" customWidth="1"/>
    <col min="17" max="17" width="8.5" style="27" customWidth="1"/>
    <col min="18" max="18" width="9.375" style="27" customWidth="1"/>
    <col min="19" max="19" width="8.375" style="28" customWidth="1"/>
    <col min="20" max="20" width="10.875" style="1" bestFit="1" customWidth="1"/>
    <col min="21" max="24" width="9" style="1"/>
    <col min="25" max="25" width="13.25" style="1" customWidth="1"/>
    <col min="26" max="26" width="4.25" style="1" customWidth="1"/>
    <col min="27" max="27" width="15.25" style="1" customWidth="1"/>
    <col min="28" max="16384" width="9" style="1"/>
  </cols>
  <sheetData>
    <row r="1" spans="1:256" ht="42.75" customHeight="1" x14ac:dyDescent="0.2">
      <c r="A1" s="2" t="s">
        <v>39</v>
      </c>
      <c r="B1" s="2" t="s">
        <v>6637</v>
      </c>
      <c r="C1" s="4" t="s">
        <v>41</v>
      </c>
      <c r="D1" s="4" t="s">
        <v>42</v>
      </c>
      <c r="E1" s="4" t="s">
        <v>43</v>
      </c>
      <c r="F1" s="26" t="s">
        <v>4328</v>
      </c>
      <c r="G1" s="106" t="s">
        <v>7</v>
      </c>
      <c r="H1" s="107" t="s">
        <v>6638</v>
      </c>
      <c r="I1" s="107" t="s">
        <v>6639</v>
      </c>
      <c r="J1" s="108" t="s">
        <v>6640</v>
      </c>
      <c r="K1" s="108" t="s">
        <v>6641</v>
      </c>
      <c r="L1" s="15" t="s">
        <v>50</v>
      </c>
      <c r="M1" s="108" t="s">
        <v>6642</v>
      </c>
      <c r="N1" s="15" t="s">
        <v>52</v>
      </c>
      <c r="O1" s="17" t="s">
        <v>6643</v>
      </c>
      <c r="P1" s="17" t="s">
        <v>54</v>
      </c>
      <c r="Q1" s="23" t="s">
        <v>6644</v>
      </c>
      <c r="R1" s="23" t="s">
        <v>56</v>
      </c>
      <c r="S1" s="109" t="s">
        <v>6645</v>
      </c>
      <c r="T1" s="110" t="s">
        <v>6646</v>
      </c>
      <c r="U1" s="110" t="s">
        <v>6647</v>
      </c>
      <c r="V1" s="26" t="s">
        <v>60</v>
      </c>
      <c r="W1" s="26" t="s">
        <v>61</v>
      </c>
      <c r="X1" s="26" t="s">
        <v>62</v>
      </c>
      <c r="Y1" s="110" t="s">
        <v>6648</v>
      </c>
      <c r="Z1" s="30" t="s">
        <v>64</v>
      </c>
      <c r="AA1" s="25"/>
      <c r="AB1" s="25"/>
      <c r="AC1" s="25"/>
      <c r="AD1" s="25"/>
      <c r="AE1" s="25"/>
      <c r="AF1" s="78"/>
      <c r="AG1" s="78"/>
      <c r="AH1" s="5"/>
      <c r="AI1" s="5"/>
      <c r="AJ1" s="5"/>
      <c r="AK1" s="79"/>
      <c r="AL1" s="79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78"/>
      <c r="BA1" s="78"/>
      <c r="BB1" s="5"/>
      <c r="BC1" s="5"/>
      <c r="BD1" s="5"/>
      <c r="BE1" s="79"/>
      <c r="BF1" s="79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78"/>
      <c r="BU1" s="78"/>
      <c r="BV1" s="5"/>
      <c r="BW1" s="5"/>
      <c r="BX1" s="5"/>
      <c r="BY1" s="79"/>
      <c r="BZ1" s="79"/>
      <c r="CA1" s="25"/>
      <c r="CB1" s="25"/>
      <c r="CC1" s="25"/>
      <c r="CD1" s="25"/>
      <c r="CE1" s="25"/>
      <c r="CF1" s="25"/>
      <c r="CG1" s="25"/>
      <c r="CH1" s="25"/>
      <c r="CI1" s="25"/>
      <c r="CJ1" s="25"/>
      <c r="CK1" s="25"/>
      <c r="CL1" s="25"/>
      <c r="CM1" s="25"/>
      <c r="CN1" s="78"/>
      <c r="CO1" s="78"/>
      <c r="CP1" s="5"/>
      <c r="CQ1" s="5"/>
      <c r="CR1" s="5"/>
      <c r="CS1" s="79"/>
      <c r="CT1" s="79"/>
      <c r="CU1" s="25"/>
      <c r="CV1" s="25"/>
      <c r="CW1" s="25"/>
      <c r="CX1" s="25"/>
      <c r="CY1" s="25"/>
      <c r="CZ1" s="25"/>
      <c r="DA1" s="25"/>
      <c r="DB1" s="25"/>
      <c r="DC1" s="25"/>
      <c r="DD1" s="25"/>
      <c r="DE1" s="25"/>
      <c r="DF1" s="25"/>
      <c r="DG1" s="25"/>
      <c r="DH1" s="78"/>
      <c r="DI1" s="78"/>
      <c r="DJ1" s="5"/>
      <c r="DK1" s="5"/>
      <c r="DL1" s="5"/>
      <c r="DM1" s="79"/>
      <c r="DN1" s="79"/>
      <c r="DO1" s="25"/>
      <c r="DP1" s="25"/>
      <c r="DQ1" s="25"/>
      <c r="DR1" s="25"/>
      <c r="DS1" s="25"/>
      <c r="DT1" s="25"/>
      <c r="DU1" s="25"/>
      <c r="DV1" s="25"/>
      <c r="DW1" s="25"/>
      <c r="DX1" s="25"/>
      <c r="DY1" s="25"/>
      <c r="DZ1" s="25"/>
      <c r="EA1" s="25"/>
      <c r="EB1" s="78"/>
      <c r="EC1" s="78"/>
      <c r="ED1" s="5"/>
      <c r="EE1" s="5"/>
      <c r="EF1" s="5"/>
      <c r="EG1" s="79"/>
      <c r="EH1" s="79"/>
      <c r="EI1" s="25"/>
      <c r="EJ1" s="25"/>
      <c r="EK1" s="25"/>
      <c r="EL1" s="25"/>
      <c r="EM1" s="25"/>
      <c r="EN1" s="25"/>
      <c r="EO1" s="25"/>
      <c r="EP1" s="25"/>
      <c r="EQ1" s="25"/>
      <c r="ER1" s="25"/>
      <c r="ES1" s="25"/>
      <c r="ET1" s="25"/>
      <c r="EU1" s="25"/>
      <c r="EV1" s="78"/>
      <c r="EW1" s="78"/>
      <c r="EX1" s="5"/>
      <c r="EY1" s="5"/>
      <c r="EZ1" s="5"/>
      <c r="FA1" s="79"/>
      <c r="FB1" s="79"/>
      <c r="FC1" s="25"/>
      <c r="FD1" s="25"/>
      <c r="FE1" s="25"/>
      <c r="FF1" s="25"/>
      <c r="FG1" s="25"/>
      <c r="FH1" s="25"/>
      <c r="FI1" s="25"/>
      <c r="FJ1" s="25"/>
      <c r="FK1" s="25"/>
      <c r="FL1" s="25"/>
      <c r="FM1" s="25"/>
      <c r="FN1" s="25"/>
      <c r="FO1" s="25"/>
      <c r="FP1" s="78"/>
      <c r="FQ1" s="78"/>
      <c r="FR1" s="5"/>
      <c r="FS1" s="5"/>
      <c r="FT1" s="5"/>
      <c r="FU1" s="79"/>
      <c r="FV1" s="79"/>
      <c r="FW1" s="25"/>
      <c r="FX1" s="25"/>
      <c r="FY1" s="25"/>
      <c r="FZ1" s="25"/>
      <c r="GA1" s="25"/>
      <c r="GB1" s="25"/>
      <c r="GC1" s="25"/>
      <c r="GD1" s="25"/>
      <c r="GE1" s="25"/>
      <c r="GF1" s="25"/>
      <c r="GG1" s="25"/>
      <c r="GH1" s="25"/>
      <c r="GI1" s="25"/>
      <c r="GJ1" s="78"/>
      <c r="GK1" s="78"/>
      <c r="GL1" s="5"/>
      <c r="GM1" s="5"/>
      <c r="GN1" s="5"/>
      <c r="GO1" s="79"/>
      <c r="GP1" s="79"/>
      <c r="GQ1" s="25"/>
      <c r="GR1" s="25"/>
      <c r="GS1" s="25"/>
      <c r="GT1" s="25"/>
      <c r="GU1" s="25"/>
      <c r="GV1" s="25"/>
      <c r="GW1" s="25"/>
      <c r="GX1" s="25"/>
      <c r="GY1" s="25"/>
      <c r="GZ1" s="25"/>
      <c r="HA1" s="25"/>
      <c r="HB1" s="25"/>
      <c r="HC1" s="25"/>
      <c r="HD1" s="78"/>
      <c r="HE1" s="78"/>
      <c r="HF1" s="5"/>
      <c r="HG1" s="5"/>
      <c r="HH1" s="5"/>
      <c r="HI1" s="79"/>
      <c r="HJ1" s="79"/>
      <c r="HK1" s="25"/>
      <c r="HL1" s="25"/>
      <c r="HM1" s="25"/>
      <c r="HN1" s="25"/>
      <c r="HO1" s="25"/>
      <c r="HP1" s="25"/>
      <c r="HQ1" s="25"/>
      <c r="HR1" s="25"/>
      <c r="HS1" s="25"/>
      <c r="HT1" s="25"/>
      <c r="HU1" s="25"/>
      <c r="HV1" s="25"/>
      <c r="HW1" s="25"/>
      <c r="HX1" s="78"/>
      <c r="HY1" s="78"/>
      <c r="HZ1" s="5"/>
      <c r="IA1" s="5"/>
      <c r="IB1" s="5"/>
      <c r="IC1" s="79"/>
      <c r="ID1" s="79"/>
      <c r="IE1" s="25"/>
      <c r="IF1" s="25"/>
      <c r="IG1" s="25"/>
      <c r="IH1" s="25"/>
      <c r="II1" s="25"/>
      <c r="IJ1" s="25"/>
      <c r="IK1" s="25"/>
      <c r="IL1" s="25"/>
      <c r="IM1" s="25"/>
      <c r="IN1" s="25"/>
      <c r="IO1" s="25"/>
      <c r="IP1" s="25"/>
      <c r="IQ1" s="25"/>
      <c r="IR1" s="78"/>
      <c r="IS1" s="78"/>
      <c r="IT1" s="5"/>
      <c r="IU1" s="5"/>
      <c r="IV1" s="5"/>
    </row>
    <row r="2" spans="1:256" x14ac:dyDescent="0.2">
      <c r="C2" s="9" t="s">
        <v>3683</v>
      </c>
      <c r="D2" s="10" t="s">
        <v>6634</v>
      </c>
      <c r="E2" s="104" t="s">
        <v>874</v>
      </c>
      <c r="F2" s="1" t="s">
        <v>3233</v>
      </c>
      <c r="G2" s="11">
        <v>44603</v>
      </c>
      <c r="H2" s="12">
        <v>0</v>
      </c>
      <c r="I2" s="12">
        <v>0</v>
      </c>
      <c r="J2" s="18">
        <v>0.33333333333333331</v>
      </c>
      <c r="K2" s="18">
        <v>0.70833333333333337</v>
      </c>
      <c r="L2" s="18">
        <v>4.1666666666666664E-2</v>
      </c>
      <c r="M2" s="18">
        <v>0.72916666666666663</v>
      </c>
      <c r="N2" s="18">
        <v>1.1574074074074073E-5</v>
      </c>
      <c r="O2" s="19">
        <f>IF(OR(H2=0,I2=0),0,(MIN(I2,G2+K2)-MAX(H2,G2+J2)-L2)*24)</f>
        <v>0</v>
      </c>
      <c r="P2" s="19">
        <f>IF(OR(H2=0,I2=0),0,MAX(I2-(G2+M2)-N2,0)*24)</f>
        <v>0</v>
      </c>
      <c r="Q2" s="27">
        <f>INT(O2)+IF((O2-INT(O2))&gt;=0.5,0.5,0)</f>
        <v>0</v>
      </c>
      <c r="R2" s="27">
        <f>IF(OR(E2="机械设计部",E2="工艺规划部",E2="项目工程部",E2="电气自动化部",E2=""),0,INT(ROUND(P2,3))+IF((ROUND(P2,3)-INT(ROUND(P2,3)))&gt;=0.5,0.5,0))</f>
        <v>0</v>
      </c>
      <c r="S2" s="28">
        <f>MAX((H2-(G2+J2))*24*60,0)</f>
        <v>0</v>
      </c>
    </row>
    <row r="3" spans="1:256" x14ac:dyDescent="0.2">
      <c r="C3" s="9" t="s">
        <v>3683</v>
      </c>
      <c r="D3" s="10" t="s">
        <v>6634</v>
      </c>
      <c r="E3" s="104" t="s">
        <v>874</v>
      </c>
      <c r="F3" s="1" t="s">
        <v>3233</v>
      </c>
      <c r="G3" s="11">
        <v>44604</v>
      </c>
      <c r="H3" s="12">
        <v>0</v>
      </c>
      <c r="I3" s="12">
        <v>0</v>
      </c>
      <c r="J3" s="18">
        <v>0.33333333333333331</v>
      </c>
      <c r="K3" s="18">
        <v>0.70833333333333337</v>
      </c>
      <c r="L3" s="18">
        <v>4.1666666666666664E-2</v>
      </c>
      <c r="M3" s="18">
        <v>0.72916666666666663</v>
      </c>
      <c r="N3" s="18">
        <v>1.1574074074074073E-5</v>
      </c>
      <c r="O3" s="19">
        <f>IF(OR(H3=0,I3=0),0,(MIN(I3,G3+K3)-MAX(H3,G3+J3)-L3)*24)</f>
        <v>0</v>
      </c>
      <c r="P3" s="19">
        <f>IF(OR(H3=0,I3=0),0,MAX(I3-(G3+M3)-N3,0)*24)</f>
        <v>0</v>
      </c>
      <c r="Q3" s="27">
        <f>INT(O3)+IF((O3-INT(O3))&gt;=0.5,0.5,0)</f>
        <v>0</v>
      </c>
      <c r="R3" s="27">
        <f>IF(OR(E3="机械设计部",E3="工艺规划部",E3="项目工程部",E3="电气自动化部",E3=""),0,INT(ROUND(P3,3))+IF((ROUND(P3,3)-INT(ROUND(P3,3)))&gt;=0.5,0.5,0))</f>
        <v>0</v>
      </c>
      <c r="S3" s="28">
        <f>MAX((H3-(G3+J3))*24*60,0)</f>
        <v>0</v>
      </c>
    </row>
    <row r="4" spans="1:256" x14ac:dyDescent="0.2">
      <c r="C4" s="9" t="s">
        <v>3683</v>
      </c>
      <c r="D4" s="10" t="s">
        <v>6634</v>
      </c>
      <c r="E4" s="104" t="s">
        <v>874</v>
      </c>
      <c r="F4" s="1" t="s">
        <v>3233</v>
      </c>
      <c r="G4" s="11">
        <v>44605</v>
      </c>
      <c r="H4" s="12">
        <v>0</v>
      </c>
      <c r="I4" s="12">
        <v>0</v>
      </c>
      <c r="J4" s="18">
        <v>0.33333333333333331</v>
      </c>
      <c r="K4" s="18">
        <v>0.70833333333333337</v>
      </c>
      <c r="L4" s="18">
        <v>4.1666666666666664E-2</v>
      </c>
      <c r="M4" s="18">
        <v>0.72916666666666663</v>
      </c>
      <c r="N4" s="18">
        <v>1.1574074074074073E-5</v>
      </c>
      <c r="O4" s="19">
        <f>IF(OR(H4=0,I4=0),0,(MIN(I4,G4+K4)-MAX(H4,G4+J4)-L4)*24)</f>
        <v>0</v>
      </c>
      <c r="P4" s="19">
        <f>IF(OR(H4=0,I4=0),0,MAX(I4-(G4+M4)-N4,0)*24)</f>
        <v>0</v>
      </c>
      <c r="Q4" s="27">
        <f>INT(O4)+IF((O4-INT(O4))&gt;=0.5,0.5,0)</f>
        <v>0</v>
      </c>
      <c r="R4" s="27">
        <f>IF(OR(E4="机械设计部",E4="工艺规划部",E4="项目工程部",E4="电气自动化部",E4=""),0,INT(ROUND(P4,3))+IF((ROUND(P4,3)-INT(ROUND(P4,3)))&gt;=0.5,0.5,0))</f>
        <v>0</v>
      </c>
      <c r="S4" s="28">
        <f>MAX((H4-(G4+J4))*24*60,0)</f>
        <v>0</v>
      </c>
    </row>
    <row r="5" spans="1:256" x14ac:dyDescent="0.2">
      <c r="C5" s="9" t="s">
        <v>3683</v>
      </c>
      <c r="D5" s="10" t="s">
        <v>6634</v>
      </c>
      <c r="E5" s="104" t="s">
        <v>874</v>
      </c>
      <c r="F5" s="1" t="s">
        <v>3233</v>
      </c>
      <c r="G5" s="11">
        <v>44606</v>
      </c>
      <c r="H5" s="12">
        <v>0</v>
      </c>
      <c r="I5" s="12">
        <v>0</v>
      </c>
      <c r="J5" s="18">
        <v>0.33333333333333331</v>
      </c>
      <c r="K5" s="18">
        <v>0.70833333333333337</v>
      </c>
      <c r="L5" s="18">
        <v>4.1666666666666664E-2</v>
      </c>
      <c r="M5" s="18">
        <v>0.72916666666666663</v>
      </c>
      <c r="N5" s="18">
        <v>1.1574074074074073E-5</v>
      </c>
      <c r="O5" s="19">
        <f>IF(OR(H5=0,I5=0),0,(MIN(I5,G5+K5)-MAX(H5,G5+J5)-L5)*24)</f>
        <v>0</v>
      </c>
      <c r="P5" s="19">
        <f>IF(OR(H5=0,I5=0),0,MAX(I5-(G5+M5)-N5,0)*24)</f>
        <v>0</v>
      </c>
      <c r="Q5" s="27">
        <f>INT(O5)+IF((O5-INT(O5))&gt;=0.5,0.5,0)</f>
        <v>0</v>
      </c>
      <c r="R5" s="27">
        <f>IF(OR(E5="机械设计部",E5="工艺规划部",E5="项目工程部",E5="电气自动化部",E5=""),0,INT(ROUND(P5,3))+IF((ROUND(P5,3)-INT(ROUND(P5,3)))&gt;=0.5,0.5,0))</f>
        <v>0</v>
      </c>
      <c r="S5" s="28">
        <f>MAX((H5-(G5+J5))*24*60,0)</f>
        <v>0</v>
      </c>
    </row>
    <row r="6" spans="1:256" x14ac:dyDescent="0.2">
      <c r="C6" s="9" t="s">
        <v>3683</v>
      </c>
      <c r="D6" s="10" t="s">
        <v>6634</v>
      </c>
      <c r="E6" s="104" t="s">
        <v>874</v>
      </c>
      <c r="F6" s="1" t="s">
        <v>3233</v>
      </c>
      <c r="G6" s="11">
        <v>44607</v>
      </c>
      <c r="H6" s="12">
        <v>0</v>
      </c>
      <c r="I6" s="12">
        <v>44607.833333333336</v>
      </c>
      <c r="J6" s="18">
        <v>0.33333333333333331</v>
      </c>
      <c r="K6" s="18">
        <v>0.70833333333333337</v>
      </c>
      <c r="L6" s="18">
        <v>4.1666666666666664E-2</v>
      </c>
      <c r="M6" s="18">
        <v>0.72916666666666663</v>
      </c>
      <c r="N6" s="18">
        <v>1.1574074074074073E-5</v>
      </c>
      <c r="O6" s="19">
        <f>IF(OR(H6=0,I6=0),0,(MIN(I6,G6+K6)-MAX(H6,G6+J6)-L6)*24)</f>
        <v>0</v>
      </c>
      <c r="P6" s="19">
        <f>IF(OR(H6=0,I6=0),0,MAX(I6-(G6+M6)-N6,0)*24)</f>
        <v>0</v>
      </c>
      <c r="Q6" s="27">
        <f>INT(O6)+IF((O6-INT(O6))&gt;=0.5,0.5,0)</f>
        <v>0</v>
      </c>
      <c r="R6" s="27">
        <f>IF(OR(E6="机械设计部",E6="工艺规划部",E6="项目工程部",E6="电气自动化部",E6=""),0,INT(ROUND(P6,3))+IF((ROUND(P6,3)-INT(ROUND(P6,3)))&gt;=0.5,0.5,0))</f>
        <v>0</v>
      </c>
      <c r="S6" s="28">
        <f>MAX((H6-(G6+J6))*24*60,0)</f>
        <v>0</v>
      </c>
    </row>
    <row r="7" spans="1:256" x14ac:dyDescent="0.2">
      <c r="C7" s="9" t="s">
        <v>3683</v>
      </c>
      <c r="D7" s="10" t="s">
        <v>6634</v>
      </c>
      <c r="E7" s="104" t="s">
        <v>874</v>
      </c>
      <c r="F7" s="1" t="s">
        <v>3233</v>
      </c>
      <c r="G7" s="11">
        <v>44608</v>
      </c>
      <c r="H7" s="12">
        <v>44608.333333333336</v>
      </c>
      <c r="I7" s="12">
        <v>44608.833333333336</v>
      </c>
      <c r="J7" s="18">
        <v>0.33333333333333331</v>
      </c>
      <c r="K7" s="18">
        <v>0.70833333333333337</v>
      </c>
      <c r="L7" s="18">
        <v>4.1666666666666664E-2</v>
      </c>
      <c r="M7" s="18">
        <v>0.72916666666666663</v>
      </c>
      <c r="N7" s="18">
        <v>1.1574074074074073E-5</v>
      </c>
      <c r="O7" s="19">
        <f>IF(OR(H7=0,I7=0),0,(MIN(I7,G7+K7)-MAX(H7,G7+J7)-L7)*24)</f>
        <v>8</v>
      </c>
      <c r="P7" s="19">
        <f>IF(OR(H7=0,I7=0),0,MAX(I7-(G7+M7)-N7,0)*24)</f>
        <v>2.4997222223386375</v>
      </c>
      <c r="Q7" s="27">
        <f>INT(O7)+IF((O7-INT(O7))&gt;=0.5,0.5,0)</f>
        <v>8</v>
      </c>
      <c r="R7" s="27">
        <f>IF(OR(E7="机械设计部",E7="工艺规划部",E7="项目工程部",E7="电气自动化部",E7=""),0,INT(ROUND(P7,3))+IF((ROUND(P7,3)-INT(ROUND(P7,3)))&gt;=0.5,0.5,0))</f>
        <v>2.5</v>
      </c>
      <c r="S7" s="28">
        <f>MAX((H7-(G7+J7))*24*60,0)</f>
        <v>0</v>
      </c>
    </row>
    <row r="8" spans="1:256" x14ac:dyDescent="0.2">
      <c r="C8" s="9" t="s">
        <v>3683</v>
      </c>
      <c r="D8" s="10" t="s">
        <v>6634</v>
      </c>
      <c r="E8" s="104" t="s">
        <v>874</v>
      </c>
      <c r="F8" s="1" t="s">
        <v>3233</v>
      </c>
      <c r="G8" s="11">
        <v>44609</v>
      </c>
      <c r="H8" s="12">
        <v>44609.317361111112</v>
      </c>
      <c r="I8" s="12">
        <v>44609.836805555555</v>
      </c>
      <c r="J8" s="18">
        <v>0.33333333333333331</v>
      </c>
      <c r="K8" s="18">
        <v>0.70833333333333337</v>
      </c>
      <c r="L8" s="18">
        <v>4.1666666666666664E-2</v>
      </c>
      <c r="M8" s="18">
        <v>0.72916666666666663</v>
      </c>
      <c r="N8" s="18">
        <v>1.1574074074074073E-5</v>
      </c>
      <c r="O8" s="19">
        <f>IF(OR(H8=0,I8=0),0,(MIN(I8,G8+K8)-MAX(H8,G8+J8)-L8)*24)</f>
        <v>8</v>
      </c>
      <c r="P8" s="19">
        <f>IF(OR(H8=0,I8=0),0,MAX(I8-(G8+M8)-N8,0)*24)</f>
        <v>2.5830555555943606</v>
      </c>
      <c r="Q8" s="27">
        <f>INT(O8)+IF((O8-INT(O8))&gt;=0.5,0.5,0)</f>
        <v>8</v>
      </c>
      <c r="R8" s="27">
        <f>IF(OR(E8="机械设计部",E8="工艺规划部",E8="项目工程部",E8="电气自动化部",E8=""),0,INT(ROUND(P8,3))+IF((ROUND(P8,3)-INT(ROUND(P8,3)))&gt;=0.5,0.5,0))</f>
        <v>2.5</v>
      </c>
      <c r="S8" s="28">
        <f>MAX((H8-(G8+J8))*24*60,0)</f>
        <v>0</v>
      </c>
    </row>
    <row r="9" spans="1:256" x14ac:dyDescent="0.2">
      <c r="C9" s="9" t="s">
        <v>3683</v>
      </c>
      <c r="D9" s="10" t="s">
        <v>6634</v>
      </c>
      <c r="E9" s="104" t="s">
        <v>874</v>
      </c>
      <c r="F9" s="1" t="s">
        <v>3233</v>
      </c>
      <c r="G9" s="11">
        <v>44610</v>
      </c>
      <c r="H9" s="12">
        <v>44610.322222222225</v>
      </c>
      <c r="I9" s="12">
        <v>44610.857638888891</v>
      </c>
      <c r="J9" s="18">
        <v>0.33333333333333331</v>
      </c>
      <c r="K9" s="18">
        <v>0.70833333333333337</v>
      </c>
      <c r="L9" s="18">
        <v>4.1666666666666664E-2</v>
      </c>
      <c r="M9" s="18">
        <v>0.72916666666666663</v>
      </c>
      <c r="N9" s="18">
        <v>1.1574074074074073E-5</v>
      </c>
      <c r="O9" s="19">
        <f>IF(OR(H9=0,I9=0),0,(MIN(I9,G9+K9)-MAX(H9,G9+J9)-L9)*24)</f>
        <v>8</v>
      </c>
      <c r="P9" s="19">
        <f>IF(OR(H9=0,I9=0),0,MAX(I9-(G9+M9)-N9,0)*24)</f>
        <v>3.0830555556525683</v>
      </c>
      <c r="Q9" s="27">
        <f>INT(O9)+IF((O9-INT(O9))&gt;=0.5,0.5,0)</f>
        <v>8</v>
      </c>
      <c r="R9" s="27">
        <f>IF(OR(E9="机械设计部",E9="工艺规划部",E9="项目工程部",E9="电气自动化部",E9=""),0,INT(ROUND(P9,3))+IF((ROUND(P9,3)-INT(ROUND(P9,3)))&gt;=0.5,0.5,0))</f>
        <v>3</v>
      </c>
      <c r="S9" s="28">
        <f>MAX((H9-(G9+J9))*24*60,0)</f>
        <v>0</v>
      </c>
    </row>
    <row r="10" spans="1:256" x14ac:dyDescent="0.2">
      <c r="C10" s="9" t="s">
        <v>3683</v>
      </c>
      <c r="D10" s="10" t="s">
        <v>6634</v>
      </c>
      <c r="E10" s="104" t="s">
        <v>874</v>
      </c>
      <c r="F10" s="1" t="s">
        <v>3233</v>
      </c>
      <c r="G10" s="11">
        <v>44611</v>
      </c>
      <c r="H10" s="12">
        <v>44611.315972222219</v>
      </c>
      <c r="I10" s="12">
        <v>44611.859722222223</v>
      </c>
      <c r="J10" s="18">
        <v>0.33333333333333331</v>
      </c>
      <c r="K10" s="18">
        <v>0.70833333333333337</v>
      </c>
      <c r="L10" s="18">
        <v>4.1666666666666664E-2</v>
      </c>
      <c r="M10" s="18">
        <v>0.72916666666666663</v>
      </c>
      <c r="N10" s="18">
        <v>1.1574074074074073E-5</v>
      </c>
      <c r="O10" s="19">
        <f>IF(OR(H10=0,I10=0),0,(MIN(I10,G10+K10)-MAX(H10,G10+J10)-L10)*24)</f>
        <v>8</v>
      </c>
      <c r="P10" s="19">
        <f>IF(OR(H10=0,I10=0),0,MAX(I10-(G10+M10)-N10,0)*24)</f>
        <v>3.1330555556409267</v>
      </c>
      <c r="Q10" s="27">
        <f>INT(O10)+IF((O10-INT(O10))&gt;=0.5,0.5,0)</f>
        <v>8</v>
      </c>
      <c r="R10" s="27">
        <f>IF(OR(E10="机械设计部",E10="工艺规划部",E10="项目工程部",E10="电气自动化部",E10=""),0,INT(ROUND(P10,3))+IF((ROUND(P10,3)-INT(ROUND(P10,3)))&gt;=0.5,0.5,0))</f>
        <v>3</v>
      </c>
      <c r="S10" s="28">
        <f>MAX((H10-(G10+J10))*24*60,0)</f>
        <v>0</v>
      </c>
    </row>
    <row r="11" spans="1:256" x14ac:dyDescent="0.2">
      <c r="C11" s="9" t="s">
        <v>3683</v>
      </c>
      <c r="D11" s="10" t="s">
        <v>6634</v>
      </c>
      <c r="E11" s="104" t="s">
        <v>874</v>
      </c>
      <c r="F11" s="1" t="s">
        <v>3233</v>
      </c>
      <c r="G11" s="11">
        <v>44612</v>
      </c>
      <c r="H11" s="12">
        <v>44612.321527777778</v>
      </c>
      <c r="I11" s="12">
        <v>44612.861805555556</v>
      </c>
      <c r="J11" s="18">
        <v>0.33333333333333331</v>
      </c>
      <c r="K11" s="18">
        <v>0.70833333333333337</v>
      </c>
      <c r="L11" s="18">
        <v>4.1666666666666664E-2</v>
      </c>
      <c r="M11" s="18">
        <v>0.72916666666666663</v>
      </c>
      <c r="N11" s="18">
        <v>1.1574074074074073E-5</v>
      </c>
      <c r="O11" s="19">
        <f>IF(OR(H11=0,I11=0),0,(MIN(I11,G11+K11)-MAX(H11,G11+J11)-L11)*24)</f>
        <v>8</v>
      </c>
      <c r="P11" s="19">
        <f>IF(OR(H11=0,I11=0),0,MAX(I11-(G11+M11)-N11,0)*24)</f>
        <v>3.1830555556292852</v>
      </c>
      <c r="Q11" s="27">
        <f>INT(O11)+IF((O11-INT(O11))&gt;=0.5,0.5,0)</f>
        <v>8</v>
      </c>
      <c r="R11" s="27">
        <f>IF(OR(E11="机械设计部",E11="工艺规划部",E11="项目工程部",E11="电气自动化部",E11=""),0,INT(ROUND(P11,3))+IF((ROUND(P11,3)-INT(ROUND(P11,3)))&gt;=0.5,0.5,0))</f>
        <v>3</v>
      </c>
      <c r="S11" s="28">
        <f>MAX((H11-(G11+J11))*24*60,0)</f>
        <v>0</v>
      </c>
    </row>
    <row r="12" spans="1:256" x14ac:dyDescent="0.2">
      <c r="C12" s="9" t="s">
        <v>3796</v>
      </c>
      <c r="D12" s="10" t="s">
        <v>6635</v>
      </c>
      <c r="E12" s="104" t="s">
        <v>140</v>
      </c>
      <c r="F12" s="1" t="s">
        <v>3797</v>
      </c>
      <c r="G12" s="11">
        <v>44603</v>
      </c>
      <c r="H12" s="12">
        <v>0</v>
      </c>
      <c r="I12" s="12">
        <v>0</v>
      </c>
      <c r="J12" s="18">
        <v>0.33333333333333331</v>
      </c>
      <c r="K12" s="18">
        <v>0.70833333333333337</v>
      </c>
      <c r="L12" s="18">
        <v>4.1666666666666664E-2</v>
      </c>
      <c r="M12" s="18">
        <v>0.72916666666666663</v>
      </c>
      <c r="N12" s="18">
        <v>1.1574074074074073E-5</v>
      </c>
      <c r="O12" s="19">
        <f>IF(OR(H12=0,I12=0),0,(MIN(I12,G12+K12)-MAX(H12,G12+J12)-L12)*24)</f>
        <v>0</v>
      </c>
      <c r="P12" s="19">
        <f>IF(OR(H12=0,I12=0),0,MAX(I12-(G12+M12)-N12,0)*24)</f>
        <v>0</v>
      </c>
      <c r="Q12" s="27">
        <f>INT(O12)+IF((O12-INT(O12))&gt;=0.5,0.5,0)</f>
        <v>0</v>
      </c>
      <c r="R12" s="27">
        <f>IF(OR(E12="机械设计部",E12="工艺规划部",E12="项目工程部",E12="电气自动化部",E12=""),0,INT(ROUND(P12,3))+IF((ROUND(P12,3)-INT(ROUND(P12,3)))&gt;=0.5,0.5,0))</f>
        <v>0</v>
      </c>
      <c r="S12" s="28">
        <f>MAX((H12-(G12+J12))*24*60,0)</f>
        <v>0</v>
      </c>
    </row>
    <row r="13" spans="1:256" x14ac:dyDescent="0.2">
      <c r="C13" s="9" t="s">
        <v>3796</v>
      </c>
      <c r="D13" s="10" t="s">
        <v>6635</v>
      </c>
      <c r="E13" s="104" t="s">
        <v>140</v>
      </c>
      <c r="F13" s="1" t="s">
        <v>3797</v>
      </c>
      <c r="G13" s="11">
        <v>44604</v>
      </c>
      <c r="H13" s="12">
        <v>0</v>
      </c>
      <c r="I13" s="12">
        <v>0</v>
      </c>
      <c r="J13" s="18">
        <v>0.33333333333333331</v>
      </c>
      <c r="K13" s="18">
        <v>0.70833333333333337</v>
      </c>
      <c r="L13" s="18">
        <v>4.1666666666666664E-2</v>
      </c>
      <c r="M13" s="18">
        <v>0.72916666666666663</v>
      </c>
      <c r="N13" s="18">
        <v>1.1574074074074073E-5</v>
      </c>
      <c r="O13" s="19">
        <f>IF(OR(H13=0,I13=0),0,(MIN(I13,G13+K13)-MAX(H13,G13+J13)-L13)*24)</f>
        <v>0</v>
      </c>
      <c r="P13" s="19">
        <f>IF(OR(H13=0,I13=0),0,MAX(I13-(G13+M13)-N13,0)*24)</f>
        <v>0</v>
      </c>
      <c r="Q13" s="27">
        <f>INT(O13)+IF((O13-INT(O13))&gt;=0.5,0.5,0)</f>
        <v>0</v>
      </c>
      <c r="R13" s="27">
        <f>IF(OR(E13="机械设计部",E13="工艺规划部",E13="项目工程部",E13="电气自动化部",E13=""),0,INT(ROUND(P13,3))+IF((ROUND(P13,3)-INT(ROUND(P13,3)))&gt;=0.5,0.5,0))</f>
        <v>0</v>
      </c>
      <c r="S13" s="28">
        <f>MAX((H13-(G13+J13))*24*60,0)</f>
        <v>0</v>
      </c>
    </row>
    <row r="14" spans="1:256" x14ac:dyDescent="0.2">
      <c r="C14" s="9" t="s">
        <v>3796</v>
      </c>
      <c r="D14" s="10" t="s">
        <v>6635</v>
      </c>
      <c r="E14" s="104" t="s">
        <v>140</v>
      </c>
      <c r="F14" s="1" t="s">
        <v>3797</v>
      </c>
      <c r="G14" s="11">
        <v>44605</v>
      </c>
      <c r="H14" s="12">
        <v>0</v>
      </c>
      <c r="I14" s="12">
        <v>0</v>
      </c>
      <c r="J14" s="18">
        <v>0.33333333333333331</v>
      </c>
      <c r="K14" s="18">
        <v>0.70833333333333337</v>
      </c>
      <c r="L14" s="18">
        <v>4.1666666666666664E-2</v>
      </c>
      <c r="M14" s="18">
        <v>0.72916666666666663</v>
      </c>
      <c r="N14" s="18">
        <v>1.1574074074074073E-5</v>
      </c>
      <c r="O14" s="19">
        <f>IF(OR(H14=0,I14=0),0,(MIN(I14,G14+K14)-MAX(H14,G14+J14)-L14)*24)</f>
        <v>0</v>
      </c>
      <c r="P14" s="19">
        <f>IF(OR(H14=0,I14=0),0,MAX(I14-(G14+M14)-N14,0)*24)</f>
        <v>0</v>
      </c>
      <c r="Q14" s="27">
        <f>INT(O14)+IF((O14-INT(O14))&gt;=0.5,0.5,0)</f>
        <v>0</v>
      </c>
      <c r="R14" s="27">
        <f>IF(OR(E14="机械设计部",E14="工艺规划部",E14="项目工程部",E14="电气自动化部",E14=""),0,INT(ROUND(P14,3))+IF((ROUND(P14,3)-INT(ROUND(P14,3)))&gt;=0.5,0.5,0))</f>
        <v>0</v>
      </c>
      <c r="S14" s="28">
        <f>MAX((H14-(G14+J14))*24*60,0)</f>
        <v>0</v>
      </c>
    </row>
    <row r="15" spans="1:256" x14ac:dyDescent="0.2">
      <c r="C15" s="9" t="s">
        <v>3796</v>
      </c>
      <c r="D15" s="10" t="s">
        <v>6635</v>
      </c>
      <c r="E15" s="104" t="s">
        <v>140</v>
      </c>
      <c r="F15" s="1" t="s">
        <v>3797</v>
      </c>
      <c r="G15" s="11">
        <v>44606</v>
      </c>
      <c r="H15" s="12">
        <v>0</v>
      </c>
      <c r="I15" s="12">
        <v>0</v>
      </c>
      <c r="J15" s="18">
        <v>0.33333333333333331</v>
      </c>
      <c r="K15" s="18">
        <v>0.70833333333333337</v>
      </c>
      <c r="L15" s="18">
        <v>4.1666666666666664E-2</v>
      </c>
      <c r="M15" s="18">
        <v>0.72916666666666663</v>
      </c>
      <c r="N15" s="18">
        <v>1.1574074074074073E-5</v>
      </c>
      <c r="O15" s="19">
        <f>IF(OR(H15=0,I15=0),0,(MIN(I15,G15+K15)-MAX(H15,G15+J15)-L15)*24)</f>
        <v>0</v>
      </c>
      <c r="P15" s="19">
        <f>IF(OR(H15=0,I15=0),0,MAX(I15-(G15+M15)-N15,0)*24)</f>
        <v>0</v>
      </c>
      <c r="Q15" s="27">
        <f>INT(O15)+IF((O15-INT(O15))&gt;=0.5,0.5,0)</f>
        <v>0</v>
      </c>
      <c r="R15" s="27">
        <f>IF(OR(E15="机械设计部",E15="工艺规划部",E15="项目工程部",E15="电气自动化部",E15=""),0,INT(ROUND(P15,3))+IF((ROUND(P15,3)-INT(ROUND(P15,3)))&gt;=0.5,0.5,0))</f>
        <v>0</v>
      </c>
      <c r="S15" s="28">
        <f>MAX((H15-(G15+J15))*24*60,0)</f>
        <v>0</v>
      </c>
    </row>
    <row r="16" spans="1:256" x14ac:dyDescent="0.2">
      <c r="C16" s="9" t="s">
        <v>3796</v>
      </c>
      <c r="D16" s="10" t="s">
        <v>6635</v>
      </c>
      <c r="E16" s="104" t="s">
        <v>140</v>
      </c>
      <c r="F16" s="1" t="s">
        <v>3797</v>
      </c>
      <c r="G16" s="11">
        <v>44607</v>
      </c>
      <c r="H16" s="12">
        <v>0</v>
      </c>
      <c r="I16" s="12">
        <v>44607.833333333336</v>
      </c>
      <c r="J16" s="18">
        <v>0.33333333333333331</v>
      </c>
      <c r="K16" s="18">
        <v>0.70833333333333337</v>
      </c>
      <c r="L16" s="18">
        <v>4.1666666666666664E-2</v>
      </c>
      <c r="M16" s="18">
        <v>0.72916666666666663</v>
      </c>
      <c r="N16" s="18">
        <v>1.1574074074074073E-5</v>
      </c>
      <c r="O16" s="19">
        <f>IF(OR(H16=0,I16=0),0,(MIN(I16,G16+K16)-MAX(H16,G16+J16)-L16)*24)</f>
        <v>0</v>
      </c>
      <c r="P16" s="19">
        <f>IF(OR(H16=0,I16=0),0,MAX(I16-(G16+M16)-N16,0)*24)</f>
        <v>0</v>
      </c>
      <c r="Q16" s="27">
        <f>INT(O16)+IF((O16-INT(O16))&gt;=0.5,0.5,0)</f>
        <v>0</v>
      </c>
      <c r="R16" s="27">
        <f>IF(OR(E16="机械设计部",E16="工艺规划部",E16="项目工程部",E16="电气自动化部",E16=""),0,INT(ROUND(P16,3))+IF((ROUND(P16,3)-INT(ROUND(P16,3)))&gt;=0.5,0.5,0))</f>
        <v>0</v>
      </c>
      <c r="S16" s="28">
        <f>MAX((H16-(G16+J16))*24*60,0)</f>
        <v>0</v>
      </c>
    </row>
    <row r="17" spans="3:19" x14ac:dyDescent="0.2">
      <c r="C17" s="9" t="s">
        <v>3796</v>
      </c>
      <c r="D17" s="10" t="s">
        <v>6635</v>
      </c>
      <c r="E17" s="104" t="s">
        <v>140</v>
      </c>
      <c r="F17" s="1" t="s">
        <v>3797</v>
      </c>
      <c r="G17" s="11">
        <v>44608</v>
      </c>
      <c r="H17" s="12">
        <v>44608.333333333336</v>
      </c>
      <c r="I17" s="12">
        <v>44608.833333333336</v>
      </c>
      <c r="J17" s="18">
        <v>0.33333333333333331</v>
      </c>
      <c r="K17" s="18">
        <v>0.70833333333333337</v>
      </c>
      <c r="L17" s="18">
        <v>4.1666666666666664E-2</v>
      </c>
      <c r="M17" s="18">
        <v>0.72916666666666663</v>
      </c>
      <c r="N17" s="18">
        <v>1.1574074074074073E-5</v>
      </c>
      <c r="O17" s="19">
        <f>IF(OR(H17=0,I17=0),0,(MIN(I17,G17+K17)-MAX(H17,G17+J17)-L17)*24)</f>
        <v>8</v>
      </c>
      <c r="P17" s="19">
        <f>IF(OR(H17=0,I17=0),0,MAX(I17-(G17+M17)-N17,0)*24)</f>
        <v>2.4997222223386375</v>
      </c>
      <c r="Q17" s="27">
        <f>INT(O17)+IF((O17-INT(O17))&gt;=0.5,0.5,0)</f>
        <v>8</v>
      </c>
      <c r="R17" s="27">
        <f>IF(OR(E17="机械设计部",E17="工艺规划部",E17="项目工程部",E17="电气自动化部",E17=""),0,INT(ROUND(P17,3))+IF((ROUND(P17,3)-INT(ROUND(P17,3)))&gt;=0.5,0.5,0))</f>
        <v>2.5</v>
      </c>
      <c r="S17" s="28">
        <f>MAX((H17-(G17+J17))*24*60,0)</f>
        <v>0</v>
      </c>
    </row>
    <row r="18" spans="3:19" x14ac:dyDescent="0.2">
      <c r="C18" s="9" t="s">
        <v>3796</v>
      </c>
      <c r="D18" s="10" t="s">
        <v>6635</v>
      </c>
      <c r="E18" s="104" t="s">
        <v>140</v>
      </c>
      <c r="F18" s="1" t="s">
        <v>3797</v>
      </c>
      <c r="G18" s="11">
        <v>44609</v>
      </c>
      <c r="H18" s="12">
        <v>44609.317361111112</v>
      </c>
      <c r="I18" s="12">
        <v>44609.836805555555</v>
      </c>
      <c r="J18" s="18">
        <v>0.33333333333333331</v>
      </c>
      <c r="K18" s="18">
        <v>0.70833333333333337</v>
      </c>
      <c r="L18" s="18">
        <v>4.1666666666666664E-2</v>
      </c>
      <c r="M18" s="18">
        <v>0.72916666666666663</v>
      </c>
      <c r="N18" s="18">
        <v>1.1574074074074073E-5</v>
      </c>
      <c r="O18" s="19">
        <f>IF(OR(H18=0,I18=0),0,(MIN(I18,G18+K18)-MAX(H18,G18+J18)-L18)*24)</f>
        <v>8</v>
      </c>
      <c r="P18" s="19">
        <f>IF(OR(H18=0,I18=0),0,MAX(I18-(G18+M18)-N18,0)*24)</f>
        <v>2.5830555555943606</v>
      </c>
      <c r="Q18" s="27">
        <f>INT(O18)+IF((O18-INT(O18))&gt;=0.5,0.5,0)</f>
        <v>8</v>
      </c>
      <c r="R18" s="27">
        <f>IF(OR(E18="机械设计部",E18="工艺规划部",E18="项目工程部",E18="电气自动化部",E18=""),0,INT(ROUND(P18,3))+IF((ROUND(P18,3)-INT(ROUND(P18,3)))&gt;=0.5,0.5,0))</f>
        <v>2.5</v>
      </c>
      <c r="S18" s="28">
        <f>MAX((H18-(G18+J18))*24*60,0)</f>
        <v>0</v>
      </c>
    </row>
    <row r="19" spans="3:19" x14ac:dyDescent="0.2">
      <c r="C19" s="9" t="s">
        <v>3796</v>
      </c>
      <c r="D19" s="10" t="s">
        <v>6635</v>
      </c>
      <c r="E19" s="104" t="s">
        <v>140</v>
      </c>
      <c r="F19" s="1" t="s">
        <v>3797</v>
      </c>
      <c r="G19" s="11">
        <v>44610</v>
      </c>
      <c r="H19" s="12">
        <v>44610.322222222225</v>
      </c>
      <c r="I19" s="12">
        <v>44610.857638888891</v>
      </c>
      <c r="J19" s="18">
        <v>0.33333333333333331</v>
      </c>
      <c r="K19" s="18">
        <v>0.70833333333333337</v>
      </c>
      <c r="L19" s="18">
        <v>4.1666666666666664E-2</v>
      </c>
      <c r="M19" s="18">
        <v>0.72916666666666663</v>
      </c>
      <c r="N19" s="18">
        <v>1.1574074074074073E-5</v>
      </c>
      <c r="O19" s="19">
        <f>IF(OR(H19=0,I19=0),0,(MIN(I19,G19+K19)-MAX(H19,G19+J19)-L19)*24)</f>
        <v>8</v>
      </c>
      <c r="P19" s="19">
        <f>IF(OR(H19=0,I19=0),0,MAX(I19-(G19+M19)-N19,0)*24)</f>
        <v>3.0830555556525683</v>
      </c>
      <c r="Q19" s="27">
        <f>INT(O19)+IF((O19-INT(O19))&gt;=0.5,0.5,0)</f>
        <v>8</v>
      </c>
      <c r="R19" s="27">
        <f>IF(OR(E19="机械设计部",E19="工艺规划部",E19="项目工程部",E19="电气自动化部",E19=""),0,INT(ROUND(P19,3))+IF((ROUND(P19,3)-INT(ROUND(P19,3)))&gt;=0.5,0.5,0))</f>
        <v>3</v>
      </c>
      <c r="S19" s="28">
        <f>MAX((H19-(G19+J19))*24*60,0)</f>
        <v>0</v>
      </c>
    </row>
    <row r="20" spans="3:19" x14ac:dyDescent="0.2">
      <c r="C20" s="9" t="s">
        <v>3796</v>
      </c>
      <c r="D20" s="10" t="s">
        <v>6635</v>
      </c>
      <c r="E20" s="104" t="s">
        <v>140</v>
      </c>
      <c r="F20" s="1" t="s">
        <v>3797</v>
      </c>
      <c r="G20" s="11">
        <v>44611</v>
      </c>
      <c r="H20" s="12">
        <v>44611.315972222219</v>
      </c>
      <c r="I20" s="12">
        <v>44611.859722222223</v>
      </c>
      <c r="J20" s="18">
        <v>0.33333333333333331</v>
      </c>
      <c r="K20" s="18">
        <v>0.70833333333333337</v>
      </c>
      <c r="L20" s="18">
        <v>4.1666666666666664E-2</v>
      </c>
      <c r="M20" s="18">
        <v>0.72916666666666663</v>
      </c>
      <c r="N20" s="18">
        <v>1.1574074074074073E-5</v>
      </c>
      <c r="O20" s="19">
        <f>IF(OR(H20=0,I20=0),0,(MIN(I20,G20+K20)-MAX(H20,G20+J20)-L20)*24)</f>
        <v>8</v>
      </c>
      <c r="P20" s="19">
        <f>IF(OR(H20=0,I20=0),0,MAX(I20-(G20+M20)-N20,0)*24)</f>
        <v>3.1330555556409267</v>
      </c>
      <c r="Q20" s="27">
        <f>INT(O20)+IF((O20-INT(O20))&gt;=0.5,0.5,0)</f>
        <v>8</v>
      </c>
      <c r="R20" s="27">
        <f>IF(OR(E20="机械设计部",E20="工艺规划部",E20="项目工程部",E20="电气自动化部",E20=""),0,INT(ROUND(P20,3))+IF((ROUND(P20,3)-INT(ROUND(P20,3)))&gt;=0.5,0.5,0))</f>
        <v>3</v>
      </c>
      <c r="S20" s="28">
        <f>MAX((H20-(G20+J20))*24*60,0)</f>
        <v>0</v>
      </c>
    </row>
    <row r="21" spans="3:19" x14ac:dyDescent="0.2">
      <c r="C21" s="9" t="s">
        <v>3796</v>
      </c>
      <c r="D21" s="10" t="s">
        <v>6635</v>
      </c>
      <c r="E21" s="104" t="s">
        <v>140</v>
      </c>
      <c r="F21" s="1" t="s">
        <v>3797</v>
      </c>
      <c r="G21" s="11">
        <v>44612</v>
      </c>
      <c r="H21" s="12">
        <v>44612.321527777778</v>
      </c>
      <c r="I21" s="12">
        <v>44612.861805555556</v>
      </c>
      <c r="J21" s="18">
        <v>0.33333333333333331</v>
      </c>
      <c r="K21" s="18">
        <v>0.70833333333333337</v>
      </c>
      <c r="L21" s="18">
        <v>4.1666666666666664E-2</v>
      </c>
      <c r="M21" s="18">
        <v>0.72916666666666663</v>
      </c>
      <c r="N21" s="18">
        <v>1.1574074074074073E-5</v>
      </c>
      <c r="O21" s="19">
        <f>IF(OR(H21=0,I21=0),0,(MIN(I21,G21+K21)-MAX(H21,G21+J21)-L21)*24)</f>
        <v>8</v>
      </c>
      <c r="P21" s="19">
        <f>IF(OR(H21=0,I21=0),0,MAX(I21-(G21+M21)-N21,0)*24)</f>
        <v>3.1830555556292852</v>
      </c>
      <c r="Q21" s="27">
        <f>INT(O21)+IF((O21-INT(O21))&gt;=0.5,0.5,0)</f>
        <v>8</v>
      </c>
      <c r="R21" s="27">
        <f>IF(OR(E21="机械设计部",E21="工艺规划部",E21="项目工程部",E21="电气自动化部",E21=""),0,INT(ROUND(P21,3))+IF((ROUND(P21,3)-INT(ROUND(P21,3)))&gt;=0.5,0.5,0))</f>
        <v>3</v>
      </c>
      <c r="S21" s="28">
        <f>MAX((H21-(G21+J21))*24*60,0)</f>
        <v>0</v>
      </c>
    </row>
  </sheetData>
  <autoFilter ref="A1:Z21" xr:uid="{00000000-0001-0000-0200-000000000000}"/>
  <sortState xmlns:xlrd2="http://schemas.microsoft.com/office/spreadsheetml/2017/richdata2" ref="A2:V21">
    <sortCondition ref="D2:D21"/>
    <sortCondition ref="F2:F21"/>
    <sortCondition ref="G2:G21"/>
  </sortState>
  <phoneticPr fontId="16" type="noConversion"/>
  <pageMargins left="0.7" right="0.7" top="0.75" bottom="0.75" header="0.3" footer="0.3"/>
  <pageSetup paperSize="13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Pict="0" macro="[0]!Sheet5.CmdBtnReturn_Click">
                <anchor moveWithCells="1" sizeWithCells="1">
                  <from>
                    <xdr:col>26</xdr:col>
                    <xdr:colOff>104775</xdr:colOff>
                    <xdr:row>0</xdr:row>
                    <xdr:rowOff>0</xdr:rowOff>
                  </from>
                  <to>
                    <xdr:col>26</xdr:col>
                    <xdr:colOff>1066800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O10"/>
  <sheetViews>
    <sheetView showZeros="0" workbookViewId="0">
      <pane xSplit="6" ySplit="1" topLeftCell="G2" activePane="bottomRight" state="frozen"/>
      <selection pane="topRight"/>
      <selection pane="bottomLeft"/>
      <selection pane="bottomRight" activeCell="E2" sqref="E2"/>
    </sheetView>
  </sheetViews>
  <sheetFormatPr defaultColWidth="9" defaultRowHeight="14.25" customHeight="1" x14ac:dyDescent="0.2"/>
  <cols>
    <col min="1" max="1" width="9" style="1"/>
    <col min="2" max="2" width="11.625" style="1" customWidth="1"/>
    <col min="3" max="3" width="6.125" style="10" customWidth="1"/>
    <col min="4" max="4" width="7.75" style="10" customWidth="1"/>
    <col min="5" max="5" width="7" style="10" customWidth="1"/>
    <col min="6" max="6" width="10.25" style="10" customWidth="1"/>
    <col min="7" max="7" width="7.25" style="1" customWidth="1"/>
    <col min="8" max="8" width="4.75" style="1" customWidth="1"/>
    <col min="9" max="9" width="5.5" style="1" customWidth="1"/>
    <col min="10" max="14" width="4.75" style="1" customWidth="1"/>
    <col min="15" max="15" width="9.125" style="74" bestFit="1" customWidth="1"/>
    <col min="16" max="17" width="4.375" style="1" customWidth="1"/>
    <col min="18" max="18" width="5.375" style="1" customWidth="1"/>
    <col min="19" max="23" width="4.375" style="1" customWidth="1"/>
    <col min="24" max="24" width="9.125" style="74" bestFit="1" customWidth="1"/>
    <col min="25" max="32" width="4.375" style="1" customWidth="1"/>
    <col min="33" max="33" width="9.125" style="74" bestFit="1" customWidth="1"/>
    <col min="34" max="41" width="4.375" style="1" customWidth="1"/>
    <col min="42" max="16384" width="9" style="1"/>
  </cols>
  <sheetData>
    <row r="1" spans="1:41" s="25" customFormat="1" ht="38.25" customHeight="1" x14ac:dyDescent="0.15">
      <c r="A1" s="25" t="s">
        <v>106</v>
      </c>
      <c r="B1" s="25" t="s">
        <v>40</v>
      </c>
      <c r="C1" s="4" t="s">
        <v>42</v>
      </c>
      <c r="D1" s="4" t="s">
        <v>41</v>
      </c>
      <c r="E1" s="3" t="s">
        <v>44</v>
      </c>
      <c r="F1" s="3" t="s">
        <v>107</v>
      </c>
      <c r="G1" s="75" t="s">
        <v>108</v>
      </c>
      <c r="H1" s="75" t="s">
        <v>109</v>
      </c>
      <c r="I1" s="76" t="s">
        <v>110</v>
      </c>
      <c r="J1" s="76" t="s">
        <v>111</v>
      </c>
      <c r="K1" s="76" t="s">
        <v>112</v>
      </c>
      <c r="L1" s="75" t="s">
        <v>109</v>
      </c>
      <c r="M1" s="75" t="s">
        <v>113</v>
      </c>
      <c r="N1" s="75" t="s">
        <v>114</v>
      </c>
      <c r="O1" s="77" t="s">
        <v>115</v>
      </c>
      <c r="P1" s="5" t="s">
        <v>55</v>
      </c>
      <c r="Q1" s="5" t="s">
        <v>116</v>
      </c>
      <c r="R1" s="25" t="s">
        <v>117</v>
      </c>
      <c r="S1" s="25" t="s">
        <v>58</v>
      </c>
      <c r="T1" s="25" t="s">
        <v>59</v>
      </c>
      <c r="U1" s="5" t="s">
        <v>116</v>
      </c>
      <c r="V1" s="5" t="s">
        <v>118</v>
      </c>
      <c r="W1" s="5" t="s">
        <v>119</v>
      </c>
      <c r="X1" s="77" t="s">
        <v>115</v>
      </c>
      <c r="Y1" s="5" t="s">
        <v>55</v>
      </c>
      <c r="Z1" s="5" t="s">
        <v>116</v>
      </c>
      <c r="AA1" s="25" t="s">
        <v>117</v>
      </c>
      <c r="AB1" s="25" t="s">
        <v>58</v>
      </c>
      <c r="AC1" s="25" t="s">
        <v>59</v>
      </c>
      <c r="AD1" s="5" t="s">
        <v>116</v>
      </c>
      <c r="AE1" s="5" t="s">
        <v>118</v>
      </c>
      <c r="AF1" s="5" t="s">
        <v>119</v>
      </c>
      <c r="AG1" s="77" t="s">
        <v>115</v>
      </c>
      <c r="AH1" s="5" t="s">
        <v>55</v>
      </c>
      <c r="AI1" s="5" t="s">
        <v>116</v>
      </c>
      <c r="AJ1" s="25" t="s">
        <v>117</v>
      </c>
      <c r="AK1" s="25" t="s">
        <v>58</v>
      </c>
      <c r="AL1" s="25" t="s">
        <v>59</v>
      </c>
      <c r="AM1" s="5" t="s">
        <v>116</v>
      </c>
      <c r="AN1" s="5" t="s">
        <v>118</v>
      </c>
      <c r="AO1" s="5" t="s">
        <v>119</v>
      </c>
    </row>
    <row r="2" spans="1:41" ht="14.25" customHeight="1" x14ac:dyDescent="0.2">
      <c r="C2" s="10" t="s">
        <v>74</v>
      </c>
      <c r="D2" s="10" t="s">
        <v>73</v>
      </c>
      <c r="E2" s="10" t="s">
        <v>76</v>
      </c>
      <c r="F2" s="10" t="s">
        <v>75</v>
      </c>
      <c r="G2" s="1">
        <f>SUMIFS(考勤清单!Q:Q,考勤清单!$D:$D,考勤汇总!$C2,考勤清单!$F:$F,考勤汇总!$E2)</f>
        <v>0</v>
      </c>
      <c r="H2" s="1">
        <f>SUMIFS(考勤清单!R:R,考勤清单!$D:$D,考勤汇总!$C2,考勤清单!$F:$F,考勤汇总!$E2)</f>
        <v>0</v>
      </c>
      <c r="I2" s="1">
        <f>SUMIFS(考勤清单!S:S,考勤清单!$D:$D,考勤汇总!$C2,考勤清单!$F:$F,考勤汇总!$E2)</f>
        <v>0</v>
      </c>
      <c r="J2" s="1">
        <f>SUMIFS(考勤清单!T:T,考勤清单!$D:$D,考勤汇总!$C2,考勤清单!$F:$F,考勤汇总!$E2)</f>
        <v>0</v>
      </c>
      <c r="K2" s="1">
        <f>SUMIFS(考勤清单!U:U,考勤清单!$D:$D,考勤汇总!$C2,考勤清单!$F:$F,考勤汇总!$E2)</f>
        <v>0</v>
      </c>
      <c r="L2" s="1">
        <f>SUMIFS(考勤清单!V:V,考勤清单!$D:$D,考勤汇总!$C2,考勤清单!$F:$F,考勤汇总!$E2)</f>
        <v>0</v>
      </c>
      <c r="M2" s="1">
        <f>SUMIFS(考勤清单!W:W,考勤清单!$D:$D,考勤汇总!$C2,考勤清单!$F:$F,考勤汇总!$E2)</f>
        <v>0</v>
      </c>
      <c r="N2" s="1">
        <f>SUMIFS(考勤清单!X:X,考勤清单!$D:$D,考勤汇总!$C2,考勤清单!$F:$F,考勤汇总!$E2)</f>
        <v>0</v>
      </c>
      <c r="O2" s="74">
        <v>44602</v>
      </c>
      <c r="P2" s="1">
        <f>SUMIFS(考勤清单!Q:Q,考勤清单!$D:$D,考勤汇总!$C2,考勤清单!$F:$F,考勤汇总!$E2,考勤清单!$G:$G,"&lt;="&amp;考勤汇总!$O2)</f>
        <v>0</v>
      </c>
      <c r="Q2" s="1">
        <f>SUMIFS(考勤清单!R:R,考勤清单!$D:$D,考勤汇总!$C2,考勤清单!$F:$F,考勤汇总!$E2,考勤清单!$G:$G,"&lt;="&amp;考勤汇总!$O2)</f>
        <v>0</v>
      </c>
      <c r="R2" s="1">
        <f>SUMIFS(考勤清单!S:S,考勤清单!$D:$D,考勤汇总!$C2,考勤清单!$F:$F,考勤汇总!$E2,考勤清单!$G:$G,"&lt;="&amp;考勤汇总!$O2)</f>
        <v>0</v>
      </c>
      <c r="S2" s="1">
        <f>SUMIFS(考勤清单!T:T,考勤清单!$D:$D,考勤汇总!$C2,考勤清单!$F:$F,考勤汇总!$E2,考勤清单!$G:$G,"&lt;="&amp;考勤汇总!$O2)</f>
        <v>0</v>
      </c>
      <c r="T2" s="1">
        <f>SUMIFS(考勤清单!U:U,考勤清单!$D:$D,考勤汇总!$C2,考勤清单!$F:$F,考勤汇总!$E2,考勤清单!$G:$G,"&lt;="&amp;考勤汇总!$O2)</f>
        <v>0</v>
      </c>
      <c r="U2" s="1">
        <f>SUMIFS(考勤清单!V:V,考勤清单!$D:$D,考勤汇总!$C2,考勤清单!$F:$F,考勤汇总!$E2,考勤清单!$G:$G,"&lt;="&amp;考勤汇总!$O2)</f>
        <v>0</v>
      </c>
      <c r="V2" s="1">
        <f>SUMIFS(考勤清单!W:W,考勤清单!$D:$D,考勤汇总!$C2,考勤清单!$F:$F,考勤汇总!$E2,考勤清单!$G:$G,"&lt;="&amp;考勤汇总!$O2)</f>
        <v>0</v>
      </c>
      <c r="W2" s="1">
        <f>SUMIFS(考勤清单!X:X,考勤清单!$D:$D,考勤汇总!$C2,考勤清单!$F:$F,考勤汇总!$E2,考勤清单!$G:$G,"&lt;="&amp;考勤汇总!$O2)</f>
        <v>0</v>
      </c>
      <c r="X2" s="74">
        <v>44612</v>
      </c>
      <c r="Y2" s="1">
        <f>G2-P2-AH2</f>
        <v>0</v>
      </c>
      <c r="Z2" s="1">
        <f t="shared" ref="Z2:AF2" si="0">H2-Q2-AI2</f>
        <v>0</v>
      </c>
      <c r="AA2" s="1">
        <f t="shared" si="0"/>
        <v>0</v>
      </c>
      <c r="AB2" s="1">
        <f t="shared" si="0"/>
        <v>0</v>
      </c>
      <c r="AC2" s="1">
        <f t="shared" si="0"/>
        <v>0</v>
      </c>
      <c r="AD2" s="1">
        <f t="shared" si="0"/>
        <v>0</v>
      </c>
      <c r="AE2" s="1">
        <f t="shared" si="0"/>
        <v>0</v>
      </c>
      <c r="AF2" s="1">
        <f t="shared" si="0"/>
        <v>0</v>
      </c>
      <c r="AG2" s="74">
        <f>EOMONTH(X2,0)</f>
        <v>44620</v>
      </c>
      <c r="AH2" s="1">
        <f>SUMIFS(考勤清单!Q:Q,考勤清单!$D:$D,考勤汇总!$C2,考勤清单!$F:$F,考勤汇总!$E2,考勤清单!$G:$G,"&gt;"&amp;考勤汇总!$X2)</f>
        <v>0</v>
      </c>
      <c r="AI2" s="1">
        <f>SUMIFS(考勤清单!R:R,考勤清单!$D:$D,考勤汇总!$C2,考勤清单!$F:$F,考勤汇总!$E2,考勤清单!$G:$G,"&gt;"&amp;考勤汇总!$X2)</f>
        <v>0</v>
      </c>
      <c r="AJ2" s="1">
        <f>SUMIFS(考勤清单!S:S,考勤清单!$D:$D,考勤汇总!$C2,考勤清单!$F:$F,考勤汇总!$E2,考勤清单!$G:$G,"&gt;"&amp;考勤汇总!$X2)</f>
        <v>0</v>
      </c>
      <c r="AK2" s="1">
        <f>SUMIFS(考勤清单!T:T,考勤清单!$D:$D,考勤汇总!$C2,考勤清单!$F:$F,考勤汇总!$E2,考勤清单!$G:$G,"&gt;"&amp;考勤汇总!$X2)</f>
        <v>0</v>
      </c>
      <c r="AL2" s="1">
        <f>SUMIFS(考勤清单!U:U,考勤清单!$D:$D,考勤汇总!$C2,考勤清单!$F:$F,考勤汇总!$E2,考勤清单!$G:$G,"&gt;"&amp;考勤汇总!$X2)</f>
        <v>0</v>
      </c>
      <c r="AM2" s="1">
        <f>SUMIFS(考勤清单!V:V,考勤清单!$D:$D,考勤汇总!$C2,考勤清单!$F:$F,考勤汇总!$E2,考勤清单!$G:$G,"&gt;"&amp;考勤汇总!$X2)</f>
        <v>0</v>
      </c>
      <c r="AN2" s="1">
        <f>SUMIFS(考勤清单!W:W,考勤清单!$D:$D,考勤汇总!$C2,考勤清单!$F:$F,考勤汇总!$E2,考勤清单!$G:$G,"&gt;"&amp;考勤汇总!$X2)</f>
        <v>0</v>
      </c>
      <c r="AO2" s="1">
        <f>SUMIFS(考勤清单!X:X,考勤清单!$D:$D,考勤汇总!$C2,考勤清单!$F:$F,考勤汇总!$E2,考勤清单!$G:$G,"&gt;"&amp;考勤汇总!$X2)</f>
        <v>0</v>
      </c>
    </row>
    <row r="3" spans="1:41" ht="14.25" customHeight="1" x14ac:dyDescent="0.2">
      <c r="C3" s="10" t="s">
        <v>82</v>
      </c>
      <c r="D3" s="10" t="s">
        <v>81</v>
      </c>
      <c r="E3" s="10" t="s">
        <v>83</v>
      </c>
      <c r="F3" s="10" t="s">
        <v>79</v>
      </c>
      <c r="G3" s="1">
        <f>SUMIFS(考勤清单!Q:Q,考勤清单!$D:$D,考勤汇总!$C3,考勤清单!$F:$F,考勤汇总!$E3)</f>
        <v>0</v>
      </c>
      <c r="H3" s="1">
        <f>SUMIFS(考勤清单!R:R,考勤清单!$D:$D,考勤汇总!$C3,考勤清单!$F:$F,考勤汇总!$E3)</f>
        <v>0</v>
      </c>
      <c r="I3" s="1">
        <f>SUMIFS(考勤清单!S:S,考勤清单!$D:$D,考勤汇总!$C3,考勤清单!$F:$F,考勤汇总!$E3)</f>
        <v>0</v>
      </c>
      <c r="J3" s="1">
        <f>SUMIFS(考勤清单!T:T,考勤清单!$D:$D,考勤汇总!$C3,考勤清单!$F:$F,考勤汇总!$E3)</f>
        <v>0</v>
      </c>
      <c r="K3" s="1">
        <f>SUMIFS(考勤清单!U:U,考勤清单!$D:$D,考勤汇总!$C3,考勤清单!$F:$F,考勤汇总!$E3)</f>
        <v>0</v>
      </c>
      <c r="L3" s="1">
        <f>SUMIFS(考勤清单!V:V,考勤清单!$D:$D,考勤汇总!$C3,考勤清单!$F:$F,考勤汇总!$E3)</f>
        <v>0</v>
      </c>
      <c r="M3" s="1">
        <f>SUMIFS(考勤清单!W:W,考勤清单!$D:$D,考勤汇总!$C3,考勤清单!$F:$F,考勤汇总!$E3)</f>
        <v>0</v>
      </c>
      <c r="N3" s="1">
        <f>SUMIFS(考勤清单!X:X,考勤清单!$D:$D,考勤汇总!$C3,考勤清单!$F:$F,考勤汇总!$E3)</f>
        <v>0</v>
      </c>
      <c r="O3" s="74">
        <v>44602</v>
      </c>
      <c r="P3" s="1">
        <f>SUMIFS(考勤清单!Q:Q,考勤清单!$D:$D,考勤汇总!$C3,考勤清单!$F:$F,考勤汇总!$E3,考勤清单!$G:$G,"&lt;="&amp;考勤汇总!$O3)</f>
        <v>0</v>
      </c>
      <c r="Q3" s="1">
        <f>SUMIFS(考勤清单!R:R,考勤清单!$D:$D,考勤汇总!$C3,考勤清单!$F:$F,考勤汇总!$E3,考勤清单!$G:$G,"&lt;="&amp;考勤汇总!$O3)</f>
        <v>0</v>
      </c>
      <c r="R3" s="1">
        <f>SUMIFS(考勤清单!S:S,考勤清单!$D:$D,考勤汇总!$C3,考勤清单!$F:$F,考勤汇总!$E3,考勤清单!$G:$G,"&lt;="&amp;考勤汇总!$O3)</f>
        <v>0</v>
      </c>
      <c r="S3" s="1">
        <f>SUMIFS(考勤清单!T:T,考勤清单!$D:$D,考勤汇总!$C3,考勤清单!$F:$F,考勤汇总!$E3,考勤清单!$G:$G,"&lt;="&amp;考勤汇总!$O3)</f>
        <v>0</v>
      </c>
      <c r="T3" s="1">
        <f>SUMIFS(考勤清单!U:U,考勤清单!$D:$D,考勤汇总!$C3,考勤清单!$F:$F,考勤汇总!$E3,考勤清单!$G:$G,"&lt;="&amp;考勤汇总!$O3)</f>
        <v>0</v>
      </c>
      <c r="U3" s="1">
        <f>SUMIFS(考勤清单!V:V,考勤清单!$D:$D,考勤汇总!$C3,考勤清单!$F:$F,考勤汇总!$E3,考勤清单!$G:$G,"&lt;="&amp;考勤汇总!$O3)</f>
        <v>0</v>
      </c>
      <c r="V3" s="1">
        <f>SUMIFS(考勤清单!W:W,考勤清单!$D:$D,考勤汇总!$C3,考勤清单!$F:$F,考勤汇总!$E3,考勤清单!$G:$G,"&lt;="&amp;考勤汇总!$O3)</f>
        <v>0</v>
      </c>
      <c r="W3" s="1">
        <f>SUMIFS(考勤清单!X:X,考勤清单!$D:$D,考勤汇总!$C3,考勤清单!$F:$F,考勤汇总!$E3,考勤清单!$G:$G,"&lt;="&amp;考勤汇总!$O3)</f>
        <v>0</v>
      </c>
      <c r="X3" s="74">
        <v>44612</v>
      </c>
      <c r="Y3" s="1">
        <f t="shared" ref="Y3:Y9" si="1">G3-P3-AH3</f>
        <v>0</v>
      </c>
      <c r="Z3" s="1">
        <f t="shared" ref="Z3:Z9" si="2">H3-Q3-AI3</f>
        <v>0</v>
      </c>
      <c r="AA3" s="1">
        <f t="shared" ref="AA3:AA9" si="3">I3-R3-AJ3</f>
        <v>0</v>
      </c>
      <c r="AB3" s="1">
        <f t="shared" ref="AB3:AB9" si="4">J3-S3-AK3</f>
        <v>0</v>
      </c>
      <c r="AC3" s="1">
        <f t="shared" ref="AC3:AC9" si="5">K3-T3-AL3</f>
        <v>0</v>
      </c>
      <c r="AD3" s="1">
        <f t="shared" ref="AD3:AD9" si="6">L3-U3-AM3</f>
        <v>0</v>
      </c>
      <c r="AE3" s="1">
        <f t="shared" ref="AE3:AE9" si="7">M3-V3-AN3</f>
        <v>0</v>
      </c>
      <c r="AF3" s="1">
        <f t="shared" ref="AF3:AF9" si="8">N3-W3-AO3</f>
        <v>0</v>
      </c>
      <c r="AG3" s="74">
        <f t="shared" ref="AG3:AG9" si="9">EOMONTH(X3,0)</f>
        <v>44620</v>
      </c>
      <c r="AH3" s="1">
        <f>SUMIFS(考勤清单!Q:Q,考勤清单!$D:$D,考勤汇总!$C3,考勤清单!$F:$F,考勤汇总!$E3,考勤清单!$G:$G,"&gt;"&amp;考勤汇总!$X3)</f>
        <v>0</v>
      </c>
      <c r="AI3" s="1">
        <f>SUMIFS(考勤清单!R:R,考勤清单!$D:$D,考勤汇总!$C3,考勤清单!$F:$F,考勤汇总!$E3,考勤清单!$G:$G,"&gt;"&amp;考勤汇总!$X3)</f>
        <v>0</v>
      </c>
      <c r="AJ3" s="1">
        <f>SUMIFS(考勤清单!S:S,考勤清单!$D:$D,考勤汇总!$C3,考勤清单!$F:$F,考勤汇总!$E3,考勤清单!$G:$G,"&gt;"&amp;考勤汇总!$X3)</f>
        <v>0</v>
      </c>
      <c r="AK3" s="1">
        <f>SUMIFS(考勤清单!T:T,考勤清单!$D:$D,考勤汇总!$C3,考勤清单!$F:$F,考勤汇总!$E3,考勤清单!$G:$G,"&gt;"&amp;考勤汇总!$X3)</f>
        <v>0</v>
      </c>
      <c r="AL3" s="1">
        <f>SUMIFS(考勤清单!U:U,考勤清单!$D:$D,考勤汇总!$C3,考勤清单!$F:$F,考勤汇总!$E3,考勤清单!$G:$G,"&gt;"&amp;考勤汇总!$X3)</f>
        <v>0</v>
      </c>
      <c r="AM3" s="1">
        <f>SUMIFS(考勤清单!V:V,考勤清单!$D:$D,考勤汇总!$C3,考勤清单!$F:$F,考勤汇总!$E3,考勤清单!$G:$G,"&gt;"&amp;考勤汇总!$X3)</f>
        <v>0</v>
      </c>
      <c r="AN3" s="1">
        <f>SUMIFS(考勤清单!W:W,考勤清单!$D:$D,考勤汇总!$C3,考勤清单!$F:$F,考勤汇总!$E3,考勤清单!$G:$G,"&gt;"&amp;考勤汇总!$X3)</f>
        <v>0</v>
      </c>
      <c r="AO3" s="1">
        <f>SUMIFS(考勤清单!X:X,考勤清单!$D:$D,考勤汇总!$C3,考勤清单!$F:$F,考勤汇总!$E3,考勤清单!$G:$G,"&gt;"&amp;考勤汇总!$X3)</f>
        <v>0</v>
      </c>
    </row>
    <row r="4" spans="1:41" ht="14.25" customHeight="1" x14ac:dyDescent="0.2">
      <c r="C4" s="10" t="s">
        <v>85</v>
      </c>
      <c r="D4" s="10" t="s">
        <v>84</v>
      </c>
      <c r="E4" s="10" t="s">
        <v>87</v>
      </c>
      <c r="F4" s="10" t="s">
        <v>86</v>
      </c>
      <c r="G4" s="1">
        <f>SUMIFS(考勤清单!Q:Q,考勤清单!$D:$D,考勤汇总!$C4,考勤清单!$F:$F,考勤汇总!$E4)</f>
        <v>0</v>
      </c>
      <c r="H4" s="1">
        <f>SUMIFS(考勤清单!R:R,考勤清单!$D:$D,考勤汇总!$C4,考勤清单!$F:$F,考勤汇总!$E4)</f>
        <v>0</v>
      </c>
      <c r="I4" s="1">
        <f>SUMIFS(考勤清单!S:S,考勤清单!$D:$D,考勤汇总!$C4,考勤清单!$F:$F,考勤汇总!$E4)</f>
        <v>0</v>
      </c>
      <c r="J4" s="1">
        <f>SUMIFS(考勤清单!T:T,考勤清单!$D:$D,考勤汇总!$C4,考勤清单!$F:$F,考勤汇总!$E4)</f>
        <v>0</v>
      </c>
      <c r="K4" s="1">
        <f>SUMIFS(考勤清单!U:U,考勤清单!$D:$D,考勤汇总!$C4,考勤清单!$F:$F,考勤汇总!$E4)</f>
        <v>0</v>
      </c>
      <c r="L4" s="1">
        <f>SUMIFS(考勤清单!V:V,考勤清单!$D:$D,考勤汇总!$C4,考勤清单!$F:$F,考勤汇总!$E4)</f>
        <v>0</v>
      </c>
      <c r="M4" s="1">
        <f>SUMIFS(考勤清单!W:W,考勤清单!$D:$D,考勤汇总!$C4,考勤清单!$F:$F,考勤汇总!$E4)</f>
        <v>0</v>
      </c>
      <c r="N4" s="1">
        <f>SUMIFS(考勤清单!X:X,考勤清单!$D:$D,考勤汇总!$C4,考勤清单!$F:$F,考勤汇总!$E4)</f>
        <v>0</v>
      </c>
      <c r="O4" s="74">
        <v>44602</v>
      </c>
      <c r="P4" s="1">
        <f>SUMIFS(考勤清单!Q:Q,考勤清单!$D:$D,考勤汇总!$C4,考勤清单!$F:$F,考勤汇总!$E4,考勤清单!$G:$G,"&lt;="&amp;考勤汇总!$O4)</f>
        <v>0</v>
      </c>
      <c r="Q4" s="1">
        <f>SUMIFS(考勤清单!R:R,考勤清单!$D:$D,考勤汇总!$C4,考勤清单!$F:$F,考勤汇总!$E4,考勤清单!$G:$G,"&lt;="&amp;考勤汇总!$O4)</f>
        <v>0</v>
      </c>
      <c r="R4" s="1">
        <f>SUMIFS(考勤清单!S:S,考勤清单!$D:$D,考勤汇总!$C4,考勤清单!$F:$F,考勤汇总!$E4,考勤清单!$G:$G,"&lt;="&amp;考勤汇总!$O4)</f>
        <v>0</v>
      </c>
      <c r="S4" s="1">
        <f>SUMIFS(考勤清单!T:T,考勤清单!$D:$D,考勤汇总!$C4,考勤清单!$F:$F,考勤汇总!$E4,考勤清单!$G:$G,"&lt;="&amp;考勤汇总!$O4)</f>
        <v>0</v>
      </c>
      <c r="T4" s="1">
        <f>SUMIFS(考勤清单!U:U,考勤清单!$D:$D,考勤汇总!$C4,考勤清单!$F:$F,考勤汇总!$E4,考勤清单!$G:$G,"&lt;="&amp;考勤汇总!$O4)</f>
        <v>0</v>
      </c>
      <c r="U4" s="1">
        <f>SUMIFS(考勤清单!V:V,考勤清单!$D:$D,考勤汇总!$C4,考勤清单!$F:$F,考勤汇总!$E4,考勤清单!$G:$G,"&lt;="&amp;考勤汇总!$O4)</f>
        <v>0</v>
      </c>
      <c r="V4" s="1">
        <f>SUMIFS(考勤清单!W:W,考勤清单!$D:$D,考勤汇总!$C4,考勤清单!$F:$F,考勤汇总!$E4,考勤清单!$G:$G,"&lt;="&amp;考勤汇总!$O4)</f>
        <v>0</v>
      </c>
      <c r="W4" s="1">
        <f>SUMIFS(考勤清单!X:X,考勤清单!$D:$D,考勤汇总!$C4,考勤清单!$F:$F,考勤汇总!$E4,考勤清单!$G:$G,"&lt;="&amp;考勤汇总!$O4)</f>
        <v>0</v>
      </c>
      <c r="X4" s="74">
        <v>44612</v>
      </c>
      <c r="Y4" s="1">
        <f t="shared" si="1"/>
        <v>0</v>
      </c>
      <c r="Z4" s="1">
        <f t="shared" si="2"/>
        <v>0</v>
      </c>
      <c r="AA4" s="1">
        <f t="shared" si="3"/>
        <v>0</v>
      </c>
      <c r="AB4" s="1">
        <f t="shared" si="4"/>
        <v>0</v>
      </c>
      <c r="AC4" s="1">
        <f t="shared" si="5"/>
        <v>0</v>
      </c>
      <c r="AD4" s="1">
        <f t="shared" si="6"/>
        <v>0</v>
      </c>
      <c r="AE4" s="1">
        <f t="shared" si="7"/>
        <v>0</v>
      </c>
      <c r="AF4" s="1">
        <f t="shared" si="8"/>
        <v>0</v>
      </c>
      <c r="AG4" s="74">
        <f t="shared" si="9"/>
        <v>44620</v>
      </c>
      <c r="AH4" s="1">
        <f>SUMIFS(考勤清单!Q:Q,考勤清单!$D:$D,考勤汇总!$C4,考勤清单!$F:$F,考勤汇总!$E4,考勤清单!$G:$G,"&gt;"&amp;考勤汇总!$X4)</f>
        <v>0</v>
      </c>
      <c r="AI4" s="1">
        <f>SUMIFS(考勤清单!R:R,考勤清单!$D:$D,考勤汇总!$C4,考勤清单!$F:$F,考勤汇总!$E4,考勤清单!$G:$G,"&gt;"&amp;考勤汇总!$X4)</f>
        <v>0</v>
      </c>
      <c r="AJ4" s="1">
        <f>SUMIFS(考勤清单!S:S,考勤清单!$D:$D,考勤汇总!$C4,考勤清单!$F:$F,考勤汇总!$E4,考勤清单!$G:$G,"&gt;"&amp;考勤汇总!$X4)</f>
        <v>0</v>
      </c>
      <c r="AK4" s="1">
        <f>SUMIFS(考勤清单!T:T,考勤清单!$D:$D,考勤汇总!$C4,考勤清单!$F:$F,考勤汇总!$E4,考勤清单!$G:$G,"&gt;"&amp;考勤汇总!$X4)</f>
        <v>0</v>
      </c>
      <c r="AL4" s="1">
        <f>SUMIFS(考勤清单!U:U,考勤清单!$D:$D,考勤汇总!$C4,考勤清单!$F:$F,考勤汇总!$E4,考勤清单!$G:$G,"&gt;"&amp;考勤汇总!$X4)</f>
        <v>0</v>
      </c>
      <c r="AM4" s="1">
        <f>SUMIFS(考勤清单!V:V,考勤清单!$D:$D,考勤汇总!$C4,考勤清单!$F:$F,考勤汇总!$E4,考勤清单!$G:$G,"&gt;"&amp;考勤汇总!$X4)</f>
        <v>0</v>
      </c>
      <c r="AN4" s="1">
        <f>SUMIFS(考勤清单!W:W,考勤清单!$D:$D,考勤汇总!$C4,考勤清单!$F:$F,考勤汇总!$E4,考勤清单!$G:$G,"&gt;"&amp;考勤汇总!$X4)</f>
        <v>0</v>
      </c>
      <c r="AO4" s="1">
        <f>SUMIFS(考勤清单!X:X,考勤清单!$D:$D,考勤汇总!$C4,考勤清单!$F:$F,考勤汇总!$E4,考勤清单!$G:$G,"&gt;"&amp;考勤汇总!$X4)</f>
        <v>0</v>
      </c>
    </row>
    <row r="5" spans="1:41" ht="14.25" customHeight="1" x14ac:dyDescent="0.2">
      <c r="C5" s="10" t="s">
        <v>89</v>
      </c>
      <c r="D5" s="10" t="s">
        <v>88</v>
      </c>
      <c r="E5" s="10" t="s">
        <v>90</v>
      </c>
      <c r="F5" s="10" t="s">
        <v>86</v>
      </c>
      <c r="G5" s="1">
        <f>SUMIFS(考勤清单!Q:Q,考勤清单!$D:$D,考勤汇总!$C5,考勤清单!$F:$F,考勤汇总!$E5)</f>
        <v>0</v>
      </c>
      <c r="H5" s="1">
        <f>SUMIFS(考勤清单!R:R,考勤清单!$D:$D,考勤汇总!$C5,考勤清单!$F:$F,考勤汇总!$E5)</f>
        <v>0</v>
      </c>
      <c r="I5" s="1">
        <f>SUMIFS(考勤清单!S:S,考勤清单!$D:$D,考勤汇总!$C5,考勤清单!$F:$F,考勤汇总!$E5)</f>
        <v>0</v>
      </c>
      <c r="J5" s="1">
        <f>SUMIFS(考勤清单!T:T,考勤清单!$D:$D,考勤汇总!$C5,考勤清单!$F:$F,考勤汇总!$E5)</f>
        <v>0</v>
      </c>
      <c r="K5" s="1">
        <f>SUMIFS(考勤清单!U:U,考勤清单!$D:$D,考勤汇总!$C5,考勤清单!$F:$F,考勤汇总!$E5)</f>
        <v>0</v>
      </c>
      <c r="L5" s="1">
        <f>SUMIFS(考勤清单!V:V,考勤清单!$D:$D,考勤汇总!$C5,考勤清单!$F:$F,考勤汇总!$E5)</f>
        <v>0</v>
      </c>
      <c r="M5" s="1">
        <f>SUMIFS(考勤清单!W:W,考勤清单!$D:$D,考勤汇总!$C5,考勤清单!$F:$F,考勤汇总!$E5)</f>
        <v>0</v>
      </c>
      <c r="N5" s="1">
        <f>SUMIFS(考勤清单!X:X,考勤清单!$D:$D,考勤汇总!$C5,考勤清单!$F:$F,考勤汇总!$E5)</f>
        <v>0</v>
      </c>
      <c r="O5" s="74">
        <v>44602</v>
      </c>
      <c r="P5" s="1">
        <f>SUMIFS(考勤清单!Q:Q,考勤清单!$D:$D,考勤汇总!$C5,考勤清单!$F:$F,考勤汇总!$E5,考勤清单!$G:$G,"&lt;="&amp;考勤汇总!$O5)</f>
        <v>0</v>
      </c>
      <c r="Q5" s="1">
        <f>SUMIFS(考勤清单!R:R,考勤清单!$D:$D,考勤汇总!$C5,考勤清单!$F:$F,考勤汇总!$E5,考勤清单!$G:$G,"&lt;="&amp;考勤汇总!$O5)</f>
        <v>0</v>
      </c>
      <c r="R5" s="1">
        <f>SUMIFS(考勤清单!S:S,考勤清单!$D:$D,考勤汇总!$C5,考勤清单!$F:$F,考勤汇总!$E5,考勤清单!$G:$G,"&lt;="&amp;考勤汇总!$O5)</f>
        <v>0</v>
      </c>
      <c r="S5" s="1">
        <f>SUMIFS(考勤清单!T:T,考勤清单!$D:$D,考勤汇总!$C5,考勤清单!$F:$F,考勤汇总!$E5,考勤清单!$G:$G,"&lt;="&amp;考勤汇总!$O5)</f>
        <v>0</v>
      </c>
      <c r="T5" s="1">
        <f>SUMIFS(考勤清单!U:U,考勤清单!$D:$D,考勤汇总!$C5,考勤清单!$F:$F,考勤汇总!$E5,考勤清单!$G:$G,"&lt;="&amp;考勤汇总!$O5)</f>
        <v>0</v>
      </c>
      <c r="U5" s="1">
        <f>SUMIFS(考勤清单!V:V,考勤清单!$D:$D,考勤汇总!$C5,考勤清单!$F:$F,考勤汇总!$E5,考勤清单!$G:$G,"&lt;="&amp;考勤汇总!$O5)</f>
        <v>0</v>
      </c>
      <c r="V5" s="1">
        <f>SUMIFS(考勤清单!W:W,考勤清单!$D:$D,考勤汇总!$C5,考勤清单!$F:$F,考勤汇总!$E5,考勤清单!$G:$G,"&lt;="&amp;考勤汇总!$O5)</f>
        <v>0</v>
      </c>
      <c r="W5" s="1">
        <f>SUMIFS(考勤清单!X:X,考勤清单!$D:$D,考勤汇总!$C5,考勤清单!$F:$F,考勤汇总!$E5,考勤清单!$G:$G,"&lt;="&amp;考勤汇总!$O5)</f>
        <v>0</v>
      </c>
      <c r="X5" s="74">
        <v>44612</v>
      </c>
      <c r="Y5" s="1">
        <f t="shared" si="1"/>
        <v>0</v>
      </c>
      <c r="Z5" s="1">
        <f t="shared" si="2"/>
        <v>0</v>
      </c>
      <c r="AA5" s="1">
        <f t="shared" si="3"/>
        <v>0</v>
      </c>
      <c r="AB5" s="1">
        <f t="shared" si="4"/>
        <v>0</v>
      </c>
      <c r="AC5" s="1">
        <f t="shared" si="5"/>
        <v>0</v>
      </c>
      <c r="AD5" s="1">
        <f t="shared" si="6"/>
        <v>0</v>
      </c>
      <c r="AE5" s="1">
        <f t="shared" si="7"/>
        <v>0</v>
      </c>
      <c r="AF5" s="1">
        <f t="shared" si="8"/>
        <v>0</v>
      </c>
      <c r="AG5" s="74">
        <f t="shared" si="9"/>
        <v>44620</v>
      </c>
      <c r="AH5" s="1">
        <f>SUMIFS(考勤清单!Q:Q,考勤清单!$D:$D,考勤汇总!$C5,考勤清单!$F:$F,考勤汇总!$E5,考勤清单!$G:$G,"&gt;"&amp;考勤汇总!$X5)</f>
        <v>0</v>
      </c>
      <c r="AI5" s="1">
        <f>SUMIFS(考勤清单!R:R,考勤清单!$D:$D,考勤汇总!$C5,考勤清单!$F:$F,考勤汇总!$E5,考勤清单!$G:$G,"&gt;"&amp;考勤汇总!$X5)</f>
        <v>0</v>
      </c>
      <c r="AJ5" s="1">
        <f>SUMIFS(考勤清单!S:S,考勤清单!$D:$D,考勤汇总!$C5,考勤清单!$F:$F,考勤汇总!$E5,考勤清单!$G:$G,"&gt;"&amp;考勤汇总!$X5)</f>
        <v>0</v>
      </c>
      <c r="AK5" s="1">
        <f>SUMIFS(考勤清单!T:T,考勤清单!$D:$D,考勤汇总!$C5,考勤清单!$F:$F,考勤汇总!$E5,考勤清单!$G:$G,"&gt;"&amp;考勤汇总!$X5)</f>
        <v>0</v>
      </c>
      <c r="AL5" s="1">
        <f>SUMIFS(考勤清单!U:U,考勤清单!$D:$D,考勤汇总!$C5,考勤清单!$F:$F,考勤汇总!$E5,考勤清单!$G:$G,"&gt;"&amp;考勤汇总!$X5)</f>
        <v>0</v>
      </c>
      <c r="AM5" s="1">
        <f>SUMIFS(考勤清单!V:V,考勤清单!$D:$D,考勤汇总!$C5,考勤清单!$F:$F,考勤汇总!$E5,考勤清单!$G:$G,"&gt;"&amp;考勤汇总!$X5)</f>
        <v>0</v>
      </c>
      <c r="AN5" s="1">
        <f>SUMIFS(考勤清单!W:W,考勤清单!$D:$D,考勤汇总!$C5,考勤清单!$F:$F,考勤汇总!$E5,考勤清单!$G:$G,"&gt;"&amp;考勤汇总!$X5)</f>
        <v>0</v>
      </c>
      <c r="AO5" s="1">
        <f>SUMIFS(考勤清单!X:X,考勤清单!$D:$D,考勤汇总!$C5,考勤清单!$F:$F,考勤汇总!$E5,考勤清单!$G:$G,"&gt;"&amp;考勤汇总!$X5)</f>
        <v>0</v>
      </c>
    </row>
    <row r="6" spans="1:41" ht="14.25" customHeight="1" x14ac:dyDescent="0.2">
      <c r="C6" s="10" t="s">
        <v>94</v>
      </c>
      <c r="D6" s="10" t="s">
        <v>93</v>
      </c>
      <c r="E6" s="10" t="s">
        <v>95</v>
      </c>
      <c r="F6" s="10" t="s">
        <v>86</v>
      </c>
      <c r="G6" s="1">
        <f>SUMIFS(考勤清单!Q:Q,考勤清单!$D:$D,考勤汇总!$C6,考勤清单!$F:$F,考勤汇总!$E6)</f>
        <v>0</v>
      </c>
      <c r="H6" s="1">
        <f>SUMIFS(考勤清单!R:R,考勤清单!$D:$D,考勤汇总!$C6,考勤清单!$F:$F,考勤汇总!$E6)</f>
        <v>0</v>
      </c>
      <c r="I6" s="1">
        <f>SUMIFS(考勤清单!S:S,考勤清单!$D:$D,考勤汇总!$C6,考勤清单!$F:$F,考勤汇总!$E6)</f>
        <v>0</v>
      </c>
      <c r="J6" s="1">
        <f>SUMIFS(考勤清单!T:T,考勤清单!$D:$D,考勤汇总!$C6,考勤清单!$F:$F,考勤汇总!$E6)</f>
        <v>0</v>
      </c>
      <c r="K6" s="1">
        <f>SUMIFS(考勤清单!U:U,考勤清单!$D:$D,考勤汇总!$C6,考勤清单!$F:$F,考勤汇总!$E6)</f>
        <v>0</v>
      </c>
      <c r="L6" s="1">
        <f>SUMIFS(考勤清单!V:V,考勤清单!$D:$D,考勤汇总!$C6,考勤清单!$F:$F,考勤汇总!$E6)</f>
        <v>0</v>
      </c>
      <c r="M6" s="1">
        <f>SUMIFS(考勤清单!W:W,考勤清单!$D:$D,考勤汇总!$C6,考勤清单!$F:$F,考勤汇总!$E6)</f>
        <v>0</v>
      </c>
      <c r="N6" s="1">
        <f>SUMIFS(考勤清单!X:X,考勤清单!$D:$D,考勤汇总!$C6,考勤清单!$F:$F,考勤汇总!$E6)</f>
        <v>0</v>
      </c>
      <c r="O6" s="74">
        <v>44602</v>
      </c>
      <c r="P6" s="1">
        <f>SUMIFS(考勤清单!Q:Q,考勤清单!$D:$D,考勤汇总!$C6,考勤清单!$F:$F,考勤汇总!$E6,考勤清单!$G:$G,"&lt;="&amp;考勤汇总!$O6)</f>
        <v>0</v>
      </c>
      <c r="Q6" s="1">
        <f>SUMIFS(考勤清单!R:R,考勤清单!$D:$D,考勤汇总!$C6,考勤清单!$F:$F,考勤汇总!$E6,考勤清单!$G:$G,"&lt;="&amp;考勤汇总!$O6)</f>
        <v>0</v>
      </c>
      <c r="R6" s="1">
        <f>SUMIFS(考勤清单!S:S,考勤清单!$D:$D,考勤汇总!$C6,考勤清单!$F:$F,考勤汇总!$E6,考勤清单!$G:$G,"&lt;="&amp;考勤汇总!$O6)</f>
        <v>0</v>
      </c>
      <c r="S6" s="1">
        <f>SUMIFS(考勤清单!T:T,考勤清单!$D:$D,考勤汇总!$C6,考勤清单!$F:$F,考勤汇总!$E6,考勤清单!$G:$G,"&lt;="&amp;考勤汇总!$O6)</f>
        <v>0</v>
      </c>
      <c r="T6" s="1">
        <f>SUMIFS(考勤清单!U:U,考勤清单!$D:$D,考勤汇总!$C6,考勤清单!$F:$F,考勤汇总!$E6,考勤清单!$G:$G,"&lt;="&amp;考勤汇总!$O6)</f>
        <v>0</v>
      </c>
      <c r="U6" s="1">
        <f>SUMIFS(考勤清单!V:V,考勤清单!$D:$D,考勤汇总!$C6,考勤清单!$F:$F,考勤汇总!$E6,考勤清单!$G:$G,"&lt;="&amp;考勤汇总!$O6)</f>
        <v>0</v>
      </c>
      <c r="V6" s="1">
        <f>SUMIFS(考勤清单!W:W,考勤清单!$D:$D,考勤汇总!$C6,考勤清单!$F:$F,考勤汇总!$E6,考勤清单!$G:$G,"&lt;="&amp;考勤汇总!$O6)</f>
        <v>0</v>
      </c>
      <c r="W6" s="1">
        <f>SUMIFS(考勤清单!X:X,考勤清单!$D:$D,考勤汇总!$C6,考勤清单!$F:$F,考勤汇总!$E6,考勤清单!$G:$G,"&lt;="&amp;考勤汇总!$O6)</f>
        <v>0</v>
      </c>
      <c r="X6" s="74">
        <v>44612</v>
      </c>
      <c r="Y6" s="1">
        <f t="shared" si="1"/>
        <v>0</v>
      </c>
      <c r="Z6" s="1">
        <f t="shared" si="2"/>
        <v>0</v>
      </c>
      <c r="AA6" s="1">
        <f t="shared" si="3"/>
        <v>0</v>
      </c>
      <c r="AB6" s="1">
        <f t="shared" si="4"/>
        <v>0</v>
      </c>
      <c r="AC6" s="1">
        <f t="shared" si="5"/>
        <v>0</v>
      </c>
      <c r="AD6" s="1">
        <f t="shared" si="6"/>
        <v>0</v>
      </c>
      <c r="AE6" s="1">
        <f t="shared" si="7"/>
        <v>0</v>
      </c>
      <c r="AF6" s="1">
        <f t="shared" si="8"/>
        <v>0</v>
      </c>
      <c r="AG6" s="74">
        <f t="shared" si="9"/>
        <v>44620</v>
      </c>
      <c r="AH6" s="1">
        <f>SUMIFS(考勤清单!Q:Q,考勤清单!$D:$D,考勤汇总!$C6,考勤清单!$F:$F,考勤汇总!$E6,考勤清单!$G:$G,"&gt;"&amp;考勤汇总!$X6)</f>
        <v>0</v>
      </c>
      <c r="AI6" s="1">
        <f>SUMIFS(考勤清单!R:R,考勤清单!$D:$D,考勤汇总!$C6,考勤清单!$F:$F,考勤汇总!$E6,考勤清单!$G:$G,"&gt;"&amp;考勤汇总!$X6)</f>
        <v>0</v>
      </c>
      <c r="AJ6" s="1">
        <f>SUMIFS(考勤清单!S:S,考勤清单!$D:$D,考勤汇总!$C6,考勤清单!$F:$F,考勤汇总!$E6,考勤清单!$G:$G,"&gt;"&amp;考勤汇总!$X6)</f>
        <v>0</v>
      </c>
      <c r="AK6" s="1">
        <f>SUMIFS(考勤清单!T:T,考勤清单!$D:$D,考勤汇总!$C6,考勤清单!$F:$F,考勤汇总!$E6,考勤清单!$G:$G,"&gt;"&amp;考勤汇总!$X6)</f>
        <v>0</v>
      </c>
      <c r="AL6" s="1">
        <f>SUMIFS(考勤清单!U:U,考勤清单!$D:$D,考勤汇总!$C6,考勤清单!$F:$F,考勤汇总!$E6,考勤清单!$G:$G,"&gt;"&amp;考勤汇总!$X6)</f>
        <v>0</v>
      </c>
      <c r="AM6" s="1">
        <f>SUMIFS(考勤清单!V:V,考勤清单!$D:$D,考勤汇总!$C6,考勤清单!$F:$F,考勤汇总!$E6,考勤清单!$G:$G,"&gt;"&amp;考勤汇总!$X6)</f>
        <v>0</v>
      </c>
      <c r="AN6" s="1">
        <f>SUMIFS(考勤清单!W:W,考勤清单!$D:$D,考勤汇总!$C6,考勤清单!$F:$F,考勤汇总!$E6,考勤清单!$G:$G,"&gt;"&amp;考勤汇总!$X6)</f>
        <v>0</v>
      </c>
      <c r="AO6" s="1">
        <f>SUMIFS(考勤清单!X:X,考勤清单!$D:$D,考勤汇总!$C6,考勤清单!$F:$F,考勤汇总!$E6,考勤清单!$G:$G,"&gt;"&amp;考勤汇总!$X6)</f>
        <v>0</v>
      </c>
    </row>
    <row r="7" spans="1:41" ht="14.25" customHeight="1" x14ac:dyDescent="0.2">
      <c r="C7" s="10" t="s">
        <v>97</v>
      </c>
      <c r="D7" s="10" t="s">
        <v>96</v>
      </c>
      <c r="E7" s="10" t="s">
        <v>98</v>
      </c>
      <c r="F7" s="10" t="s">
        <v>86</v>
      </c>
      <c r="G7" s="1">
        <f>SUMIFS(考勤清单!Q:Q,考勤清单!$D:$D,考勤汇总!$C7,考勤清单!$F:$F,考勤汇总!$E7)</f>
        <v>0</v>
      </c>
      <c r="H7" s="1">
        <f>SUMIFS(考勤清单!R:R,考勤清单!$D:$D,考勤汇总!$C7,考勤清单!$F:$F,考勤汇总!$E7)</f>
        <v>0</v>
      </c>
      <c r="I7" s="1">
        <f>SUMIFS(考勤清单!S:S,考勤清单!$D:$D,考勤汇总!$C7,考勤清单!$F:$F,考勤汇总!$E7)</f>
        <v>0</v>
      </c>
      <c r="J7" s="1">
        <f>SUMIFS(考勤清单!T:T,考勤清单!$D:$D,考勤汇总!$C7,考勤清单!$F:$F,考勤汇总!$E7)</f>
        <v>0</v>
      </c>
      <c r="K7" s="1">
        <f>SUMIFS(考勤清单!U:U,考勤清单!$D:$D,考勤汇总!$C7,考勤清单!$F:$F,考勤汇总!$E7)</f>
        <v>0</v>
      </c>
      <c r="L7" s="1">
        <f>SUMIFS(考勤清单!V:V,考勤清单!$D:$D,考勤汇总!$C7,考勤清单!$F:$F,考勤汇总!$E7)</f>
        <v>0</v>
      </c>
      <c r="M7" s="1">
        <f>SUMIFS(考勤清单!W:W,考勤清单!$D:$D,考勤汇总!$C7,考勤清单!$F:$F,考勤汇总!$E7)</f>
        <v>0</v>
      </c>
      <c r="N7" s="1">
        <f>SUMIFS(考勤清单!X:X,考勤清单!$D:$D,考勤汇总!$C7,考勤清单!$F:$F,考勤汇总!$E7)</f>
        <v>0</v>
      </c>
      <c r="O7" s="74">
        <v>44602</v>
      </c>
      <c r="P7" s="1">
        <f>SUMIFS(考勤清单!Q:Q,考勤清单!$D:$D,考勤汇总!$C7,考勤清单!$F:$F,考勤汇总!$E7,考勤清单!$G:$G,"&lt;="&amp;考勤汇总!$O7)</f>
        <v>0</v>
      </c>
      <c r="Q7" s="1">
        <f>SUMIFS(考勤清单!R:R,考勤清单!$D:$D,考勤汇总!$C7,考勤清单!$F:$F,考勤汇总!$E7,考勤清单!$G:$G,"&lt;="&amp;考勤汇总!$O7)</f>
        <v>0</v>
      </c>
      <c r="R7" s="1">
        <f>SUMIFS(考勤清单!S:S,考勤清单!$D:$D,考勤汇总!$C7,考勤清单!$F:$F,考勤汇总!$E7,考勤清单!$G:$G,"&lt;="&amp;考勤汇总!$O7)</f>
        <v>0</v>
      </c>
      <c r="S7" s="1">
        <f>SUMIFS(考勤清单!T:T,考勤清单!$D:$D,考勤汇总!$C7,考勤清单!$F:$F,考勤汇总!$E7,考勤清单!$G:$G,"&lt;="&amp;考勤汇总!$O7)</f>
        <v>0</v>
      </c>
      <c r="T7" s="1">
        <f>SUMIFS(考勤清单!U:U,考勤清单!$D:$D,考勤汇总!$C7,考勤清单!$F:$F,考勤汇总!$E7,考勤清单!$G:$G,"&lt;="&amp;考勤汇总!$O7)</f>
        <v>0</v>
      </c>
      <c r="U7" s="1">
        <f>SUMIFS(考勤清单!V:V,考勤清单!$D:$D,考勤汇总!$C7,考勤清单!$F:$F,考勤汇总!$E7,考勤清单!$G:$G,"&lt;="&amp;考勤汇总!$O7)</f>
        <v>0</v>
      </c>
      <c r="V7" s="1">
        <f>SUMIFS(考勤清单!W:W,考勤清单!$D:$D,考勤汇总!$C7,考勤清单!$F:$F,考勤汇总!$E7,考勤清单!$G:$G,"&lt;="&amp;考勤汇总!$O7)</f>
        <v>0</v>
      </c>
      <c r="W7" s="1">
        <f>SUMIFS(考勤清单!X:X,考勤清单!$D:$D,考勤汇总!$C7,考勤清单!$F:$F,考勤汇总!$E7,考勤清单!$G:$G,"&lt;="&amp;考勤汇总!$O7)</f>
        <v>0</v>
      </c>
      <c r="X7" s="74">
        <v>44612</v>
      </c>
      <c r="Y7" s="1">
        <f t="shared" si="1"/>
        <v>0</v>
      </c>
      <c r="Z7" s="1">
        <f t="shared" si="2"/>
        <v>0</v>
      </c>
      <c r="AA7" s="1">
        <f t="shared" si="3"/>
        <v>0</v>
      </c>
      <c r="AB7" s="1">
        <f t="shared" si="4"/>
        <v>0</v>
      </c>
      <c r="AC7" s="1">
        <f t="shared" si="5"/>
        <v>0</v>
      </c>
      <c r="AD7" s="1">
        <f t="shared" si="6"/>
        <v>0</v>
      </c>
      <c r="AE7" s="1">
        <f t="shared" si="7"/>
        <v>0</v>
      </c>
      <c r="AF7" s="1">
        <f t="shared" si="8"/>
        <v>0</v>
      </c>
      <c r="AG7" s="74">
        <f t="shared" si="9"/>
        <v>44620</v>
      </c>
      <c r="AH7" s="1">
        <f>SUMIFS(考勤清单!Q:Q,考勤清单!$D:$D,考勤汇总!$C7,考勤清单!$F:$F,考勤汇总!$E7,考勤清单!$G:$G,"&gt;"&amp;考勤汇总!$X7)</f>
        <v>0</v>
      </c>
      <c r="AI7" s="1">
        <f>SUMIFS(考勤清单!R:R,考勤清单!$D:$D,考勤汇总!$C7,考勤清单!$F:$F,考勤汇总!$E7,考勤清单!$G:$G,"&gt;"&amp;考勤汇总!$X7)</f>
        <v>0</v>
      </c>
      <c r="AJ7" s="1">
        <f>SUMIFS(考勤清单!S:S,考勤清单!$D:$D,考勤汇总!$C7,考勤清单!$F:$F,考勤汇总!$E7,考勤清单!$G:$G,"&gt;"&amp;考勤汇总!$X7)</f>
        <v>0</v>
      </c>
      <c r="AK7" s="1">
        <f>SUMIFS(考勤清单!T:T,考勤清单!$D:$D,考勤汇总!$C7,考勤清单!$F:$F,考勤汇总!$E7,考勤清单!$G:$G,"&gt;"&amp;考勤汇总!$X7)</f>
        <v>0</v>
      </c>
      <c r="AL7" s="1">
        <f>SUMIFS(考勤清单!U:U,考勤清单!$D:$D,考勤汇总!$C7,考勤清单!$F:$F,考勤汇总!$E7,考勤清单!$G:$G,"&gt;"&amp;考勤汇总!$X7)</f>
        <v>0</v>
      </c>
      <c r="AM7" s="1">
        <f>SUMIFS(考勤清单!V:V,考勤清单!$D:$D,考勤汇总!$C7,考勤清单!$F:$F,考勤汇总!$E7,考勤清单!$G:$G,"&gt;"&amp;考勤汇总!$X7)</f>
        <v>0</v>
      </c>
      <c r="AN7" s="1">
        <f>SUMIFS(考勤清单!W:W,考勤清单!$D:$D,考勤汇总!$C7,考勤清单!$F:$F,考勤汇总!$E7,考勤清单!$G:$G,"&gt;"&amp;考勤汇总!$X7)</f>
        <v>0</v>
      </c>
      <c r="AO7" s="1">
        <f>SUMIFS(考勤清单!X:X,考勤清单!$D:$D,考勤汇总!$C7,考勤清单!$F:$F,考勤汇总!$E7,考勤清单!$G:$G,"&gt;"&amp;考勤汇总!$X7)</f>
        <v>0</v>
      </c>
    </row>
    <row r="8" spans="1:41" ht="14.25" customHeight="1" x14ac:dyDescent="0.2">
      <c r="C8" s="10" t="s">
        <v>100</v>
      </c>
      <c r="D8" s="10" t="s">
        <v>99</v>
      </c>
      <c r="E8" s="10" t="s">
        <v>102</v>
      </c>
      <c r="F8" s="10" t="s">
        <v>101</v>
      </c>
      <c r="G8" s="1">
        <f>SUMIFS(考勤清单!Q:Q,考勤清单!$D:$D,考勤汇总!$C8,考勤清单!$F:$F,考勤汇总!$E8)</f>
        <v>0</v>
      </c>
      <c r="H8" s="1">
        <f>SUMIFS(考勤清单!R:R,考勤清单!$D:$D,考勤汇总!$C8,考勤清单!$F:$F,考勤汇总!$E8)</f>
        <v>0</v>
      </c>
      <c r="I8" s="1">
        <f>SUMIFS(考勤清单!S:S,考勤清单!$D:$D,考勤汇总!$C8,考勤清单!$F:$F,考勤汇总!$E8)</f>
        <v>0</v>
      </c>
      <c r="J8" s="1">
        <f>SUMIFS(考勤清单!T:T,考勤清单!$D:$D,考勤汇总!$C8,考勤清单!$F:$F,考勤汇总!$E8)</f>
        <v>0</v>
      </c>
      <c r="K8" s="1">
        <f>SUMIFS(考勤清单!U:U,考勤清单!$D:$D,考勤汇总!$C8,考勤清单!$F:$F,考勤汇总!$E8)</f>
        <v>0</v>
      </c>
      <c r="L8" s="1">
        <f>SUMIFS(考勤清单!V:V,考勤清单!$D:$D,考勤汇总!$C8,考勤清单!$F:$F,考勤汇总!$E8)</f>
        <v>0</v>
      </c>
      <c r="M8" s="1">
        <f>SUMIFS(考勤清单!W:W,考勤清单!$D:$D,考勤汇总!$C8,考勤清单!$F:$F,考勤汇总!$E8)</f>
        <v>0</v>
      </c>
      <c r="N8" s="1">
        <f>SUMIFS(考勤清单!X:X,考勤清单!$D:$D,考勤汇总!$C8,考勤清单!$F:$F,考勤汇总!$E8)</f>
        <v>0</v>
      </c>
      <c r="O8" s="74">
        <v>44602</v>
      </c>
      <c r="P8" s="1">
        <f>SUMIFS(考勤清单!Q:Q,考勤清单!$D:$D,考勤汇总!$C8,考勤清单!$F:$F,考勤汇总!$E8,考勤清单!$G:$G,"&lt;="&amp;考勤汇总!$O8)</f>
        <v>0</v>
      </c>
      <c r="Q8" s="1">
        <f>SUMIFS(考勤清单!R:R,考勤清单!$D:$D,考勤汇总!$C8,考勤清单!$F:$F,考勤汇总!$E8,考勤清单!$G:$G,"&lt;="&amp;考勤汇总!$O8)</f>
        <v>0</v>
      </c>
      <c r="R8" s="1">
        <f>SUMIFS(考勤清单!S:S,考勤清单!$D:$D,考勤汇总!$C8,考勤清单!$F:$F,考勤汇总!$E8,考勤清单!$G:$G,"&lt;="&amp;考勤汇总!$O8)</f>
        <v>0</v>
      </c>
      <c r="S8" s="1">
        <f>SUMIFS(考勤清单!T:T,考勤清单!$D:$D,考勤汇总!$C8,考勤清单!$F:$F,考勤汇总!$E8,考勤清单!$G:$G,"&lt;="&amp;考勤汇总!$O8)</f>
        <v>0</v>
      </c>
      <c r="T8" s="1">
        <f>SUMIFS(考勤清单!U:U,考勤清单!$D:$D,考勤汇总!$C8,考勤清单!$F:$F,考勤汇总!$E8,考勤清单!$G:$G,"&lt;="&amp;考勤汇总!$O8)</f>
        <v>0</v>
      </c>
      <c r="U8" s="1">
        <f>SUMIFS(考勤清单!V:V,考勤清单!$D:$D,考勤汇总!$C8,考勤清单!$F:$F,考勤汇总!$E8,考勤清单!$G:$G,"&lt;="&amp;考勤汇总!$O8)</f>
        <v>0</v>
      </c>
      <c r="V8" s="1">
        <f>SUMIFS(考勤清单!W:W,考勤清单!$D:$D,考勤汇总!$C8,考勤清单!$F:$F,考勤汇总!$E8,考勤清单!$G:$G,"&lt;="&amp;考勤汇总!$O8)</f>
        <v>0</v>
      </c>
      <c r="W8" s="1">
        <f>SUMIFS(考勤清单!X:X,考勤清单!$D:$D,考勤汇总!$C8,考勤清单!$F:$F,考勤汇总!$E8,考勤清单!$G:$G,"&lt;="&amp;考勤汇总!$O8)</f>
        <v>0</v>
      </c>
      <c r="X8" s="74">
        <v>44612</v>
      </c>
      <c r="Y8" s="1">
        <f t="shared" si="1"/>
        <v>0</v>
      </c>
      <c r="Z8" s="1">
        <f t="shared" si="2"/>
        <v>0</v>
      </c>
      <c r="AA8" s="1">
        <f t="shared" si="3"/>
        <v>0</v>
      </c>
      <c r="AB8" s="1">
        <f t="shared" si="4"/>
        <v>0</v>
      </c>
      <c r="AC8" s="1">
        <f t="shared" si="5"/>
        <v>0</v>
      </c>
      <c r="AD8" s="1">
        <f t="shared" si="6"/>
        <v>0</v>
      </c>
      <c r="AE8" s="1">
        <f t="shared" si="7"/>
        <v>0</v>
      </c>
      <c r="AF8" s="1">
        <f t="shared" si="8"/>
        <v>0</v>
      </c>
      <c r="AG8" s="74">
        <f t="shared" si="9"/>
        <v>44620</v>
      </c>
      <c r="AH8" s="1">
        <f>SUMIFS(考勤清单!Q:Q,考勤清单!$D:$D,考勤汇总!$C8,考勤清单!$F:$F,考勤汇总!$E8,考勤清单!$G:$G,"&gt;"&amp;考勤汇总!$X8)</f>
        <v>0</v>
      </c>
      <c r="AI8" s="1">
        <f>SUMIFS(考勤清单!R:R,考勤清单!$D:$D,考勤汇总!$C8,考勤清单!$F:$F,考勤汇总!$E8,考勤清单!$G:$G,"&gt;"&amp;考勤汇总!$X8)</f>
        <v>0</v>
      </c>
      <c r="AJ8" s="1">
        <f>SUMIFS(考勤清单!S:S,考勤清单!$D:$D,考勤汇总!$C8,考勤清单!$F:$F,考勤汇总!$E8,考勤清单!$G:$G,"&gt;"&amp;考勤汇总!$X8)</f>
        <v>0</v>
      </c>
      <c r="AK8" s="1">
        <f>SUMIFS(考勤清单!T:T,考勤清单!$D:$D,考勤汇总!$C8,考勤清单!$F:$F,考勤汇总!$E8,考勤清单!$G:$G,"&gt;"&amp;考勤汇总!$X8)</f>
        <v>0</v>
      </c>
      <c r="AL8" s="1">
        <f>SUMIFS(考勤清单!U:U,考勤清单!$D:$D,考勤汇总!$C8,考勤清单!$F:$F,考勤汇总!$E8,考勤清单!$G:$G,"&gt;"&amp;考勤汇总!$X8)</f>
        <v>0</v>
      </c>
      <c r="AM8" s="1">
        <f>SUMIFS(考勤清单!V:V,考勤清单!$D:$D,考勤汇总!$C8,考勤清单!$F:$F,考勤汇总!$E8,考勤清单!$G:$G,"&gt;"&amp;考勤汇总!$X8)</f>
        <v>0</v>
      </c>
      <c r="AN8" s="1">
        <f>SUMIFS(考勤清单!W:W,考勤清单!$D:$D,考勤汇总!$C8,考勤清单!$F:$F,考勤汇总!$E8,考勤清单!$G:$G,"&gt;"&amp;考勤汇总!$X8)</f>
        <v>0</v>
      </c>
      <c r="AO8" s="1">
        <f>SUMIFS(考勤清单!X:X,考勤清单!$D:$D,考勤汇总!$C8,考勤清单!$F:$F,考勤汇总!$E8,考勤清单!$G:$G,"&gt;"&amp;考勤汇总!$X8)</f>
        <v>0</v>
      </c>
    </row>
    <row r="9" spans="1:41" ht="14.25" customHeight="1" x14ac:dyDescent="0.2">
      <c r="C9" s="10" t="s">
        <v>104</v>
      </c>
      <c r="D9" s="10" t="s">
        <v>103</v>
      </c>
      <c r="E9" s="10" t="s">
        <v>105</v>
      </c>
      <c r="F9" s="10" t="s">
        <v>101</v>
      </c>
      <c r="G9" s="1">
        <f>SUMIFS(考勤清单!Q:Q,考勤清单!$D:$D,考勤汇总!$C9,考勤清单!$F:$F,考勤汇总!$E9)</f>
        <v>0</v>
      </c>
      <c r="H9" s="1">
        <f>SUMIFS(考勤清单!R:R,考勤清单!$D:$D,考勤汇总!$C9,考勤清单!$F:$F,考勤汇总!$E9)</f>
        <v>0</v>
      </c>
      <c r="I9" s="1">
        <f>SUMIFS(考勤清单!S:S,考勤清单!$D:$D,考勤汇总!$C9,考勤清单!$F:$F,考勤汇总!$E9)</f>
        <v>0</v>
      </c>
      <c r="J9" s="1">
        <f>SUMIFS(考勤清单!T:T,考勤清单!$D:$D,考勤汇总!$C9,考勤清单!$F:$F,考勤汇总!$E9)</f>
        <v>0</v>
      </c>
      <c r="K9" s="1">
        <f>SUMIFS(考勤清单!U:U,考勤清单!$D:$D,考勤汇总!$C9,考勤清单!$F:$F,考勤汇总!$E9)</f>
        <v>0</v>
      </c>
      <c r="L9" s="1">
        <f>SUMIFS(考勤清单!V:V,考勤清单!$D:$D,考勤汇总!$C9,考勤清单!$F:$F,考勤汇总!$E9)</f>
        <v>0</v>
      </c>
      <c r="M9" s="1">
        <f>SUMIFS(考勤清单!W:W,考勤清单!$D:$D,考勤汇总!$C9,考勤清单!$F:$F,考勤汇总!$E9)</f>
        <v>0</v>
      </c>
      <c r="N9" s="1">
        <f>SUMIFS(考勤清单!X:X,考勤清单!$D:$D,考勤汇总!$C9,考勤清单!$F:$F,考勤汇总!$E9)</f>
        <v>0</v>
      </c>
      <c r="O9" s="74">
        <v>44602</v>
      </c>
      <c r="P9" s="1">
        <f>SUMIFS(考勤清单!Q:Q,考勤清单!$D:$D,考勤汇总!$C9,考勤清单!$F:$F,考勤汇总!$E9,考勤清单!$G:$G,"&lt;="&amp;考勤汇总!$O9)</f>
        <v>0</v>
      </c>
      <c r="Q9" s="1">
        <f>SUMIFS(考勤清单!R:R,考勤清单!$D:$D,考勤汇总!$C9,考勤清单!$F:$F,考勤汇总!$E9,考勤清单!$G:$G,"&lt;="&amp;考勤汇总!$O9)</f>
        <v>0</v>
      </c>
      <c r="R9" s="1">
        <f>SUMIFS(考勤清单!S:S,考勤清单!$D:$D,考勤汇总!$C9,考勤清单!$F:$F,考勤汇总!$E9,考勤清单!$G:$G,"&lt;="&amp;考勤汇总!$O9)</f>
        <v>0</v>
      </c>
      <c r="S9" s="1">
        <f>SUMIFS(考勤清单!T:T,考勤清单!$D:$D,考勤汇总!$C9,考勤清单!$F:$F,考勤汇总!$E9,考勤清单!$G:$G,"&lt;="&amp;考勤汇总!$O9)</f>
        <v>0</v>
      </c>
      <c r="T9" s="1">
        <f>SUMIFS(考勤清单!U:U,考勤清单!$D:$D,考勤汇总!$C9,考勤清单!$F:$F,考勤汇总!$E9,考勤清单!$G:$G,"&lt;="&amp;考勤汇总!$O9)</f>
        <v>0</v>
      </c>
      <c r="U9" s="1">
        <f>SUMIFS(考勤清单!V:V,考勤清单!$D:$D,考勤汇总!$C9,考勤清单!$F:$F,考勤汇总!$E9,考勤清单!$G:$G,"&lt;="&amp;考勤汇总!$O9)</f>
        <v>0</v>
      </c>
      <c r="V9" s="1">
        <f>SUMIFS(考勤清单!W:W,考勤清单!$D:$D,考勤汇总!$C9,考勤清单!$F:$F,考勤汇总!$E9,考勤清单!$G:$G,"&lt;="&amp;考勤汇总!$O9)</f>
        <v>0</v>
      </c>
      <c r="W9" s="1">
        <f>SUMIFS(考勤清单!X:X,考勤清单!$D:$D,考勤汇总!$C9,考勤清单!$F:$F,考勤汇总!$E9,考勤清单!$G:$G,"&lt;="&amp;考勤汇总!$O9)</f>
        <v>0</v>
      </c>
      <c r="X9" s="74">
        <v>44612</v>
      </c>
      <c r="Y9" s="1">
        <f t="shared" si="1"/>
        <v>0</v>
      </c>
      <c r="Z9" s="1">
        <f t="shared" si="2"/>
        <v>0</v>
      </c>
      <c r="AA9" s="1">
        <f t="shared" si="3"/>
        <v>0</v>
      </c>
      <c r="AB9" s="1">
        <f t="shared" si="4"/>
        <v>0</v>
      </c>
      <c r="AC9" s="1">
        <f t="shared" si="5"/>
        <v>0</v>
      </c>
      <c r="AD9" s="1">
        <f t="shared" si="6"/>
        <v>0</v>
      </c>
      <c r="AE9" s="1">
        <f t="shared" si="7"/>
        <v>0</v>
      </c>
      <c r="AF9" s="1">
        <f t="shared" si="8"/>
        <v>0</v>
      </c>
      <c r="AG9" s="74">
        <f t="shared" si="9"/>
        <v>44620</v>
      </c>
      <c r="AH9" s="1">
        <f>SUMIFS(考勤清单!Q:Q,考勤清单!$D:$D,考勤汇总!$C9,考勤清单!$F:$F,考勤汇总!$E9,考勤清单!$G:$G,"&gt;"&amp;考勤汇总!$X9)</f>
        <v>0</v>
      </c>
      <c r="AI9" s="1">
        <f>SUMIFS(考勤清单!R:R,考勤清单!$D:$D,考勤汇总!$C9,考勤清单!$F:$F,考勤汇总!$E9,考勤清单!$G:$G,"&gt;"&amp;考勤汇总!$X9)</f>
        <v>0</v>
      </c>
      <c r="AJ9" s="1">
        <f>SUMIFS(考勤清单!S:S,考勤清单!$D:$D,考勤汇总!$C9,考勤清单!$F:$F,考勤汇总!$E9,考勤清单!$G:$G,"&gt;"&amp;考勤汇总!$X9)</f>
        <v>0</v>
      </c>
      <c r="AK9" s="1">
        <f>SUMIFS(考勤清单!T:T,考勤清单!$D:$D,考勤汇总!$C9,考勤清单!$F:$F,考勤汇总!$E9,考勤清单!$G:$G,"&gt;"&amp;考勤汇总!$X9)</f>
        <v>0</v>
      </c>
      <c r="AL9" s="1">
        <f>SUMIFS(考勤清单!U:U,考勤清单!$D:$D,考勤汇总!$C9,考勤清单!$F:$F,考勤汇总!$E9,考勤清单!$G:$G,"&gt;"&amp;考勤汇总!$X9)</f>
        <v>0</v>
      </c>
      <c r="AM9" s="1">
        <f>SUMIFS(考勤清单!V:V,考勤清单!$D:$D,考勤汇总!$C9,考勤清单!$F:$F,考勤汇总!$E9,考勤清单!$G:$G,"&gt;"&amp;考勤汇总!$X9)</f>
        <v>0</v>
      </c>
      <c r="AN9" s="1">
        <f>SUMIFS(考勤清单!W:W,考勤清单!$D:$D,考勤汇总!$C9,考勤清单!$F:$F,考勤汇总!$E9,考勤清单!$G:$G,"&gt;"&amp;考勤汇总!$X9)</f>
        <v>0</v>
      </c>
      <c r="AO9" s="1">
        <f>SUMIFS(考勤清单!X:X,考勤清单!$D:$D,考勤汇总!$C9,考勤清单!$F:$F,考勤汇总!$E9,考勤清单!$G:$G,"&gt;"&amp;考勤汇总!$X9)</f>
        <v>0</v>
      </c>
    </row>
    <row r="10" spans="1:41" ht="14.25" customHeight="1" x14ac:dyDescent="0.2">
      <c r="F10" s="10" t="s">
        <v>120</v>
      </c>
      <c r="G10" s="1">
        <f>SUM(G2:G9)</f>
        <v>0</v>
      </c>
      <c r="H10" s="1">
        <f t="shared" ref="H10:AO10" si="10">SUM(H2:H9)</f>
        <v>0</v>
      </c>
      <c r="I10" s="1">
        <f t="shared" si="10"/>
        <v>0</v>
      </c>
      <c r="J10" s="1">
        <f t="shared" si="10"/>
        <v>0</v>
      </c>
      <c r="K10" s="1">
        <f t="shared" si="10"/>
        <v>0</v>
      </c>
      <c r="L10" s="1">
        <f t="shared" si="10"/>
        <v>0</v>
      </c>
      <c r="M10" s="1">
        <f t="shared" si="10"/>
        <v>0</v>
      </c>
      <c r="N10" s="1">
        <f t="shared" si="10"/>
        <v>0</v>
      </c>
      <c r="O10" s="74">
        <f t="shared" si="10"/>
        <v>356816</v>
      </c>
      <c r="P10" s="1">
        <f t="shared" si="10"/>
        <v>0</v>
      </c>
      <c r="Q10" s="1">
        <f t="shared" si="10"/>
        <v>0</v>
      </c>
      <c r="R10" s="1">
        <f t="shared" si="10"/>
        <v>0</v>
      </c>
      <c r="S10" s="1">
        <f t="shared" si="10"/>
        <v>0</v>
      </c>
      <c r="T10" s="1">
        <f t="shared" si="10"/>
        <v>0</v>
      </c>
      <c r="U10" s="1">
        <f t="shared" si="10"/>
        <v>0</v>
      </c>
      <c r="V10" s="1">
        <f t="shared" si="10"/>
        <v>0</v>
      </c>
      <c r="W10" s="1">
        <f t="shared" si="10"/>
        <v>0</v>
      </c>
      <c r="X10" s="74">
        <f t="shared" si="10"/>
        <v>356896</v>
      </c>
      <c r="Y10" s="1">
        <f t="shared" si="10"/>
        <v>0</v>
      </c>
      <c r="Z10" s="1">
        <f t="shared" si="10"/>
        <v>0</v>
      </c>
      <c r="AA10" s="1">
        <f t="shared" si="10"/>
        <v>0</v>
      </c>
      <c r="AB10" s="1">
        <f t="shared" si="10"/>
        <v>0</v>
      </c>
      <c r="AC10" s="1">
        <f t="shared" si="10"/>
        <v>0</v>
      </c>
      <c r="AD10" s="1">
        <f t="shared" si="10"/>
        <v>0</v>
      </c>
      <c r="AE10" s="1">
        <f t="shared" si="10"/>
        <v>0</v>
      </c>
      <c r="AF10" s="1">
        <f t="shared" si="10"/>
        <v>0</v>
      </c>
      <c r="AG10" s="74">
        <f t="shared" si="10"/>
        <v>356960</v>
      </c>
      <c r="AH10" s="1">
        <f t="shared" si="10"/>
        <v>0</v>
      </c>
      <c r="AI10" s="1">
        <f t="shared" si="10"/>
        <v>0</v>
      </c>
      <c r="AJ10" s="1">
        <f t="shared" si="10"/>
        <v>0</v>
      </c>
      <c r="AK10" s="1">
        <f t="shared" si="10"/>
        <v>0</v>
      </c>
      <c r="AL10" s="1">
        <f t="shared" si="10"/>
        <v>0</v>
      </c>
      <c r="AM10" s="1">
        <f t="shared" si="10"/>
        <v>0</v>
      </c>
      <c r="AN10" s="1">
        <f t="shared" si="10"/>
        <v>0</v>
      </c>
      <c r="AO10" s="1">
        <f t="shared" si="10"/>
        <v>0</v>
      </c>
    </row>
  </sheetData>
  <phoneticPr fontId="16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AM67"/>
  <sheetViews>
    <sheetView showZeros="0" workbookViewId="0">
      <pane xSplit="4" ySplit="1" topLeftCell="E2" activePane="bottomRight" state="frozen"/>
      <selection pane="topRight"/>
      <selection pane="bottomLeft"/>
      <selection pane="bottomRight" activeCell="D10" sqref="D10"/>
    </sheetView>
  </sheetViews>
  <sheetFormatPr defaultColWidth="9" defaultRowHeight="12" x14ac:dyDescent="0.15"/>
  <cols>
    <col min="1" max="1" width="7.375" style="8" customWidth="1"/>
    <col min="2" max="2" width="5.875" style="8" customWidth="1"/>
    <col min="3" max="3" width="7" style="8" customWidth="1"/>
    <col min="4" max="4" width="9.75" style="8" customWidth="1"/>
    <col min="5" max="5" width="4.125" style="69" customWidth="1"/>
    <col min="6" max="22" width="3.625" style="69" customWidth="1"/>
    <col min="23" max="23" width="4.875" style="69" customWidth="1"/>
    <col min="24" max="26" width="3.625" style="69" customWidth="1"/>
    <col min="27" max="34" width="3.5" style="69" customWidth="1"/>
    <col min="35" max="35" width="4.125" style="69" customWidth="1"/>
    <col min="36" max="36" width="6.375" style="70" customWidth="1"/>
    <col min="37" max="39" width="6.375" style="69" customWidth="1"/>
    <col min="40" max="40" width="14.875" style="69" customWidth="1"/>
    <col min="41" max="16384" width="9" style="69"/>
  </cols>
  <sheetData>
    <row r="1" spans="1:39" s="68" customFormat="1" ht="46.5" customHeight="1" x14ac:dyDescent="0.15">
      <c r="A1" s="4" t="s">
        <v>42</v>
      </c>
      <c r="B1" s="4" t="s">
        <v>41</v>
      </c>
      <c r="C1" s="3" t="s">
        <v>44</v>
      </c>
      <c r="D1" s="3" t="s">
        <v>107</v>
      </c>
      <c r="E1" s="71">
        <v>44593</v>
      </c>
      <c r="F1" s="71">
        <f>E1+1</f>
        <v>44594</v>
      </c>
      <c r="G1" s="71">
        <f t="shared" ref="G1:AI1" si="0">F1+1</f>
        <v>44595</v>
      </c>
      <c r="H1" s="71">
        <f t="shared" si="0"/>
        <v>44596</v>
      </c>
      <c r="I1" s="71">
        <f t="shared" si="0"/>
        <v>44597</v>
      </c>
      <c r="J1" s="71">
        <f t="shared" si="0"/>
        <v>44598</v>
      </c>
      <c r="K1" s="71">
        <f t="shared" si="0"/>
        <v>44599</v>
      </c>
      <c r="L1" s="71">
        <f t="shared" si="0"/>
        <v>44600</v>
      </c>
      <c r="M1" s="71">
        <f t="shared" si="0"/>
        <v>44601</v>
      </c>
      <c r="N1" s="71">
        <f t="shared" si="0"/>
        <v>44602</v>
      </c>
      <c r="O1" s="71">
        <f t="shared" si="0"/>
        <v>44603</v>
      </c>
      <c r="P1" s="71">
        <f t="shared" si="0"/>
        <v>44604</v>
      </c>
      <c r="Q1" s="71">
        <f t="shared" si="0"/>
        <v>44605</v>
      </c>
      <c r="R1" s="71">
        <f t="shared" si="0"/>
        <v>44606</v>
      </c>
      <c r="S1" s="71">
        <f t="shared" si="0"/>
        <v>44607</v>
      </c>
      <c r="T1" s="71">
        <f t="shared" si="0"/>
        <v>44608</v>
      </c>
      <c r="U1" s="71">
        <f t="shared" si="0"/>
        <v>44609</v>
      </c>
      <c r="V1" s="71">
        <f t="shared" si="0"/>
        <v>44610</v>
      </c>
      <c r="W1" s="71">
        <f t="shared" si="0"/>
        <v>44611</v>
      </c>
      <c r="X1" s="71">
        <f t="shared" si="0"/>
        <v>44612</v>
      </c>
      <c r="Y1" s="71">
        <f t="shared" si="0"/>
        <v>44613</v>
      </c>
      <c r="Z1" s="71">
        <f t="shared" si="0"/>
        <v>44614</v>
      </c>
      <c r="AA1" s="71">
        <f t="shared" si="0"/>
        <v>44615</v>
      </c>
      <c r="AB1" s="71">
        <f t="shared" si="0"/>
        <v>44616</v>
      </c>
      <c r="AC1" s="71">
        <f t="shared" si="0"/>
        <v>44617</v>
      </c>
      <c r="AD1" s="71">
        <f t="shared" si="0"/>
        <v>44618</v>
      </c>
      <c r="AE1" s="71">
        <f t="shared" si="0"/>
        <v>44619</v>
      </c>
      <c r="AF1" s="71">
        <f t="shared" si="0"/>
        <v>44620</v>
      </c>
      <c r="AG1" s="71">
        <f t="shared" si="0"/>
        <v>44621</v>
      </c>
      <c r="AH1" s="71">
        <f t="shared" si="0"/>
        <v>44622</v>
      </c>
      <c r="AI1" s="73">
        <f t="shared" si="0"/>
        <v>44623</v>
      </c>
      <c r="AJ1" s="72" t="s">
        <v>120</v>
      </c>
      <c r="AK1" s="26" t="s">
        <v>121</v>
      </c>
      <c r="AL1" s="26" t="s">
        <v>122</v>
      </c>
      <c r="AM1" s="26" t="s">
        <v>123</v>
      </c>
    </row>
    <row r="2" spans="1:39" ht="12.75" x14ac:dyDescent="0.2">
      <c r="A2" s="8" t="s">
        <v>74</v>
      </c>
      <c r="B2" s="8" t="s">
        <v>73</v>
      </c>
      <c r="C2" s="10" t="s">
        <v>76</v>
      </c>
      <c r="D2" s="10" t="s">
        <v>75</v>
      </c>
      <c r="E2" s="69">
        <f>人员汇总_正班!E2+人员汇总_加班!E2</f>
        <v>0</v>
      </c>
      <c r="F2" s="69">
        <f>人员汇总_正班!F2+人员汇总_加班!F2</f>
        <v>0</v>
      </c>
      <c r="G2" s="69">
        <f>人员汇总_正班!G2+人员汇总_加班!G2</f>
        <v>0</v>
      </c>
      <c r="H2" s="69">
        <f>人员汇总_正班!H2+人员汇总_加班!H2</f>
        <v>0</v>
      </c>
      <c r="I2" s="69">
        <f>人员汇总_正班!I2+人员汇总_加班!I2</f>
        <v>0</v>
      </c>
      <c r="J2" s="69">
        <f>人员汇总_正班!J2+人员汇总_加班!J2</f>
        <v>0</v>
      </c>
      <c r="K2" s="69">
        <f>人员汇总_正班!K2+人员汇总_加班!K2</f>
        <v>0</v>
      </c>
      <c r="L2" s="69">
        <f>人员汇总_正班!L2+人员汇总_加班!L2</f>
        <v>0</v>
      </c>
      <c r="M2" s="69">
        <f>人员汇总_正班!M2+人员汇总_加班!M2</f>
        <v>0</v>
      </c>
      <c r="N2" s="69">
        <f>人员汇总_正班!N2+人员汇总_加班!N2</f>
        <v>0</v>
      </c>
      <c r="O2" s="69">
        <f>人员汇总_正班!O2+人员汇总_加班!O2</f>
        <v>0</v>
      </c>
      <c r="P2" s="69">
        <f>人员汇总_正班!P2+人员汇总_加班!P2</f>
        <v>0</v>
      </c>
      <c r="Q2" s="69">
        <f>人员汇总_正班!Q2+人员汇总_加班!Q2</f>
        <v>0</v>
      </c>
      <c r="R2" s="69">
        <f>人员汇总_正班!R2+人员汇总_加班!R2</f>
        <v>0</v>
      </c>
      <c r="S2" s="69">
        <f>人员汇总_正班!S2+人员汇总_加班!S2</f>
        <v>0</v>
      </c>
      <c r="T2" s="69">
        <f>人员汇总_正班!T2+人员汇总_加班!T2</f>
        <v>0</v>
      </c>
      <c r="U2" s="69">
        <f>人员汇总_正班!U2+人员汇总_加班!U2</f>
        <v>0</v>
      </c>
      <c r="V2" s="69">
        <f>人员汇总_正班!V2+人员汇总_加班!V2</f>
        <v>0</v>
      </c>
      <c r="W2" s="69">
        <f>人员汇总_正班!W2+人员汇总_加班!W2</f>
        <v>0</v>
      </c>
      <c r="X2" s="69">
        <f>人员汇总_正班!X2+人员汇总_加班!X2</f>
        <v>0</v>
      </c>
      <c r="Y2" s="69">
        <f>人员汇总_正班!Y2+人员汇总_加班!Y2</f>
        <v>0</v>
      </c>
      <c r="Z2" s="69">
        <f>人员汇总_正班!Z2+人员汇总_加班!Z2</f>
        <v>0</v>
      </c>
      <c r="AA2" s="69">
        <f>人员汇总_正班!AA2+人员汇总_加班!AA2</f>
        <v>0</v>
      </c>
      <c r="AB2" s="69">
        <f>人员汇总_正班!AB2+人员汇总_加班!AB2</f>
        <v>0</v>
      </c>
      <c r="AC2" s="69">
        <f>人员汇总_正班!AC2+人员汇总_加班!AC2</f>
        <v>0</v>
      </c>
      <c r="AD2" s="69">
        <f>人员汇总_正班!AD2+人员汇总_加班!AD2</f>
        <v>0</v>
      </c>
      <c r="AE2" s="69">
        <f>人员汇总_正班!AE2+人员汇总_加班!AE2</f>
        <v>0</v>
      </c>
      <c r="AF2" s="69">
        <f>人员汇总_正班!AF2+人员汇总_加班!AF2</f>
        <v>0</v>
      </c>
      <c r="AG2" s="69">
        <f>人员汇总_正班!AG2+人员汇总_加班!AG2</f>
        <v>0</v>
      </c>
      <c r="AH2" s="69">
        <f>人员汇总_正班!AH2+人员汇总_加班!AH2</f>
        <v>0</v>
      </c>
      <c r="AI2" s="69">
        <f>人员汇总_正班!AI2+人员汇总_加班!AI2</f>
        <v>0</v>
      </c>
      <c r="AJ2" s="70">
        <f>SUM(E2:AI2)</f>
        <v>0</v>
      </c>
      <c r="AK2" s="69">
        <f>SUM(E2:N2)</f>
        <v>0</v>
      </c>
      <c r="AL2" s="69">
        <f>SUM(O2:X2)</f>
        <v>0</v>
      </c>
      <c r="AM2" s="69">
        <f>SUM(Y2:AI2)</f>
        <v>0</v>
      </c>
    </row>
    <row r="3" spans="1:39" ht="12.75" x14ac:dyDescent="0.2">
      <c r="A3" s="8" t="s">
        <v>82</v>
      </c>
      <c r="B3" s="8" t="s">
        <v>81</v>
      </c>
      <c r="C3" s="10" t="s">
        <v>83</v>
      </c>
      <c r="D3" s="10" t="s">
        <v>79</v>
      </c>
      <c r="E3" s="69">
        <f>人员汇总_正班!E3+人员汇总_加班!E3</f>
        <v>0</v>
      </c>
      <c r="F3" s="69">
        <f>人员汇总_正班!F3+人员汇总_加班!F3</f>
        <v>0</v>
      </c>
      <c r="G3" s="69">
        <f>人员汇总_正班!G3+人员汇总_加班!G3</f>
        <v>0</v>
      </c>
      <c r="H3" s="69">
        <f>人员汇总_正班!H3+人员汇总_加班!H3</f>
        <v>0</v>
      </c>
      <c r="I3" s="69">
        <f>人员汇总_正班!I3+人员汇总_加班!I3</f>
        <v>0</v>
      </c>
      <c r="J3" s="69">
        <f>人员汇总_正班!J3+人员汇总_加班!J3</f>
        <v>0</v>
      </c>
      <c r="K3" s="69">
        <f>人员汇总_正班!K3+人员汇总_加班!K3</f>
        <v>0</v>
      </c>
      <c r="L3" s="69">
        <f>人员汇总_正班!L3+人员汇总_加班!L3</f>
        <v>0</v>
      </c>
      <c r="M3" s="69">
        <f>人员汇总_正班!M3+人员汇总_加班!M3</f>
        <v>0</v>
      </c>
      <c r="N3" s="69">
        <f>人员汇总_正班!N3+人员汇总_加班!N3</f>
        <v>0</v>
      </c>
      <c r="O3" s="69">
        <f>人员汇总_正班!O3+人员汇总_加班!O3</f>
        <v>0</v>
      </c>
      <c r="P3" s="69">
        <f>人员汇总_正班!P3+人员汇总_加班!P3</f>
        <v>0</v>
      </c>
      <c r="Q3" s="69">
        <f>人员汇总_正班!Q3+人员汇总_加班!Q3</f>
        <v>0</v>
      </c>
      <c r="R3" s="69">
        <f>人员汇总_正班!R3+人员汇总_加班!R3</f>
        <v>0</v>
      </c>
      <c r="S3" s="69">
        <f>人员汇总_正班!S3+人员汇总_加班!S3</f>
        <v>0</v>
      </c>
      <c r="T3" s="69">
        <f>人员汇总_正班!T3+人员汇总_加班!T3</f>
        <v>0</v>
      </c>
      <c r="U3" s="69">
        <f>人员汇总_正班!U3+人员汇总_加班!U3</f>
        <v>0</v>
      </c>
      <c r="V3" s="69">
        <f>人员汇总_正班!V3+人员汇总_加班!V3</f>
        <v>0</v>
      </c>
      <c r="W3" s="69">
        <f>人员汇总_正班!W3+人员汇总_加班!W3</f>
        <v>0</v>
      </c>
      <c r="X3" s="69">
        <f>人员汇总_正班!X3+人员汇总_加班!X3</f>
        <v>0</v>
      </c>
      <c r="Y3" s="69">
        <f>人员汇总_正班!Y3+人员汇总_加班!Y3</f>
        <v>0</v>
      </c>
      <c r="Z3" s="69">
        <f>人员汇总_正班!Z3+人员汇总_加班!Z3</f>
        <v>0</v>
      </c>
      <c r="AA3" s="69">
        <f>人员汇总_正班!AA3+人员汇总_加班!AA3</f>
        <v>0</v>
      </c>
      <c r="AB3" s="69">
        <f>人员汇总_正班!AB3+人员汇总_加班!AB3</f>
        <v>0</v>
      </c>
      <c r="AC3" s="69">
        <f>人员汇总_正班!AC3+人员汇总_加班!AC3</f>
        <v>0</v>
      </c>
      <c r="AD3" s="69">
        <f>人员汇总_正班!AD3+人员汇总_加班!AD3</f>
        <v>0</v>
      </c>
      <c r="AE3" s="69">
        <f>人员汇总_正班!AE3+人员汇总_加班!AE3</f>
        <v>0</v>
      </c>
      <c r="AF3" s="69">
        <f>人员汇总_正班!AF3+人员汇总_加班!AF3</f>
        <v>0</v>
      </c>
      <c r="AG3" s="69">
        <f>人员汇总_正班!AG3+人员汇总_加班!AG3</f>
        <v>0</v>
      </c>
      <c r="AH3" s="69">
        <f>人员汇总_正班!AH3+人员汇总_加班!AH3</f>
        <v>0</v>
      </c>
      <c r="AI3" s="69">
        <f>人员汇总_正班!AI3+人员汇总_加班!AI3</f>
        <v>0</v>
      </c>
      <c r="AJ3" s="70">
        <f t="shared" ref="AJ3:AJ9" si="1">SUM(E3:AI3)</f>
        <v>0</v>
      </c>
      <c r="AK3" s="69">
        <f t="shared" ref="AK3:AK9" si="2">SUM(E3:N3)</f>
        <v>0</v>
      </c>
      <c r="AL3" s="69">
        <f t="shared" ref="AL3:AL9" si="3">SUM(O3:X3)</f>
        <v>0</v>
      </c>
      <c r="AM3" s="69">
        <f t="shared" ref="AM3:AM9" si="4">SUM(Y3:AI3)</f>
        <v>0</v>
      </c>
    </row>
    <row r="4" spans="1:39" ht="12.75" x14ac:dyDescent="0.2">
      <c r="A4" s="8" t="s">
        <v>85</v>
      </c>
      <c r="B4" s="8" t="s">
        <v>84</v>
      </c>
      <c r="C4" s="10" t="s">
        <v>87</v>
      </c>
      <c r="D4" s="10" t="s">
        <v>86</v>
      </c>
      <c r="E4" s="69">
        <f>人员汇总_正班!E4+人员汇总_加班!E4</f>
        <v>0</v>
      </c>
      <c r="F4" s="69">
        <f>人员汇总_正班!F4+人员汇总_加班!F4</f>
        <v>0</v>
      </c>
      <c r="G4" s="69">
        <f>人员汇总_正班!G4+人员汇总_加班!G4</f>
        <v>0</v>
      </c>
      <c r="H4" s="69">
        <f>人员汇总_正班!H4+人员汇总_加班!H4</f>
        <v>0</v>
      </c>
      <c r="I4" s="69">
        <f>人员汇总_正班!I4+人员汇总_加班!I4</f>
        <v>0</v>
      </c>
      <c r="J4" s="69">
        <f>人员汇总_正班!J4+人员汇总_加班!J4</f>
        <v>0</v>
      </c>
      <c r="K4" s="69">
        <f>人员汇总_正班!K4+人员汇总_加班!K4</f>
        <v>0</v>
      </c>
      <c r="L4" s="69">
        <f>人员汇总_正班!L4+人员汇总_加班!L4</f>
        <v>0</v>
      </c>
      <c r="M4" s="69">
        <f>人员汇总_正班!M4+人员汇总_加班!M4</f>
        <v>0</v>
      </c>
      <c r="N4" s="69">
        <f>人员汇总_正班!N4+人员汇总_加班!N4</f>
        <v>0</v>
      </c>
      <c r="O4" s="69">
        <f>人员汇总_正班!O4+人员汇总_加班!O4</f>
        <v>0</v>
      </c>
      <c r="P4" s="69">
        <f>人员汇总_正班!P4+人员汇总_加班!P4</f>
        <v>0</v>
      </c>
      <c r="Q4" s="69">
        <f>人员汇总_正班!Q4+人员汇总_加班!Q4</f>
        <v>0</v>
      </c>
      <c r="R4" s="69">
        <f>人员汇总_正班!R4+人员汇总_加班!R4</f>
        <v>0</v>
      </c>
      <c r="S4" s="69">
        <f>人员汇总_正班!S4+人员汇总_加班!S4</f>
        <v>0</v>
      </c>
      <c r="T4" s="69">
        <f>人员汇总_正班!T4+人员汇总_加班!T4</f>
        <v>0</v>
      </c>
      <c r="U4" s="69">
        <f>人员汇总_正班!U4+人员汇总_加班!U4</f>
        <v>0</v>
      </c>
      <c r="V4" s="69">
        <f>人员汇总_正班!V4+人员汇总_加班!V4</f>
        <v>0</v>
      </c>
      <c r="W4" s="69">
        <f>人员汇总_正班!W4+人员汇总_加班!W4</f>
        <v>0</v>
      </c>
      <c r="X4" s="69">
        <f>人员汇总_正班!X4+人员汇总_加班!X4</f>
        <v>0</v>
      </c>
      <c r="Y4" s="69">
        <f>人员汇总_正班!Y4+人员汇总_加班!Y4</f>
        <v>0</v>
      </c>
      <c r="Z4" s="69">
        <f>人员汇总_正班!Z4+人员汇总_加班!Z4</f>
        <v>0</v>
      </c>
      <c r="AA4" s="69">
        <f>人员汇总_正班!AA4+人员汇总_加班!AA4</f>
        <v>0</v>
      </c>
      <c r="AB4" s="69">
        <f>人员汇总_正班!AB4+人员汇总_加班!AB4</f>
        <v>0</v>
      </c>
      <c r="AC4" s="69">
        <f>人员汇总_正班!AC4+人员汇总_加班!AC4</f>
        <v>0</v>
      </c>
      <c r="AD4" s="69">
        <f>人员汇总_正班!AD4+人员汇总_加班!AD4</f>
        <v>0</v>
      </c>
      <c r="AE4" s="69">
        <f>人员汇总_正班!AE4+人员汇总_加班!AE4</f>
        <v>0</v>
      </c>
      <c r="AF4" s="69">
        <f>人员汇总_正班!AF4+人员汇总_加班!AF4</f>
        <v>0</v>
      </c>
      <c r="AG4" s="69">
        <f>人员汇总_正班!AG4+人员汇总_加班!AG4</f>
        <v>0</v>
      </c>
      <c r="AH4" s="69">
        <f>人员汇总_正班!AH4+人员汇总_加班!AH4</f>
        <v>0</v>
      </c>
      <c r="AI4" s="69">
        <f>人员汇总_正班!AI4+人员汇总_加班!AI4</f>
        <v>0</v>
      </c>
      <c r="AJ4" s="70">
        <f t="shared" si="1"/>
        <v>0</v>
      </c>
      <c r="AK4" s="69">
        <f t="shared" si="2"/>
        <v>0</v>
      </c>
      <c r="AL4" s="69">
        <f t="shared" si="3"/>
        <v>0</v>
      </c>
      <c r="AM4" s="69">
        <f t="shared" si="4"/>
        <v>0</v>
      </c>
    </row>
    <row r="5" spans="1:39" ht="12.75" x14ac:dyDescent="0.2">
      <c r="A5" s="8" t="s">
        <v>89</v>
      </c>
      <c r="B5" s="8" t="s">
        <v>88</v>
      </c>
      <c r="C5" s="10" t="s">
        <v>90</v>
      </c>
      <c r="D5" s="10" t="s">
        <v>86</v>
      </c>
      <c r="E5" s="69">
        <f>人员汇总_正班!E5+人员汇总_加班!E5</f>
        <v>0</v>
      </c>
      <c r="F5" s="69">
        <f>人员汇总_正班!F5+人员汇总_加班!F5</f>
        <v>0</v>
      </c>
      <c r="G5" s="69">
        <f>人员汇总_正班!G5+人员汇总_加班!G5</f>
        <v>0</v>
      </c>
      <c r="H5" s="69">
        <f>人员汇总_正班!H5+人员汇总_加班!H5</f>
        <v>0</v>
      </c>
      <c r="I5" s="69">
        <f>人员汇总_正班!I5+人员汇总_加班!I5</f>
        <v>0</v>
      </c>
      <c r="J5" s="69">
        <f>人员汇总_正班!J5+人员汇总_加班!J5</f>
        <v>0</v>
      </c>
      <c r="K5" s="69">
        <f>人员汇总_正班!K5+人员汇总_加班!K5</f>
        <v>0</v>
      </c>
      <c r="L5" s="69">
        <f>人员汇总_正班!L5+人员汇总_加班!L5</f>
        <v>0</v>
      </c>
      <c r="M5" s="69">
        <f>人员汇总_正班!M5+人员汇总_加班!M5</f>
        <v>0</v>
      </c>
      <c r="N5" s="69">
        <f>人员汇总_正班!N5+人员汇总_加班!N5</f>
        <v>0</v>
      </c>
      <c r="O5" s="69">
        <f>人员汇总_正班!O5+人员汇总_加班!O5</f>
        <v>0</v>
      </c>
      <c r="P5" s="69">
        <f>人员汇总_正班!P5+人员汇总_加班!P5</f>
        <v>0</v>
      </c>
      <c r="Q5" s="69">
        <f>人员汇总_正班!Q5+人员汇总_加班!Q5</f>
        <v>0</v>
      </c>
      <c r="R5" s="69">
        <f>人员汇总_正班!R5+人员汇总_加班!R5</f>
        <v>0</v>
      </c>
      <c r="S5" s="69">
        <f>人员汇总_正班!S5+人员汇总_加班!S5</f>
        <v>0</v>
      </c>
      <c r="T5" s="69">
        <f>人员汇总_正班!T5+人员汇总_加班!T5</f>
        <v>0</v>
      </c>
      <c r="U5" s="69">
        <f>人员汇总_正班!U5+人员汇总_加班!U5</f>
        <v>0</v>
      </c>
      <c r="V5" s="69">
        <f>人员汇总_正班!V5+人员汇总_加班!V5</f>
        <v>0</v>
      </c>
      <c r="W5" s="69">
        <f>人员汇总_正班!W5+人员汇总_加班!W5</f>
        <v>0</v>
      </c>
      <c r="X5" s="69">
        <f>人员汇总_正班!X5+人员汇总_加班!X5</f>
        <v>0</v>
      </c>
      <c r="Y5" s="69">
        <f>人员汇总_正班!Y5+人员汇总_加班!Y5</f>
        <v>0</v>
      </c>
      <c r="Z5" s="69">
        <f>人员汇总_正班!Z5+人员汇总_加班!Z5</f>
        <v>0</v>
      </c>
      <c r="AA5" s="69">
        <f>人员汇总_正班!AA5+人员汇总_加班!AA5</f>
        <v>0</v>
      </c>
      <c r="AB5" s="69">
        <f>人员汇总_正班!AB5+人员汇总_加班!AB5</f>
        <v>0</v>
      </c>
      <c r="AC5" s="69">
        <f>人员汇总_正班!AC5+人员汇总_加班!AC5</f>
        <v>0</v>
      </c>
      <c r="AD5" s="69">
        <f>人员汇总_正班!AD5+人员汇总_加班!AD5</f>
        <v>0</v>
      </c>
      <c r="AE5" s="69">
        <f>人员汇总_正班!AE5+人员汇总_加班!AE5</f>
        <v>0</v>
      </c>
      <c r="AF5" s="69">
        <f>人员汇总_正班!AF5+人员汇总_加班!AF5</f>
        <v>0</v>
      </c>
      <c r="AG5" s="69">
        <f>人员汇总_正班!AG5+人员汇总_加班!AG5</f>
        <v>0</v>
      </c>
      <c r="AH5" s="69">
        <f>人员汇总_正班!AH5+人员汇总_加班!AH5</f>
        <v>0</v>
      </c>
      <c r="AI5" s="69">
        <f>人员汇总_正班!AI5+人员汇总_加班!AI5</f>
        <v>0</v>
      </c>
      <c r="AJ5" s="70">
        <f t="shared" si="1"/>
        <v>0</v>
      </c>
      <c r="AK5" s="69">
        <f t="shared" si="2"/>
        <v>0</v>
      </c>
      <c r="AL5" s="69">
        <f t="shared" si="3"/>
        <v>0</v>
      </c>
      <c r="AM5" s="69">
        <f t="shared" si="4"/>
        <v>0</v>
      </c>
    </row>
    <row r="6" spans="1:39" ht="12.75" x14ac:dyDescent="0.2">
      <c r="A6" s="8" t="s">
        <v>94</v>
      </c>
      <c r="B6" s="8" t="s">
        <v>93</v>
      </c>
      <c r="C6" s="10" t="s">
        <v>95</v>
      </c>
      <c r="D6" s="10" t="s">
        <v>86</v>
      </c>
      <c r="E6" s="69">
        <f>人员汇总_正班!E6+人员汇总_加班!E6</f>
        <v>0</v>
      </c>
      <c r="F6" s="69">
        <f>人员汇总_正班!F6+人员汇总_加班!F6</f>
        <v>0</v>
      </c>
      <c r="G6" s="69">
        <f>人员汇总_正班!G6+人员汇总_加班!G6</f>
        <v>0</v>
      </c>
      <c r="H6" s="69">
        <f>人员汇总_正班!H6+人员汇总_加班!H6</f>
        <v>0</v>
      </c>
      <c r="I6" s="69">
        <f>人员汇总_正班!I6+人员汇总_加班!I6</f>
        <v>0</v>
      </c>
      <c r="J6" s="69">
        <f>人员汇总_正班!J6+人员汇总_加班!J6</f>
        <v>0</v>
      </c>
      <c r="K6" s="69">
        <f>人员汇总_正班!K6+人员汇总_加班!K6</f>
        <v>0</v>
      </c>
      <c r="L6" s="69">
        <f>人员汇总_正班!L6+人员汇总_加班!L6</f>
        <v>0</v>
      </c>
      <c r="M6" s="69">
        <f>人员汇总_正班!M6+人员汇总_加班!M6</f>
        <v>0</v>
      </c>
      <c r="N6" s="69">
        <f>人员汇总_正班!N6+人员汇总_加班!N6</f>
        <v>0</v>
      </c>
      <c r="O6" s="69">
        <f>人员汇总_正班!O6+人员汇总_加班!O6</f>
        <v>0</v>
      </c>
      <c r="P6" s="69">
        <f>人员汇总_正班!P6+人员汇总_加班!P6</f>
        <v>0</v>
      </c>
      <c r="Q6" s="69">
        <f>人员汇总_正班!Q6+人员汇总_加班!Q6</f>
        <v>0</v>
      </c>
      <c r="R6" s="69">
        <f>人员汇总_正班!R6+人员汇总_加班!R6</f>
        <v>0</v>
      </c>
      <c r="S6" s="69">
        <f>人员汇总_正班!S6+人员汇总_加班!S6</f>
        <v>0</v>
      </c>
      <c r="T6" s="69">
        <f>人员汇总_正班!T6+人员汇总_加班!T6</f>
        <v>0</v>
      </c>
      <c r="U6" s="69">
        <f>人员汇总_正班!U6+人员汇总_加班!U6</f>
        <v>0</v>
      </c>
      <c r="V6" s="69">
        <f>人员汇总_正班!V6+人员汇总_加班!V6</f>
        <v>0</v>
      </c>
      <c r="W6" s="69">
        <f>人员汇总_正班!W6+人员汇总_加班!W6</f>
        <v>0</v>
      </c>
      <c r="X6" s="69">
        <f>人员汇总_正班!X6+人员汇总_加班!X6</f>
        <v>0</v>
      </c>
      <c r="Y6" s="69">
        <f>人员汇总_正班!Y6+人员汇总_加班!Y6</f>
        <v>0</v>
      </c>
      <c r="Z6" s="69">
        <f>人员汇总_正班!Z6+人员汇总_加班!Z6</f>
        <v>0</v>
      </c>
      <c r="AA6" s="69">
        <f>人员汇总_正班!AA6+人员汇总_加班!AA6</f>
        <v>0</v>
      </c>
      <c r="AB6" s="69">
        <f>人员汇总_正班!AB6+人员汇总_加班!AB6</f>
        <v>0</v>
      </c>
      <c r="AC6" s="69">
        <f>人员汇总_正班!AC6+人员汇总_加班!AC6</f>
        <v>0</v>
      </c>
      <c r="AD6" s="69">
        <f>人员汇总_正班!AD6+人员汇总_加班!AD6</f>
        <v>0</v>
      </c>
      <c r="AE6" s="69">
        <f>人员汇总_正班!AE6+人员汇总_加班!AE6</f>
        <v>0</v>
      </c>
      <c r="AF6" s="69">
        <f>人员汇总_正班!AF6+人员汇总_加班!AF6</f>
        <v>0</v>
      </c>
      <c r="AG6" s="69">
        <f>人员汇总_正班!AG6+人员汇总_加班!AG6</f>
        <v>0</v>
      </c>
      <c r="AH6" s="69">
        <f>人员汇总_正班!AH6+人员汇总_加班!AH6</f>
        <v>0</v>
      </c>
      <c r="AI6" s="69">
        <f>人员汇总_正班!AI6+人员汇总_加班!AI6</f>
        <v>0</v>
      </c>
      <c r="AJ6" s="70">
        <f t="shared" si="1"/>
        <v>0</v>
      </c>
      <c r="AK6" s="69">
        <f t="shared" si="2"/>
        <v>0</v>
      </c>
      <c r="AL6" s="69">
        <f t="shared" si="3"/>
        <v>0</v>
      </c>
      <c r="AM6" s="69">
        <f t="shared" si="4"/>
        <v>0</v>
      </c>
    </row>
    <row r="7" spans="1:39" ht="12.75" x14ac:dyDescent="0.2">
      <c r="A7" s="8" t="s">
        <v>97</v>
      </c>
      <c r="B7" s="8" t="s">
        <v>96</v>
      </c>
      <c r="C7" s="10" t="s">
        <v>98</v>
      </c>
      <c r="D7" s="10" t="s">
        <v>86</v>
      </c>
      <c r="E7" s="69">
        <f>人员汇总_正班!E7+人员汇总_加班!E7</f>
        <v>0</v>
      </c>
      <c r="F7" s="69">
        <f>人员汇总_正班!F7+人员汇总_加班!F7</f>
        <v>0</v>
      </c>
      <c r="G7" s="69">
        <f>人员汇总_正班!G7+人员汇总_加班!G7</f>
        <v>0</v>
      </c>
      <c r="H7" s="69">
        <f>人员汇总_正班!H7+人员汇总_加班!H7</f>
        <v>0</v>
      </c>
      <c r="I7" s="69">
        <f>人员汇总_正班!I7+人员汇总_加班!I7</f>
        <v>0</v>
      </c>
      <c r="J7" s="69">
        <f>人员汇总_正班!J7+人员汇总_加班!J7</f>
        <v>0</v>
      </c>
      <c r="K7" s="69">
        <f>人员汇总_正班!K7+人员汇总_加班!K7</f>
        <v>0</v>
      </c>
      <c r="L7" s="69">
        <f>人员汇总_正班!L7+人员汇总_加班!L7</f>
        <v>0</v>
      </c>
      <c r="M7" s="69">
        <f>人员汇总_正班!M7+人员汇总_加班!M7</f>
        <v>0</v>
      </c>
      <c r="N7" s="69">
        <f>人员汇总_正班!N7+人员汇总_加班!N7</f>
        <v>0</v>
      </c>
      <c r="O7" s="69">
        <f>人员汇总_正班!O7+人员汇总_加班!O7</f>
        <v>0</v>
      </c>
      <c r="P7" s="69">
        <f>人员汇总_正班!P7+人员汇总_加班!P7</f>
        <v>0</v>
      </c>
      <c r="Q7" s="69">
        <f>人员汇总_正班!Q7+人员汇总_加班!Q7</f>
        <v>0</v>
      </c>
      <c r="R7" s="69">
        <f>人员汇总_正班!R7+人员汇总_加班!R7</f>
        <v>0</v>
      </c>
      <c r="S7" s="69">
        <f>人员汇总_正班!S7+人员汇总_加班!S7</f>
        <v>0</v>
      </c>
      <c r="T7" s="69">
        <f>人员汇总_正班!T7+人员汇总_加班!T7</f>
        <v>0</v>
      </c>
      <c r="U7" s="69">
        <f>人员汇总_正班!U7+人员汇总_加班!U7</f>
        <v>0</v>
      </c>
      <c r="V7" s="69">
        <f>人员汇总_正班!V7+人员汇总_加班!V7</f>
        <v>0</v>
      </c>
      <c r="W7" s="69">
        <f>人员汇总_正班!W7+人员汇总_加班!W7</f>
        <v>0</v>
      </c>
      <c r="X7" s="69">
        <f>人员汇总_正班!X7+人员汇总_加班!X7</f>
        <v>0</v>
      </c>
      <c r="Y7" s="69">
        <f>人员汇总_正班!Y7+人员汇总_加班!Y7</f>
        <v>0</v>
      </c>
      <c r="Z7" s="69">
        <f>人员汇总_正班!Z7+人员汇总_加班!Z7</f>
        <v>0</v>
      </c>
      <c r="AA7" s="69">
        <f>人员汇总_正班!AA7+人员汇总_加班!AA7</f>
        <v>0</v>
      </c>
      <c r="AB7" s="69">
        <f>人员汇总_正班!AB7+人员汇总_加班!AB7</f>
        <v>0</v>
      </c>
      <c r="AC7" s="69">
        <f>人员汇总_正班!AC7+人员汇总_加班!AC7</f>
        <v>0</v>
      </c>
      <c r="AD7" s="69">
        <f>人员汇总_正班!AD7+人员汇总_加班!AD7</f>
        <v>0</v>
      </c>
      <c r="AE7" s="69">
        <f>人员汇总_正班!AE7+人员汇总_加班!AE7</f>
        <v>0</v>
      </c>
      <c r="AF7" s="69">
        <f>人员汇总_正班!AF7+人员汇总_加班!AF7</f>
        <v>0</v>
      </c>
      <c r="AG7" s="69">
        <f>人员汇总_正班!AG7+人员汇总_加班!AG7</f>
        <v>0</v>
      </c>
      <c r="AH7" s="69">
        <f>人员汇总_正班!AH7+人员汇总_加班!AH7</f>
        <v>0</v>
      </c>
      <c r="AI7" s="69">
        <f>人员汇总_正班!AI7+人员汇总_加班!AI7</f>
        <v>0</v>
      </c>
      <c r="AJ7" s="70">
        <f t="shared" si="1"/>
        <v>0</v>
      </c>
      <c r="AK7" s="69">
        <f t="shared" si="2"/>
        <v>0</v>
      </c>
      <c r="AL7" s="69">
        <f t="shared" si="3"/>
        <v>0</v>
      </c>
      <c r="AM7" s="69">
        <f t="shared" si="4"/>
        <v>0</v>
      </c>
    </row>
    <row r="8" spans="1:39" ht="12.75" x14ac:dyDescent="0.2">
      <c r="A8" s="8" t="s">
        <v>100</v>
      </c>
      <c r="B8" s="8" t="s">
        <v>99</v>
      </c>
      <c r="C8" s="8" t="s">
        <v>102</v>
      </c>
      <c r="D8" s="10" t="s">
        <v>101</v>
      </c>
      <c r="E8" s="69">
        <f>人员汇总_正班!E8+人员汇总_加班!E8</f>
        <v>0</v>
      </c>
      <c r="F8" s="69">
        <f>人员汇总_正班!F8+人员汇总_加班!F8</f>
        <v>0</v>
      </c>
      <c r="G8" s="69">
        <f>人员汇总_正班!G8+人员汇总_加班!G8</f>
        <v>0</v>
      </c>
      <c r="H8" s="69">
        <f>人员汇总_正班!H8+人员汇总_加班!H8</f>
        <v>0</v>
      </c>
      <c r="I8" s="69">
        <f>人员汇总_正班!I8+人员汇总_加班!I8</f>
        <v>0</v>
      </c>
      <c r="J8" s="69">
        <f>人员汇总_正班!J8+人员汇总_加班!J8</f>
        <v>0</v>
      </c>
      <c r="K8" s="69">
        <f>人员汇总_正班!K8+人员汇总_加班!K8</f>
        <v>0</v>
      </c>
      <c r="L8" s="69">
        <f>人员汇总_正班!L8+人员汇总_加班!L8</f>
        <v>0</v>
      </c>
      <c r="M8" s="69">
        <f>人员汇总_正班!M8+人员汇总_加班!M8</f>
        <v>0</v>
      </c>
      <c r="N8" s="69">
        <f>人员汇总_正班!N8+人员汇总_加班!N8</f>
        <v>0</v>
      </c>
      <c r="O8" s="69">
        <f>人员汇总_正班!O8+人员汇总_加班!O8</f>
        <v>0</v>
      </c>
      <c r="P8" s="69">
        <f>人员汇总_正班!P8+人员汇总_加班!P8</f>
        <v>0</v>
      </c>
      <c r="Q8" s="69">
        <f>人员汇总_正班!Q8+人员汇总_加班!Q8</f>
        <v>0</v>
      </c>
      <c r="R8" s="69">
        <f>人员汇总_正班!R8+人员汇总_加班!R8</f>
        <v>0</v>
      </c>
      <c r="S8" s="69">
        <f>人员汇总_正班!S8+人员汇总_加班!S8</f>
        <v>0</v>
      </c>
      <c r="T8" s="69">
        <f>人员汇总_正班!T8+人员汇总_加班!T8</f>
        <v>0</v>
      </c>
      <c r="U8" s="69">
        <f>人员汇总_正班!U8+人员汇总_加班!U8</f>
        <v>0</v>
      </c>
      <c r="V8" s="69">
        <f>人员汇总_正班!V8+人员汇总_加班!V8</f>
        <v>0</v>
      </c>
      <c r="W8" s="69">
        <f>人员汇总_正班!W8+人员汇总_加班!W8</f>
        <v>0</v>
      </c>
      <c r="X8" s="69">
        <f>人员汇总_正班!X8+人员汇总_加班!X8</f>
        <v>0</v>
      </c>
      <c r="Y8" s="69">
        <f>人员汇总_正班!Y8+人员汇总_加班!Y8</f>
        <v>0</v>
      </c>
      <c r="Z8" s="69">
        <f>人员汇总_正班!Z8+人员汇总_加班!Z8</f>
        <v>0</v>
      </c>
      <c r="AA8" s="69">
        <f>人员汇总_正班!AA8+人员汇总_加班!AA8</f>
        <v>0</v>
      </c>
      <c r="AB8" s="69">
        <f>人员汇总_正班!AB8+人员汇总_加班!AB8</f>
        <v>0</v>
      </c>
      <c r="AC8" s="69">
        <f>人员汇总_正班!AC8+人员汇总_加班!AC8</f>
        <v>0</v>
      </c>
      <c r="AD8" s="69">
        <f>人员汇总_正班!AD8+人员汇总_加班!AD8</f>
        <v>0</v>
      </c>
      <c r="AE8" s="69">
        <f>人员汇总_正班!AE8+人员汇总_加班!AE8</f>
        <v>0</v>
      </c>
      <c r="AF8" s="69">
        <f>人员汇总_正班!AF8+人员汇总_加班!AF8</f>
        <v>0</v>
      </c>
      <c r="AG8" s="69">
        <f>人员汇总_正班!AG8+人员汇总_加班!AG8</f>
        <v>0</v>
      </c>
      <c r="AH8" s="69">
        <f>人员汇总_正班!AH8+人员汇总_加班!AH8</f>
        <v>0</v>
      </c>
      <c r="AI8" s="69">
        <f>人员汇总_正班!AI8+人员汇总_加班!AI8</f>
        <v>0</v>
      </c>
      <c r="AJ8" s="70">
        <f t="shared" si="1"/>
        <v>0</v>
      </c>
      <c r="AK8" s="69">
        <f t="shared" si="2"/>
        <v>0</v>
      </c>
      <c r="AL8" s="69">
        <f t="shared" si="3"/>
        <v>0</v>
      </c>
      <c r="AM8" s="69">
        <f t="shared" si="4"/>
        <v>0</v>
      </c>
    </row>
    <row r="9" spans="1:39" ht="12.75" x14ac:dyDescent="0.2">
      <c r="A9" s="8" t="s">
        <v>104</v>
      </c>
      <c r="B9" s="8" t="s">
        <v>103</v>
      </c>
      <c r="C9" s="8" t="s">
        <v>105</v>
      </c>
      <c r="D9" s="10" t="s">
        <v>101</v>
      </c>
      <c r="E9" s="69">
        <f>人员汇总_正班!E9+人员汇总_加班!E9</f>
        <v>0</v>
      </c>
      <c r="F9" s="69">
        <f>人员汇总_正班!F9+人员汇总_加班!F9</f>
        <v>0</v>
      </c>
      <c r="G9" s="69">
        <f>人员汇总_正班!G9+人员汇总_加班!G9</f>
        <v>0</v>
      </c>
      <c r="H9" s="69">
        <f>人员汇总_正班!H9+人员汇总_加班!H9</f>
        <v>0</v>
      </c>
      <c r="I9" s="69">
        <f>人员汇总_正班!I9+人员汇总_加班!I9</f>
        <v>0</v>
      </c>
      <c r="J9" s="69">
        <f>人员汇总_正班!J9+人员汇总_加班!J9</f>
        <v>0</v>
      </c>
      <c r="K9" s="69">
        <f>人员汇总_正班!K9+人员汇总_加班!K9</f>
        <v>0</v>
      </c>
      <c r="L9" s="69">
        <f>人员汇总_正班!L9+人员汇总_加班!L9</f>
        <v>0</v>
      </c>
      <c r="M9" s="69">
        <f>人员汇总_正班!M9+人员汇总_加班!M9</f>
        <v>0</v>
      </c>
      <c r="N9" s="69">
        <f>人员汇总_正班!N9+人员汇总_加班!N9</f>
        <v>0</v>
      </c>
      <c r="O9" s="69">
        <f>人员汇总_正班!O9+人员汇总_加班!O9</f>
        <v>0</v>
      </c>
      <c r="P9" s="69">
        <f>人员汇总_正班!P9+人员汇总_加班!P9</f>
        <v>0</v>
      </c>
      <c r="Q9" s="69">
        <f>人员汇总_正班!Q9+人员汇总_加班!Q9</f>
        <v>0</v>
      </c>
      <c r="R9" s="69">
        <f>人员汇总_正班!R9+人员汇总_加班!R9</f>
        <v>0</v>
      </c>
      <c r="S9" s="69">
        <f>人员汇总_正班!S9+人员汇总_加班!S9</f>
        <v>0</v>
      </c>
      <c r="T9" s="69">
        <f>人员汇总_正班!T9+人员汇总_加班!T9</f>
        <v>0</v>
      </c>
      <c r="U9" s="69">
        <f>人员汇总_正班!U9+人员汇总_加班!U9</f>
        <v>0</v>
      </c>
      <c r="V9" s="69">
        <f>人员汇总_正班!V9+人员汇总_加班!V9</f>
        <v>0</v>
      </c>
      <c r="W9" s="69">
        <f>人员汇总_正班!W9+人员汇总_加班!W9</f>
        <v>0</v>
      </c>
      <c r="X9" s="69">
        <f>人员汇总_正班!X9+人员汇总_加班!X9</f>
        <v>0</v>
      </c>
      <c r="Y9" s="69">
        <f>人员汇总_正班!Y9+人员汇总_加班!Y9</f>
        <v>0</v>
      </c>
      <c r="Z9" s="69">
        <f>人员汇总_正班!Z9+人员汇总_加班!Z9</f>
        <v>0</v>
      </c>
      <c r="AA9" s="69">
        <f>人员汇总_正班!AA9+人员汇总_加班!AA9</f>
        <v>0</v>
      </c>
      <c r="AB9" s="69">
        <f>人员汇总_正班!AB9+人员汇总_加班!AB9</f>
        <v>0</v>
      </c>
      <c r="AC9" s="69">
        <f>人员汇总_正班!AC9+人员汇总_加班!AC9</f>
        <v>0</v>
      </c>
      <c r="AD9" s="69">
        <f>人员汇总_正班!AD9+人员汇总_加班!AD9</f>
        <v>0</v>
      </c>
      <c r="AE9" s="69">
        <f>人员汇总_正班!AE9+人员汇总_加班!AE9</f>
        <v>0</v>
      </c>
      <c r="AF9" s="69">
        <f>人员汇总_正班!AF9+人员汇总_加班!AF9</f>
        <v>0</v>
      </c>
      <c r="AG9" s="69">
        <f>人员汇总_正班!AG9+人员汇总_加班!AG9</f>
        <v>0</v>
      </c>
      <c r="AH9" s="69">
        <f>人员汇总_正班!AH9+人员汇总_加班!AH9</f>
        <v>0</v>
      </c>
      <c r="AI9" s="69">
        <f>人员汇总_正班!AI9+人员汇总_加班!AI9</f>
        <v>0</v>
      </c>
      <c r="AJ9" s="70">
        <f t="shared" si="1"/>
        <v>0</v>
      </c>
      <c r="AK9" s="69">
        <f t="shared" si="2"/>
        <v>0</v>
      </c>
      <c r="AL9" s="69">
        <f t="shared" si="3"/>
        <v>0</v>
      </c>
      <c r="AM9" s="69">
        <f t="shared" si="4"/>
        <v>0</v>
      </c>
    </row>
    <row r="10" spans="1:39" ht="12.75" x14ac:dyDescent="0.2">
      <c r="C10" s="10"/>
      <c r="D10" s="10" t="s">
        <v>120</v>
      </c>
      <c r="E10" s="69">
        <f>SUM(E2:E9)</f>
        <v>0</v>
      </c>
      <c r="F10" s="69">
        <f t="shared" ref="F10:AM10" si="5">SUM(F2:F9)</f>
        <v>0</v>
      </c>
      <c r="G10" s="69">
        <f t="shared" si="5"/>
        <v>0</v>
      </c>
      <c r="H10" s="69">
        <f t="shared" si="5"/>
        <v>0</v>
      </c>
      <c r="I10" s="69">
        <f t="shared" si="5"/>
        <v>0</v>
      </c>
      <c r="J10" s="69">
        <f t="shared" si="5"/>
        <v>0</v>
      </c>
      <c r="K10" s="69">
        <f t="shared" si="5"/>
        <v>0</v>
      </c>
      <c r="L10" s="69">
        <f t="shared" si="5"/>
        <v>0</v>
      </c>
      <c r="M10" s="69">
        <f t="shared" si="5"/>
        <v>0</v>
      </c>
      <c r="N10" s="69">
        <f t="shared" si="5"/>
        <v>0</v>
      </c>
      <c r="O10" s="69">
        <f t="shared" si="5"/>
        <v>0</v>
      </c>
      <c r="P10" s="69">
        <f t="shared" si="5"/>
        <v>0</v>
      </c>
      <c r="Q10" s="69">
        <f t="shared" si="5"/>
        <v>0</v>
      </c>
      <c r="R10" s="69">
        <f t="shared" si="5"/>
        <v>0</v>
      </c>
      <c r="S10" s="69">
        <f t="shared" si="5"/>
        <v>0</v>
      </c>
      <c r="T10" s="69">
        <f t="shared" si="5"/>
        <v>0</v>
      </c>
      <c r="U10" s="69">
        <f t="shared" si="5"/>
        <v>0</v>
      </c>
      <c r="V10" s="69">
        <f t="shared" si="5"/>
        <v>0</v>
      </c>
      <c r="W10" s="69">
        <f t="shared" si="5"/>
        <v>0</v>
      </c>
      <c r="X10" s="69">
        <f t="shared" si="5"/>
        <v>0</v>
      </c>
      <c r="Y10" s="69">
        <f t="shared" si="5"/>
        <v>0</v>
      </c>
      <c r="Z10" s="69">
        <f t="shared" si="5"/>
        <v>0</v>
      </c>
      <c r="AA10" s="69">
        <f t="shared" si="5"/>
        <v>0</v>
      </c>
      <c r="AB10" s="69">
        <f t="shared" si="5"/>
        <v>0</v>
      </c>
      <c r="AC10" s="69">
        <f t="shared" si="5"/>
        <v>0</v>
      </c>
      <c r="AD10" s="69">
        <f t="shared" si="5"/>
        <v>0</v>
      </c>
      <c r="AE10" s="69">
        <f t="shared" si="5"/>
        <v>0</v>
      </c>
      <c r="AF10" s="69">
        <f t="shared" si="5"/>
        <v>0</v>
      </c>
      <c r="AG10" s="69">
        <f t="shared" si="5"/>
        <v>0</v>
      </c>
      <c r="AH10" s="69">
        <f t="shared" si="5"/>
        <v>0</v>
      </c>
      <c r="AI10" s="69">
        <f t="shared" si="5"/>
        <v>0</v>
      </c>
      <c r="AJ10" s="70">
        <f t="shared" si="5"/>
        <v>0</v>
      </c>
      <c r="AK10" s="69">
        <f t="shared" si="5"/>
        <v>0</v>
      </c>
      <c r="AL10" s="69">
        <f t="shared" si="5"/>
        <v>0</v>
      </c>
      <c r="AM10" s="69">
        <f t="shared" si="5"/>
        <v>0</v>
      </c>
    </row>
    <row r="11" spans="1:39" ht="12.75" x14ac:dyDescent="0.2">
      <c r="C11" s="10"/>
      <c r="D11" s="10"/>
    </row>
    <row r="12" spans="1:39" ht="12.75" x14ac:dyDescent="0.2">
      <c r="C12" s="10"/>
      <c r="D12" s="10"/>
    </row>
    <row r="13" spans="1:39" ht="12.75" x14ac:dyDescent="0.2">
      <c r="D13" s="10"/>
    </row>
    <row r="14" spans="1:39" ht="12.75" x14ac:dyDescent="0.2">
      <c r="D14" s="10"/>
    </row>
    <row r="15" spans="1:39" ht="12.75" x14ac:dyDescent="0.2">
      <c r="D15" s="10"/>
    </row>
    <row r="16" spans="1:39" ht="12.75" x14ac:dyDescent="0.2">
      <c r="D16" s="10"/>
    </row>
    <row r="17" spans="4:4" ht="12.75" x14ac:dyDescent="0.2">
      <c r="D17" s="10"/>
    </row>
    <row r="18" spans="4:4" ht="12.75" x14ac:dyDescent="0.2">
      <c r="D18" s="10"/>
    </row>
    <row r="19" spans="4:4" ht="12.75" x14ac:dyDescent="0.2">
      <c r="D19" s="10"/>
    </row>
    <row r="20" spans="4:4" ht="12.75" x14ac:dyDescent="0.2">
      <c r="D20" s="10"/>
    </row>
    <row r="21" spans="4:4" ht="12.75" x14ac:dyDescent="0.2">
      <c r="D21" s="10"/>
    </row>
    <row r="22" spans="4:4" ht="12.75" x14ac:dyDescent="0.2">
      <c r="D22" s="10"/>
    </row>
    <row r="23" spans="4:4" ht="12.75" x14ac:dyDescent="0.2">
      <c r="D23" s="10"/>
    </row>
    <row r="24" spans="4:4" ht="12.75" x14ac:dyDescent="0.2">
      <c r="D24" s="10"/>
    </row>
    <row r="25" spans="4:4" ht="12.75" x14ac:dyDescent="0.2">
      <c r="D25" s="10"/>
    </row>
    <row r="26" spans="4:4" ht="12.75" x14ac:dyDescent="0.2">
      <c r="D26" s="10"/>
    </row>
    <row r="27" spans="4:4" ht="12.75" x14ac:dyDescent="0.2">
      <c r="D27" s="10"/>
    </row>
    <row r="28" spans="4:4" ht="12.75" x14ac:dyDescent="0.2">
      <c r="D28" s="10"/>
    </row>
    <row r="29" spans="4:4" ht="12.75" x14ac:dyDescent="0.2">
      <c r="D29" s="10"/>
    </row>
    <row r="30" spans="4:4" ht="12.75" x14ac:dyDescent="0.2">
      <c r="D30" s="10"/>
    </row>
    <row r="31" spans="4:4" ht="12.75" x14ac:dyDescent="0.2">
      <c r="D31" s="10"/>
    </row>
    <row r="32" spans="4:4" ht="12.75" x14ac:dyDescent="0.2">
      <c r="D32" s="10"/>
    </row>
    <row r="33" spans="4:4" ht="12.75" x14ac:dyDescent="0.2">
      <c r="D33" s="10"/>
    </row>
    <row r="34" spans="4:4" ht="12.75" x14ac:dyDescent="0.2">
      <c r="D34" s="10"/>
    </row>
    <row r="35" spans="4:4" ht="12.75" x14ac:dyDescent="0.2">
      <c r="D35" s="10"/>
    </row>
    <row r="36" spans="4:4" ht="12.75" x14ac:dyDescent="0.2">
      <c r="D36" s="10"/>
    </row>
    <row r="37" spans="4:4" ht="12.75" x14ac:dyDescent="0.2">
      <c r="D37" s="10"/>
    </row>
    <row r="38" spans="4:4" ht="12.75" x14ac:dyDescent="0.2">
      <c r="D38" s="10"/>
    </row>
    <row r="39" spans="4:4" ht="12.75" x14ac:dyDescent="0.2">
      <c r="D39" s="10"/>
    </row>
    <row r="40" spans="4:4" ht="12.75" x14ac:dyDescent="0.2">
      <c r="D40" s="10"/>
    </row>
    <row r="41" spans="4:4" ht="12.75" x14ac:dyDescent="0.2">
      <c r="D41" s="10"/>
    </row>
    <row r="42" spans="4:4" ht="12.75" x14ac:dyDescent="0.2">
      <c r="D42" s="10"/>
    </row>
    <row r="43" spans="4:4" ht="12.75" x14ac:dyDescent="0.2">
      <c r="D43" s="10"/>
    </row>
    <row r="44" spans="4:4" ht="12.75" x14ac:dyDescent="0.2">
      <c r="D44" s="10"/>
    </row>
    <row r="45" spans="4:4" ht="12.75" x14ac:dyDescent="0.2">
      <c r="D45" s="10"/>
    </row>
    <row r="46" spans="4:4" ht="12.75" x14ac:dyDescent="0.2">
      <c r="D46" s="10"/>
    </row>
    <row r="47" spans="4:4" ht="12.75" x14ac:dyDescent="0.2">
      <c r="D47" s="10"/>
    </row>
    <row r="48" spans="4:4" ht="12.75" x14ac:dyDescent="0.2">
      <c r="D48" s="10"/>
    </row>
    <row r="49" spans="4:4" ht="12.75" x14ac:dyDescent="0.2">
      <c r="D49" s="10"/>
    </row>
    <row r="50" spans="4:4" ht="12.75" x14ac:dyDescent="0.2">
      <c r="D50" s="10"/>
    </row>
    <row r="51" spans="4:4" ht="12.75" x14ac:dyDescent="0.2">
      <c r="D51" s="10"/>
    </row>
    <row r="52" spans="4:4" ht="12.75" x14ac:dyDescent="0.2">
      <c r="D52" s="10"/>
    </row>
    <row r="53" spans="4:4" ht="12.75" x14ac:dyDescent="0.2">
      <c r="D53" s="10"/>
    </row>
    <row r="54" spans="4:4" ht="12.75" x14ac:dyDescent="0.2">
      <c r="D54" s="10"/>
    </row>
    <row r="55" spans="4:4" ht="12.75" x14ac:dyDescent="0.2">
      <c r="D55" s="10"/>
    </row>
    <row r="56" spans="4:4" ht="12.75" x14ac:dyDescent="0.2">
      <c r="D56" s="10"/>
    </row>
    <row r="57" spans="4:4" ht="12.75" x14ac:dyDescent="0.2">
      <c r="D57" s="10"/>
    </row>
    <row r="58" spans="4:4" ht="12.75" x14ac:dyDescent="0.2">
      <c r="D58" s="10"/>
    </row>
    <row r="59" spans="4:4" ht="12.75" x14ac:dyDescent="0.2">
      <c r="D59" s="10"/>
    </row>
    <row r="60" spans="4:4" ht="12.75" x14ac:dyDescent="0.2">
      <c r="D60" s="10"/>
    </row>
    <row r="61" spans="4:4" ht="12.75" x14ac:dyDescent="0.2">
      <c r="D61" s="10"/>
    </row>
    <row r="62" spans="4:4" ht="12.75" x14ac:dyDescent="0.2">
      <c r="D62" s="10"/>
    </row>
    <row r="63" spans="4:4" ht="12.75" x14ac:dyDescent="0.2">
      <c r="D63" s="10"/>
    </row>
    <row r="64" spans="4:4" ht="12.75" x14ac:dyDescent="0.2">
      <c r="D64" s="10"/>
    </row>
    <row r="65" spans="4:4" ht="12.75" x14ac:dyDescent="0.2">
      <c r="D65" s="10"/>
    </row>
    <row r="66" spans="4:4" ht="12.75" x14ac:dyDescent="0.2">
      <c r="D66" s="10"/>
    </row>
    <row r="67" spans="4:4" ht="12.75" x14ac:dyDescent="0.2">
      <c r="D67" s="10"/>
    </row>
  </sheetData>
  <phoneticPr fontId="16" type="noConversion"/>
  <conditionalFormatting sqref="AK11:AM11 E1:AI67">
    <cfRule type="expression" dxfId="11" priority="2" stopIfTrue="1">
      <formula>WEEKDAY(E$1,2)&gt;5</formula>
    </cfRule>
  </conditionalFormatting>
  <conditionalFormatting sqref="E10:AI12">
    <cfRule type="expression" dxfId="10" priority="1" stopIfTrue="1">
      <formula>WEEKDAY(E$1,2)&gt;5</formula>
    </cfRule>
  </conditionalFormatting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Pict="0" macro="[0]!Sheet8.CmdBtnFindListPosition_Click">
                <anchor moveWithCells="1" sizeWithCells="1">
                  <from>
                    <xdr:col>39</xdr:col>
                    <xdr:colOff>95250</xdr:colOff>
                    <xdr:row>0</xdr:row>
                    <xdr:rowOff>0</xdr:rowOff>
                  </from>
                  <to>
                    <xdr:col>39</xdr:col>
                    <xdr:colOff>1019175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M67"/>
  <sheetViews>
    <sheetView showZeros="0" workbookViewId="0">
      <pane xSplit="4" ySplit="1" topLeftCell="E2" activePane="bottomRight" state="frozen"/>
      <selection pane="topRight"/>
      <selection pane="bottomLeft"/>
      <selection pane="bottomRight" activeCell="D10" sqref="D10"/>
    </sheetView>
  </sheetViews>
  <sheetFormatPr defaultColWidth="9" defaultRowHeight="12" x14ac:dyDescent="0.15"/>
  <cols>
    <col min="1" max="1" width="6.875" style="8" customWidth="1"/>
    <col min="2" max="2" width="5.125" style="8" customWidth="1"/>
    <col min="3" max="3" width="5.625" style="8" customWidth="1"/>
    <col min="4" max="4" width="9.125" style="8" customWidth="1"/>
    <col min="5" max="5" width="4.125" style="69" customWidth="1"/>
    <col min="6" max="22" width="3.625" style="69" customWidth="1"/>
    <col min="23" max="23" width="4.875" style="69" customWidth="1"/>
    <col min="24" max="26" width="3.625" style="69" customWidth="1"/>
    <col min="27" max="34" width="3.5" style="69" customWidth="1"/>
    <col min="35" max="35" width="4.125" style="69" customWidth="1"/>
    <col min="36" max="36" width="6.375" style="70" customWidth="1"/>
    <col min="37" max="39" width="6.375" style="69" customWidth="1"/>
    <col min="40" max="40" width="13.875" style="69" customWidth="1"/>
    <col min="41" max="16384" width="9" style="69"/>
  </cols>
  <sheetData>
    <row r="1" spans="1:39" s="68" customFormat="1" ht="54" customHeight="1" x14ac:dyDescent="0.15">
      <c r="A1" s="4" t="s">
        <v>42</v>
      </c>
      <c r="B1" s="4" t="s">
        <v>41</v>
      </c>
      <c r="C1" s="3" t="s">
        <v>44</v>
      </c>
      <c r="D1" s="3" t="s">
        <v>107</v>
      </c>
      <c r="E1" s="71">
        <v>44593</v>
      </c>
      <c r="F1" s="71">
        <f>E1+1</f>
        <v>44594</v>
      </c>
      <c r="G1" s="71">
        <f t="shared" ref="G1:AI1" si="0">F1+1</f>
        <v>44595</v>
      </c>
      <c r="H1" s="71">
        <f t="shared" si="0"/>
        <v>44596</v>
      </c>
      <c r="I1" s="71">
        <f t="shared" si="0"/>
        <v>44597</v>
      </c>
      <c r="J1" s="71">
        <f t="shared" si="0"/>
        <v>44598</v>
      </c>
      <c r="K1" s="71">
        <f t="shared" si="0"/>
        <v>44599</v>
      </c>
      <c r="L1" s="71">
        <f t="shared" si="0"/>
        <v>44600</v>
      </c>
      <c r="M1" s="71">
        <f t="shared" si="0"/>
        <v>44601</v>
      </c>
      <c r="N1" s="71">
        <f t="shared" si="0"/>
        <v>44602</v>
      </c>
      <c r="O1" s="71">
        <f t="shared" si="0"/>
        <v>44603</v>
      </c>
      <c r="P1" s="71">
        <f t="shared" si="0"/>
        <v>44604</v>
      </c>
      <c r="Q1" s="71">
        <f t="shared" si="0"/>
        <v>44605</v>
      </c>
      <c r="R1" s="71">
        <f t="shared" si="0"/>
        <v>44606</v>
      </c>
      <c r="S1" s="71">
        <f t="shared" si="0"/>
        <v>44607</v>
      </c>
      <c r="T1" s="71">
        <f t="shared" si="0"/>
        <v>44608</v>
      </c>
      <c r="U1" s="71">
        <f t="shared" si="0"/>
        <v>44609</v>
      </c>
      <c r="V1" s="71">
        <f t="shared" si="0"/>
        <v>44610</v>
      </c>
      <c r="W1" s="71">
        <f t="shared" si="0"/>
        <v>44611</v>
      </c>
      <c r="X1" s="71">
        <f t="shared" si="0"/>
        <v>44612</v>
      </c>
      <c r="Y1" s="71">
        <f t="shared" si="0"/>
        <v>44613</v>
      </c>
      <c r="Z1" s="71">
        <f t="shared" si="0"/>
        <v>44614</v>
      </c>
      <c r="AA1" s="71">
        <f t="shared" si="0"/>
        <v>44615</v>
      </c>
      <c r="AB1" s="71">
        <f t="shared" si="0"/>
        <v>44616</v>
      </c>
      <c r="AC1" s="71">
        <f t="shared" si="0"/>
        <v>44617</v>
      </c>
      <c r="AD1" s="71">
        <f t="shared" si="0"/>
        <v>44618</v>
      </c>
      <c r="AE1" s="71">
        <f t="shared" si="0"/>
        <v>44619</v>
      </c>
      <c r="AF1" s="71">
        <f t="shared" si="0"/>
        <v>44620</v>
      </c>
      <c r="AG1" s="71">
        <f t="shared" si="0"/>
        <v>44621</v>
      </c>
      <c r="AH1" s="71">
        <f t="shared" si="0"/>
        <v>44622</v>
      </c>
      <c r="AI1" s="73">
        <f t="shared" si="0"/>
        <v>44623</v>
      </c>
      <c r="AJ1" s="72" t="s">
        <v>120</v>
      </c>
      <c r="AK1" s="26" t="s">
        <v>121</v>
      </c>
      <c r="AL1" s="26" t="s">
        <v>122</v>
      </c>
      <c r="AM1" s="26" t="s">
        <v>123</v>
      </c>
    </row>
    <row r="2" spans="1:39" ht="12.75" x14ac:dyDescent="0.2">
      <c r="A2" s="8" t="s">
        <v>74</v>
      </c>
      <c r="B2" s="8" t="s">
        <v>73</v>
      </c>
      <c r="C2" s="10" t="s">
        <v>76</v>
      </c>
      <c r="D2" s="10" t="s">
        <v>75</v>
      </c>
      <c r="E2" s="69">
        <f>SUMIFS(考勤清单!$Q:$Q,考勤清单!$D:$D,人员汇总_正班!$A2,考勤清单!$F:$F,人员汇总_正班!$C2,考勤清单!$G:$G,人员汇总_正班!E$1)</f>
        <v>0</v>
      </c>
      <c r="F2" s="69">
        <f>SUMIFS(考勤清单!$Q:$Q,考勤清单!$D:$D,人员汇总_正班!$A2,考勤清单!$F:$F,人员汇总_正班!$C2,考勤清单!$G:$G,人员汇总_正班!F$1)</f>
        <v>0</v>
      </c>
      <c r="G2" s="69">
        <f>SUMIFS(考勤清单!$Q:$Q,考勤清单!$D:$D,人员汇总_正班!$A2,考勤清单!$F:$F,人员汇总_正班!$C2,考勤清单!$G:$G,人员汇总_正班!G$1)</f>
        <v>0</v>
      </c>
      <c r="H2" s="69">
        <f>SUMIFS(考勤清单!$Q:$Q,考勤清单!$D:$D,人员汇总_正班!$A2,考勤清单!$F:$F,人员汇总_正班!$C2,考勤清单!$G:$G,人员汇总_正班!H$1)</f>
        <v>0</v>
      </c>
      <c r="I2" s="69">
        <f>SUMIFS(考勤清单!$Q:$Q,考勤清单!$D:$D,人员汇总_正班!$A2,考勤清单!$F:$F,人员汇总_正班!$C2,考勤清单!$G:$G,人员汇总_正班!I$1)</f>
        <v>0</v>
      </c>
      <c r="J2" s="69">
        <f>SUMIFS(考勤清单!$Q:$Q,考勤清单!$D:$D,人员汇总_正班!$A2,考勤清单!$F:$F,人员汇总_正班!$C2,考勤清单!$G:$G,人员汇总_正班!J$1)</f>
        <v>0</v>
      </c>
      <c r="K2" s="69">
        <f>SUMIFS(考勤清单!$Q:$Q,考勤清单!$D:$D,人员汇总_正班!$A2,考勤清单!$F:$F,人员汇总_正班!$C2,考勤清单!$G:$G,人员汇总_正班!K$1)</f>
        <v>0</v>
      </c>
      <c r="L2" s="69">
        <f>SUMIFS(考勤清单!$Q:$Q,考勤清单!$D:$D,人员汇总_正班!$A2,考勤清单!$F:$F,人员汇总_正班!$C2,考勤清单!$G:$G,人员汇总_正班!L$1)</f>
        <v>0</v>
      </c>
      <c r="M2" s="69">
        <f>SUMIFS(考勤清单!$Q:$Q,考勤清单!$D:$D,人员汇总_正班!$A2,考勤清单!$F:$F,人员汇总_正班!$C2,考勤清单!$G:$G,人员汇总_正班!M$1)</f>
        <v>0</v>
      </c>
      <c r="N2" s="69">
        <f>SUMIFS(考勤清单!$Q:$Q,考勤清单!$D:$D,人员汇总_正班!$A2,考勤清单!$F:$F,人员汇总_正班!$C2,考勤清单!$G:$G,人员汇总_正班!N$1)</f>
        <v>0</v>
      </c>
      <c r="O2" s="69">
        <f>SUMIFS(考勤清单!$Q:$Q,考勤清单!$D:$D,人员汇总_正班!$A2,考勤清单!$F:$F,人员汇总_正班!$C2,考勤清单!$G:$G,人员汇总_正班!O$1)</f>
        <v>0</v>
      </c>
      <c r="P2" s="69">
        <f>SUMIFS(考勤清单!$Q:$Q,考勤清单!$D:$D,人员汇总_正班!$A2,考勤清单!$F:$F,人员汇总_正班!$C2,考勤清单!$G:$G,人员汇总_正班!P$1)</f>
        <v>0</v>
      </c>
      <c r="Q2" s="69">
        <f>SUMIFS(考勤清单!$Q:$Q,考勤清单!$D:$D,人员汇总_正班!$A2,考勤清单!$F:$F,人员汇总_正班!$C2,考勤清单!$G:$G,人员汇总_正班!Q$1)</f>
        <v>0</v>
      </c>
      <c r="R2" s="69">
        <f>SUMIFS(考勤清单!$Q:$Q,考勤清单!$D:$D,人员汇总_正班!$A2,考勤清单!$F:$F,人员汇总_正班!$C2,考勤清单!$G:$G,人员汇总_正班!R$1)</f>
        <v>0</v>
      </c>
      <c r="S2" s="69">
        <f>SUMIFS(考勤清单!$Q:$Q,考勤清单!$D:$D,人员汇总_正班!$A2,考勤清单!$F:$F,人员汇总_正班!$C2,考勤清单!$G:$G,人员汇总_正班!S$1)</f>
        <v>0</v>
      </c>
      <c r="T2" s="69">
        <f>SUMIFS(考勤清单!$Q:$Q,考勤清单!$D:$D,人员汇总_正班!$A2,考勤清单!$F:$F,人员汇总_正班!$C2,考勤清单!$G:$G,人员汇总_正班!T$1)</f>
        <v>0</v>
      </c>
      <c r="U2" s="69">
        <f>SUMIFS(考勤清单!$Q:$Q,考勤清单!$D:$D,人员汇总_正班!$A2,考勤清单!$F:$F,人员汇总_正班!$C2,考勤清单!$G:$G,人员汇总_正班!U$1)</f>
        <v>0</v>
      </c>
      <c r="V2" s="69">
        <f>SUMIFS(考勤清单!$Q:$Q,考勤清单!$D:$D,人员汇总_正班!$A2,考勤清单!$F:$F,人员汇总_正班!$C2,考勤清单!$G:$G,人员汇总_正班!V$1)</f>
        <v>0</v>
      </c>
      <c r="W2" s="69">
        <f>SUMIFS(考勤清单!$Q:$Q,考勤清单!$D:$D,人员汇总_正班!$A2,考勤清单!$F:$F,人员汇总_正班!$C2,考勤清单!$G:$G,人员汇总_正班!W$1)</f>
        <v>0</v>
      </c>
      <c r="X2" s="69">
        <f>SUMIFS(考勤清单!$Q:$Q,考勤清单!$D:$D,人员汇总_正班!$A2,考勤清单!$F:$F,人员汇总_正班!$C2,考勤清单!$G:$G,人员汇总_正班!X$1)</f>
        <v>0</v>
      </c>
      <c r="Y2" s="69">
        <f>SUMIFS(考勤清单!$Q:$Q,考勤清单!$D:$D,人员汇总_正班!$A2,考勤清单!$F:$F,人员汇总_正班!$C2,考勤清单!$G:$G,人员汇总_正班!Y$1)</f>
        <v>0</v>
      </c>
      <c r="Z2" s="69">
        <f>SUMIFS(考勤清单!$Q:$Q,考勤清单!$D:$D,人员汇总_正班!$A2,考勤清单!$F:$F,人员汇总_正班!$C2,考勤清单!$G:$G,人员汇总_正班!Z$1)</f>
        <v>0</v>
      </c>
      <c r="AA2" s="69">
        <f>SUMIFS(考勤清单!$Q:$Q,考勤清单!$D:$D,人员汇总_正班!$A2,考勤清单!$F:$F,人员汇总_正班!$C2,考勤清单!$G:$G,人员汇总_正班!AA$1)</f>
        <v>0</v>
      </c>
      <c r="AB2" s="69">
        <f>SUMIFS(考勤清单!$Q:$Q,考勤清单!$D:$D,人员汇总_正班!$A2,考勤清单!$F:$F,人员汇总_正班!$C2,考勤清单!$G:$G,人员汇总_正班!AB$1)</f>
        <v>0</v>
      </c>
      <c r="AC2" s="69">
        <f>SUMIFS(考勤清单!$Q:$Q,考勤清单!$D:$D,人员汇总_正班!$A2,考勤清单!$F:$F,人员汇总_正班!$C2,考勤清单!$G:$G,人员汇总_正班!AC$1)</f>
        <v>0</v>
      </c>
      <c r="AD2" s="69">
        <f>SUMIFS(考勤清单!$Q:$Q,考勤清单!$D:$D,人员汇总_正班!$A2,考勤清单!$F:$F,人员汇总_正班!$C2,考勤清单!$G:$G,人员汇总_正班!AD$1)</f>
        <v>0</v>
      </c>
      <c r="AE2" s="69">
        <f>SUMIFS(考勤清单!$Q:$Q,考勤清单!$D:$D,人员汇总_正班!$A2,考勤清单!$F:$F,人员汇总_正班!$C2,考勤清单!$G:$G,人员汇总_正班!AE$1)</f>
        <v>0</v>
      </c>
      <c r="AF2" s="69">
        <f>SUMIFS(考勤清单!$Q:$Q,考勤清单!$D:$D,人员汇总_正班!$A2,考勤清单!$F:$F,人员汇总_正班!$C2,考勤清单!$G:$G,人员汇总_正班!AF$1)</f>
        <v>0</v>
      </c>
      <c r="AG2" s="69">
        <f>SUMIFS(考勤清单!$Q:$Q,考勤清单!$D:$D,人员汇总_正班!$A2,考勤清单!$F:$F,人员汇总_正班!$C2,考勤清单!$G:$G,人员汇总_正班!AG$1)</f>
        <v>0</v>
      </c>
      <c r="AH2" s="69">
        <f>SUMIFS(考勤清单!$Q:$Q,考勤清单!$D:$D,人员汇总_正班!$A2,考勤清单!$F:$F,人员汇总_正班!$C2,考勤清单!$G:$G,人员汇总_正班!AH$1)</f>
        <v>0</v>
      </c>
      <c r="AI2" s="69">
        <f>SUMIFS(考勤清单!$Q:$Q,考勤清单!$D:$D,人员汇总_正班!$A2,考勤清单!$F:$F,人员汇总_正班!$C2,考勤清单!$G:$G,人员汇总_正班!AI$1)</f>
        <v>0</v>
      </c>
      <c r="AJ2" s="70">
        <f>SUM(E2:AI2)</f>
        <v>0</v>
      </c>
      <c r="AK2" s="69">
        <f>SUM(E2:N2)</f>
        <v>0</v>
      </c>
      <c r="AL2" s="69">
        <f>SUM(O2:X2)</f>
        <v>0</v>
      </c>
      <c r="AM2" s="69">
        <f>SUM(Y2:AI2)</f>
        <v>0</v>
      </c>
    </row>
    <row r="3" spans="1:39" ht="12.75" x14ac:dyDescent="0.2">
      <c r="A3" s="8" t="s">
        <v>82</v>
      </c>
      <c r="B3" s="8" t="s">
        <v>81</v>
      </c>
      <c r="C3" s="10" t="s">
        <v>83</v>
      </c>
      <c r="D3" s="10" t="s">
        <v>79</v>
      </c>
      <c r="E3" s="69">
        <f>SUMIFS(考勤清单!$Q:$Q,考勤清单!$D:$D,人员汇总_正班!$A3,考勤清单!$F:$F,人员汇总_正班!$C3,考勤清单!$G:$G,人员汇总_正班!E$1)</f>
        <v>0</v>
      </c>
      <c r="F3" s="69">
        <f>SUMIFS(考勤清单!$Q:$Q,考勤清单!$D:$D,人员汇总_正班!$A3,考勤清单!$F:$F,人员汇总_正班!$C3,考勤清单!$G:$G,人员汇总_正班!F$1)</f>
        <v>0</v>
      </c>
      <c r="G3" s="69">
        <f>SUMIFS(考勤清单!$Q:$Q,考勤清单!$D:$D,人员汇总_正班!$A3,考勤清单!$F:$F,人员汇总_正班!$C3,考勤清单!$G:$G,人员汇总_正班!G$1)</f>
        <v>0</v>
      </c>
      <c r="H3" s="69">
        <f>SUMIFS(考勤清单!$Q:$Q,考勤清单!$D:$D,人员汇总_正班!$A3,考勤清单!$F:$F,人员汇总_正班!$C3,考勤清单!$G:$G,人员汇总_正班!H$1)</f>
        <v>0</v>
      </c>
      <c r="I3" s="69">
        <f>SUMIFS(考勤清单!$Q:$Q,考勤清单!$D:$D,人员汇总_正班!$A3,考勤清单!$F:$F,人员汇总_正班!$C3,考勤清单!$G:$G,人员汇总_正班!I$1)</f>
        <v>0</v>
      </c>
      <c r="J3" s="69">
        <f>SUMIFS(考勤清单!$Q:$Q,考勤清单!$D:$D,人员汇总_正班!$A3,考勤清单!$F:$F,人员汇总_正班!$C3,考勤清单!$G:$G,人员汇总_正班!J$1)</f>
        <v>0</v>
      </c>
      <c r="K3" s="69">
        <f>SUMIFS(考勤清单!$Q:$Q,考勤清单!$D:$D,人员汇总_正班!$A3,考勤清单!$F:$F,人员汇总_正班!$C3,考勤清单!$G:$G,人员汇总_正班!K$1)</f>
        <v>0</v>
      </c>
      <c r="L3" s="69">
        <f>SUMIFS(考勤清单!$Q:$Q,考勤清单!$D:$D,人员汇总_正班!$A3,考勤清单!$F:$F,人员汇总_正班!$C3,考勤清单!$G:$G,人员汇总_正班!L$1)</f>
        <v>0</v>
      </c>
      <c r="M3" s="69">
        <f>SUMIFS(考勤清单!$Q:$Q,考勤清单!$D:$D,人员汇总_正班!$A3,考勤清单!$F:$F,人员汇总_正班!$C3,考勤清单!$G:$G,人员汇总_正班!M$1)</f>
        <v>0</v>
      </c>
      <c r="N3" s="69">
        <f>SUMIFS(考勤清单!$Q:$Q,考勤清单!$D:$D,人员汇总_正班!$A3,考勤清单!$F:$F,人员汇总_正班!$C3,考勤清单!$G:$G,人员汇总_正班!N$1)</f>
        <v>0</v>
      </c>
      <c r="O3" s="69">
        <f>SUMIFS(考勤清单!$Q:$Q,考勤清单!$D:$D,人员汇总_正班!$A3,考勤清单!$F:$F,人员汇总_正班!$C3,考勤清单!$G:$G,人员汇总_正班!O$1)</f>
        <v>0</v>
      </c>
      <c r="P3" s="69">
        <f>SUMIFS(考勤清单!$Q:$Q,考勤清单!$D:$D,人员汇总_正班!$A3,考勤清单!$F:$F,人员汇总_正班!$C3,考勤清单!$G:$G,人员汇总_正班!P$1)</f>
        <v>0</v>
      </c>
      <c r="Q3" s="69">
        <f>SUMIFS(考勤清单!$Q:$Q,考勤清单!$D:$D,人员汇总_正班!$A3,考勤清单!$F:$F,人员汇总_正班!$C3,考勤清单!$G:$G,人员汇总_正班!Q$1)</f>
        <v>0</v>
      </c>
      <c r="R3" s="69">
        <f>SUMIFS(考勤清单!$Q:$Q,考勤清单!$D:$D,人员汇总_正班!$A3,考勤清单!$F:$F,人员汇总_正班!$C3,考勤清单!$G:$G,人员汇总_正班!R$1)</f>
        <v>0</v>
      </c>
      <c r="S3" s="69">
        <f>SUMIFS(考勤清单!$Q:$Q,考勤清单!$D:$D,人员汇总_正班!$A3,考勤清单!$F:$F,人员汇总_正班!$C3,考勤清单!$G:$G,人员汇总_正班!S$1)</f>
        <v>0</v>
      </c>
      <c r="T3" s="69">
        <f>SUMIFS(考勤清单!$Q:$Q,考勤清单!$D:$D,人员汇总_正班!$A3,考勤清单!$F:$F,人员汇总_正班!$C3,考勤清单!$G:$G,人员汇总_正班!T$1)</f>
        <v>0</v>
      </c>
      <c r="U3" s="69">
        <f>SUMIFS(考勤清单!$Q:$Q,考勤清单!$D:$D,人员汇总_正班!$A3,考勤清单!$F:$F,人员汇总_正班!$C3,考勤清单!$G:$G,人员汇总_正班!U$1)</f>
        <v>0</v>
      </c>
      <c r="V3" s="69">
        <f>SUMIFS(考勤清单!$Q:$Q,考勤清单!$D:$D,人员汇总_正班!$A3,考勤清单!$F:$F,人员汇总_正班!$C3,考勤清单!$G:$G,人员汇总_正班!V$1)</f>
        <v>0</v>
      </c>
      <c r="W3" s="69">
        <f>SUMIFS(考勤清单!$Q:$Q,考勤清单!$D:$D,人员汇总_正班!$A3,考勤清单!$F:$F,人员汇总_正班!$C3,考勤清单!$G:$G,人员汇总_正班!W$1)</f>
        <v>0</v>
      </c>
      <c r="X3" s="69">
        <f>SUMIFS(考勤清单!$Q:$Q,考勤清单!$D:$D,人员汇总_正班!$A3,考勤清单!$F:$F,人员汇总_正班!$C3,考勤清单!$G:$G,人员汇总_正班!X$1)</f>
        <v>0</v>
      </c>
      <c r="Y3" s="69">
        <f>SUMIFS(考勤清单!$Q:$Q,考勤清单!$D:$D,人员汇总_正班!$A3,考勤清单!$F:$F,人员汇总_正班!$C3,考勤清单!$G:$G,人员汇总_正班!Y$1)</f>
        <v>0</v>
      </c>
      <c r="Z3" s="69">
        <f>SUMIFS(考勤清单!$Q:$Q,考勤清单!$D:$D,人员汇总_正班!$A3,考勤清单!$F:$F,人员汇总_正班!$C3,考勤清单!$G:$G,人员汇总_正班!Z$1)</f>
        <v>0</v>
      </c>
      <c r="AA3" s="69">
        <f>SUMIFS(考勤清单!$Q:$Q,考勤清单!$D:$D,人员汇总_正班!$A3,考勤清单!$F:$F,人员汇总_正班!$C3,考勤清单!$G:$G,人员汇总_正班!AA$1)</f>
        <v>0</v>
      </c>
      <c r="AB3" s="69">
        <f>SUMIFS(考勤清单!$Q:$Q,考勤清单!$D:$D,人员汇总_正班!$A3,考勤清单!$F:$F,人员汇总_正班!$C3,考勤清单!$G:$G,人员汇总_正班!AB$1)</f>
        <v>0</v>
      </c>
      <c r="AC3" s="69">
        <f>SUMIFS(考勤清单!$Q:$Q,考勤清单!$D:$D,人员汇总_正班!$A3,考勤清单!$F:$F,人员汇总_正班!$C3,考勤清单!$G:$G,人员汇总_正班!AC$1)</f>
        <v>0</v>
      </c>
      <c r="AD3" s="69">
        <f>SUMIFS(考勤清单!$Q:$Q,考勤清单!$D:$D,人员汇总_正班!$A3,考勤清单!$F:$F,人员汇总_正班!$C3,考勤清单!$G:$G,人员汇总_正班!AD$1)</f>
        <v>0</v>
      </c>
      <c r="AE3" s="69">
        <f>SUMIFS(考勤清单!$Q:$Q,考勤清单!$D:$D,人员汇总_正班!$A3,考勤清单!$F:$F,人员汇总_正班!$C3,考勤清单!$G:$G,人员汇总_正班!AE$1)</f>
        <v>0</v>
      </c>
      <c r="AF3" s="69">
        <f>SUMIFS(考勤清单!$Q:$Q,考勤清单!$D:$D,人员汇总_正班!$A3,考勤清单!$F:$F,人员汇总_正班!$C3,考勤清单!$G:$G,人员汇总_正班!AF$1)</f>
        <v>0</v>
      </c>
      <c r="AG3" s="69">
        <f>SUMIFS(考勤清单!$Q:$Q,考勤清单!$D:$D,人员汇总_正班!$A3,考勤清单!$F:$F,人员汇总_正班!$C3,考勤清单!$G:$G,人员汇总_正班!AG$1)</f>
        <v>0</v>
      </c>
      <c r="AH3" s="69">
        <f>SUMIFS(考勤清单!$Q:$Q,考勤清单!$D:$D,人员汇总_正班!$A3,考勤清单!$F:$F,人员汇总_正班!$C3,考勤清单!$G:$G,人员汇总_正班!AH$1)</f>
        <v>0</v>
      </c>
      <c r="AI3" s="69">
        <f>SUMIFS(考勤清单!$Q:$Q,考勤清单!$D:$D,人员汇总_正班!$A3,考勤清单!$F:$F,人员汇总_正班!$C3,考勤清单!$G:$G,人员汇总_正班!AI$1)</f>
        <v>0</v>
      </c>
      <c r="AJ3" s="70">
        <f t="shared" ref="AJ3:AJ9" si="1">SUM(E3:AI3)</f>
        <v>0</v>
      </c>
      <c r="AK3" s="69">
        <f t="shared" ref="AK3:AK9" si="2">SUM(E3:N3)</f>
        <v>0</v>
      </c>
      <c r="AL3" s="69">
        <f t="shared" ref="AL3:AL9" si="3">SUM(O3:X3)</f>
        <v>0</v>
      </c>
      <c r="AM3" s="69">
        <f t="shared" ref="AM3:AM9" si="4">SUM(Y3:AI3)</f>
        <v>0</v>
      </c>
    </row>
    <row r="4" spans="1:39" ht="12.75" x14ac:dyDescent="0.2">
      <c r="A4" s="8" t="s">
        <v>85</v>
      </c>
      <c r="B4" s="8" t="s">
        <v>84</v>
      </c>
      <c r="C4" s="10" t="s">
        <v>87</v>
      </c>
      <c r="D4" s="10" t="s">
        <v>86</v>
      </c>
      <c r="E4" s="69">
        <f>SUMIFS(考勤清单!$Q:$Q,考勤清单!$D:$D,人员汇总_正班!$A4,考勤清单!$F:$F,人员汇总_正班!$C4,考勤清单!$G:$G,人员汇总_正班!E$1)</f>
        <v>0</v>
      </c>
      <c r="F4" s="69">
        <f>SUMIFS(考勤清单!$Q:$Q,考勤清单!$D:$D,人员汇总_正班!$A4,考勤清单!$F:$F,人员汇总_正班!$C4,考勤清单!$G:$G,人员汇总_正班!F$1)</f>
        <v>0</v>
      </c>
      <c r="G4" s="69">
        <f>SUMIFS(考勤清单!$Q:$Q,考勤清单!$D:$D,人员汇总_正班!$A4,考勤清单!$F:$F,人员汇总_正班!$C4,考勤清单!$G:$G,人员汇总_正班!G$1)</f>
        <v>0</v>
      </c>
      <c r="H4" s="69">
        <f>SUMIFS(考勤清单!$Q:$Q,考勤清单!$D:$D,人员汇总_正班!$A4,考勤清单!$F:$F,人员汇总_正班!$C4,考勤清单!$G:$G,人员汇总_正班!H$1)</f>
        <v>0</v>
      </c>
      <c r="I4" s="69">
        <f>SUMIFS(考勤清单!$Q:$Q,考勤清单!$D:$D,人员汇总_正班!$A4,考勤清单!$F:$F,人员汇总_正班!$C4,考勤清单!$G:$G,人员汇总_正班!I$1)</f>
        <v>0</v>
      </c>
      <c r="J4" s="69">
        <f>SUMIFS(考勤清单!$Q:$Q,考勤清单!$D:$D,人员汇总_正班!$A4,考勤清单!$F:$F,人员汇总_正班!$C4,考勤清单!$G:$G,人员汇总_正班!J$1)</f>
        <v>0</v>
      </c>
      <c r="K4" s="69">
        <f>SUMIFS(考勤清单!$Q:$Q,考勤清单!$D:$D,人员汇总_正班!$A4,考勤清单!$F:$F,人员汇总_正班!$C4,考勤清单!$G:$G,人员汇总_正班!K$1)</f>
        <v>0</v>
      </c>
      <c r="L4" s="69">
        <f>SUMIFS(考勤清单!$Q:$Q,考勤清单!$D:$D,人员汇总_正班!$A4,考勤清单!$F:$F,人员汇总_正班!$C4,考勤清单!$G:$G,人员汇总_正班!L$1)</f>
        <v>0</v>
      </c>
      <c r="M4" s="69">
        <f>SUMIFS(考勤清单!$Q:$Q,考勤清单!$D:$D,人员汇总_正班!$A4,考勤清单!$F:$F,人员汇总_正班!$C4,考勤清单!$G:$G,人员汇总_正班!M$1)</f>
        <v>0</v>
      </c>
      <c r="N4" s="69">
        <f>SUMIFS(考勤清单!$Q:$Q,考勤清单!$D:$D,人员汇总_正班!$A4,考勤清单!$F:$F,人员汇总_正班!$C4,考勤清单!$G:$G,人员汇总_正班!N$1)</f>
        <v>0</v>
      </c>
      <c r="O4" s="69">
        <f>SUMIFS(考勤清单!$Q:$Q,考勤清单!$D:$D,人员汇总_正班!$A4,考勤清单!$F:$F,人员汇总_正班!$C4,考勤清单!$G:$G,人员汇总_正班!O$1)</f>
        <v>0</v>
      </c>
      <c r="P4" s="69">
        <f>SUMIFS(考勤清单!$Q:$Q,考勤清单!$D:$D,人员汇总_正班!$A4,考勤清单!$F:$F,人员汇总_正班!$C4,考勤清单!$G:$G,人员汇总_正班!P$1)</f>
        <v>0</v>
      </c>
      <c r="Q4" s="69">
        <f>SUMIFS(考勤清单!$Q:$Q,考勤清单!$D:$D,人员汇总_正班!$A4,考勤清单!$F:$F,人员汇总_正班!$C4,考勤清单!$G:$G,人员汇总_正班!Q$1)</f>
        <v>0</v>
      </c>
      <c r="R4" s="69">
        <f>SUMIFS(考勤清单!$Q:$Q,考勤清单!$D:$D,人员汇总_正班!$A4,考勤清单!$F:$F,人员汇总_正班!$C4,考勤清单!$G:$G,人员汇总_正班!R$1)</f>
        <v>0</v>
      </c>
      <c r="S4" s="69">
        <f>SUMIFS(考勤清单!$Q:$Q,考勤清单!$D:$D,人员汇总_正班!$A4,考勤清单!$F:$F,人员汇总_正班!$C4,考勤清单!$G:$G,人员汇总_正班!S$1)</f>
        <v>0</v>
      </c>
      <c r="T4" s="69">
        <f>SUMIFS(考勤清单!$Q:$Q,考勤清单!$D:$D,人员汇总_正班!$A4,考勤清单!$F:$F,人员汇总_正班!$C4,考勤清单!$G:$G,人员汇总_正班!T$1)</f>
        <v>0</v>
      </c>
      <c r="U4" s="69">
        <f>SUMIFS(考勤清单!$Q:$Q,考勤清单!$D:$D,人员汇总_正班!$A4,考勤清单!$F:$F,人员汇总_正班!$C4,考勤清单!$G:$G,人员汇总_正班!U$1)</f>
        <v>0</v>
      </c>
      <c r="V4" s="69">
        <f>SUMIFS(考勤清单!$Q:$Q,考勤清单!$D:$D,人员汇总_正班!$A4,考勤清单!$F:$F,人员汇总_正班!$C4,考勤清单!$G:$G,人员汇总_正班!V$1)</f>
        <v>0</v>
      </c>
      <c r="W4" s="69">
        <f>SUMIFS(考勤清单!$Q:$Q,考勤清单!$D:$D,人员汇总_正班!$A4,考勤清单!$F:$F,人员汇总_正班!$C4,考勤清单!$G:$G,人员汇总_正班!W$1)</f>
        <v>0</v>
      </c>
      <c r="X4" s="69">
        <f>SUMIFS(考勤清单!$Q:$Q,考勤清单!$D:$D,人员汇总_正班!$A4,考勤清单!$F:$F,人员汇总_正班!$C4,考勤清单!$G:$G,人员汇总_正班!X$1)</f>
        <v>0</v>
      </c>
      <c r="Y4" s="69">
        <f>SUMIFS(考勤清单!$Q:$Q,考勤清单!$D:$D,人员汇总_正班!$A4,考勤清单!$F:$F,人员汇总_正班!$C4,考勤清单!$G:$G,人员汇总_正班!Y$1)</f>
        <v>0</v>
      </c>
      <c r="Z4" s="69">
        <f>SUMIFS(考勤清单!$Q:$Q,考勤清单!$D:$D,人员汇总_正班!$A4,考勤清单!$F:$F,人员汇总_正班!$C4,考勤清单!$G:$G,人员汇总_正班!Z$1)</f>
        <v>0</v>
      </c>
      <c r="AA4" s="69">
        <f>SUMIFS(考勤清单!$Q:$Q,考勤清单!$D:$D,人员汇总_正班!$A4,考勤清单!$F:$F,人员汇总_正班!$C4,考勤清单!$G:$G,人员汇总_正班!AA$1)</f>
        <v>0</v>
      </c>
      <c r="AB4" s="69">
        <f>SUMIFS(考勤清单!$Q:$Q,考勤清单!$D:$D,人员汇总_正班!$A4,考勤清单!$F:$F,人员汇总_正班!$C4,考勤清单!$G:$G,人员汇总_正班!AB$1)</f>
        <v>0</v>
      </c>
      <c r="AC4" s="69">
        <f>SUMIFS(考勤清单!$Q:$Q,考勤清单!$D:$D,人员汇总_正班!$A4,考勤清单!$F:$F,人员汇总_正班!$C4,考勤清单!$G:$G,人员汇总_正班!AC$1)</f>
        <v>0</v>
      </c>
      <c r="AD4" s="69">
        <f>SUMIFS(考勤清单!$Q:$Q,考勤清单!$D:$D,人员汇总_正班!$A4,考勤清单!$F:$F,人员汇总_正班!$C4,考勤清单!$G:$G,人员汇总_正班!AD$1)</f>
        <v>0</v>
      </c>
      <c r="AE4" s="69">
        <f>SUMIFS(考勤清单!$Q:$Q,考勤清单!$D:$D,人员汇总_正班!$A4,考勤清单!$F:$F,人员汇总_正班!$C4,考勤清单!$G:$G,人员汇总_正班!AE$1)</f>
        <v>0</v>
      </c>
      <c r="AF4" s="69">
        <f>SUMIFS(考勤清单!$Q:$Q,考勤清单!$D:$D,人员汇总_正班!$A4,考勤清单!$F:$F,人员汇总_正班!$C4,考勤清单!$G:$G,人员汇总_正班!AF$1)</f>
        <v>0</v>
      </c>
      <c r="AG4" s="69">
        <f>SUMIFS(考勤清单!$Q:$Q,考勤清单!$D:$D,人员汇总_正班!$A4,考勤清单!$F:$F,人员汇总_正班!$C4,考勤清单!$G:$G,人员汇总_正班!AG$1)</f>
        <v>0</v>
      </c>
      <c r="AH4" s="69">
        <f>SUMIFS(考勤清单!$Q:$Q,考勤清单!$D:$D,人员汇总_正班!$A4,考勤清单!$F:$F,人员汇总_正班!$C4,考勤清单!$G:$G,人员汇总_正班!AH$1)</f>
        <v>0</v>
      </c>
      <c r="AI4" s="69">
        <f>SUMIFS(考勤清单!$Q:$Q,考勤清单!$D:$D,人员汇总_正班!$A4,考勤清单!$F:$F,人员汇总_正班!$C4,考勤清单!$G:$G,人员汇总_正班!AI$1)</f>
        <v>0</v>
      </c>
      <c r="AJ4" s="70">
        <f t="shared" si="1"/>
        <v>0</v>
      </c>
      <c r="AK4" s="69">
        <f t="shared" si="2"/>
        <v>0</v>
      </c>
      <c r="AL4" s="69">
        <f t="shared" si="3"/>
        <v>0</v>
      </c>
      <c r="AM4" s="69">
        <f t="shared" si="4"/>
        <v>0</v>
      </c>
    </row>
    <row r="5" spans="1:39" ht="12.75" x14ac:dyDescent="0.2">
      <c r="A5" s="8" t="s">
        <v>89</v>
      </c>
      <c r="B5" s="8" t="s">
        <v>88</v>
      </c>
      <c r="C5" s="10" t="s">
        <v>90</v>
      </c>
      <c r="D5" s="10" t="s">
        <v>86</v>
      </c>
      <c r="E5" s="69">
        <f>SUMIFS(考勤清单!$Q:$Q,考勤清单!$D:$D,人员汇总_正班!$A5,考勤清单!$F:$F,人员汇总_正班!$C5,考勤清单!$G:$G,人员汇总_正班!E$1)</f>
        <v>0</v>
      </c>
      <c r="F5" s="69">
        <f>SUMIFS(考勤清单!$Q:$Q,考勤清单!$D:$D,人员汇总_正班!$A5,考勤清单!$F:$F,人员汇总_正班!$C5,考勤清单!$G:$G,人员汇总_正班!F$1)</f>
        <v>0</v>
      </c>
      <c r="G5" s="69">
        <f>SUMIFS(考勤清单!$Q:$Q,考勤清单!$D:$D,人员汇总_正班!$A5,考勤清单!$F:$F,人员汇总_正班!$C5,考勤清单!$G:$G,人员汇总_正班!G$1)</f>
        <v>0</v>
      </c>
      <c r="H5" s="69">
        <f>SUMIFS(考勤清单!$Q:$Q,考勤清单!$D:$D,人员汇总_正班!$A5,考勤清单!$F:$F,人员汇总_正班!$C5,考勤清单!$G:$G,人员汇总_正班!H$1)</f>
        <v>0</v>
      </c>
      <c r="I5" s="69">
        <f>SUMIFS(考勤清单!$Q:$Q,考勤清单!$D:$D,人员汇总_正班!$A5,考勤清单!$F:$F,人员汇总_正班!$C5,考勤清单!$G:$G,人员汇总_正班!I$1)</f>
        <v>0</v>
      </c>
      <c r="J5" s="69">
        <f>SUMIFS(考勤清单!$Q:$Q,考勤清单!$D:$D,人员汇总_正班!$A5,考勤清单!$F:$F,人员汇总_正班!$C5,考勤清单!$G:$G,人员汇总_正班!J$1)</f>
        <v>0</v>
      </c>
      <c r="K5" s="69">
        <f>SUMIFS(考勤清单!$Q:$Q,考勤清单!$D:$D,人员汇总_正班!$A5,考勤清单!$F:$F,人员汇总_正班!$C5,考勤清单!$G:$G,人员汇总_正班!K$1)</f>
        <v>0</v>
      </c>
      <c r="L5" s="69">
        <f>SUMIFS(考勤清单!$Q:$Q,考勤清单!$D:$D,人员汇总_正班!$A5,考勤清单!$F:$F,人员汇总_正班!$C5,考勤清单!$G:$G,人员汇总_正班!L$1)</f>
        <v>0</v>
      </c>
      <c r="M5" s="69">
        <f>SUMIFS(考勤清单!$Q:$Q,考勤清单!$D:$D,人员汇总_正班!$A5,考勤清单!$F:$F,人员汇总_正班!$C5,考勤清单!$G:$G,人员汇总_正班!M$1)</f>
        <v>0</v>
      </c>
      <c r="N5" s="69">
        <f>SUMIFS(考勤清单!$Q:$Q,考勤清单!$D:$D,人员汇总_正班!$A5,考勤清单!$F:$F,人员汇总_正班!$C5,考勤清单!$G:$G,人员汇总_正班!N$1)</f>
        <v>0</v>
      </c>
      <c r="O5" s="69">
        <f>SUMIFS(考勤清单!$Q:$Q,考勤清单!$D:$D,人员汇总_正班!$A5,考勤清单!$F:$F,人员汇总_正班!$C5,考勤清单!$G:$G,人员汇总_正班!O$1)</f>
        <v>0</v>
      </c>
      <c r="P5" s="69">
        <f>SUMIFS(考勤清单!$Q:$Q,考勤清单!$D:$D,人员汇总_正班!$A5,考勤清单!$F:$F,人员汇总_正班!$C5,考勤清单!$G:$G,人员汇总_正班!P$1)</f>
        <v>0</v>
      </c>
      <c r="Q5" s="69">
        <f>SUMIFS(考勤清单!$Q:$Q,考勤清单!$D:$D,人员汇总_正班!$A5,考勤清单!$F:$F,人员汇总_正班!$C5,考勤清单!$G:$G,人员汇总_正班!Q$1)</f>
        <v>0</v>
      </c>
      <c r="R5" s="69">
        <f>SUMIFS(考勤清单!$Q:$Q,考勤清单!$D:$D,人员汇总_正班!$A5,考勤清单!$F:$F,人员汇总_正班!$C5,考勤清单!$G:$G,人员汇总_正班!R$1)</f>
        <v>0</v>
      </c>
      <c r="S5" s="69">
        <f>SUMIFS(考勤清单!$Q:$Q,考勤清单!$D:$D,人员汇总_正班!$A5,考勤清单!$F:$F,人员汇总_正班!$C5,考勤清单!$G:$G,人员汇总_正班!S$1)</f>
        <v>0</v>
      </c>
      <c r="T5" s="69">
        <f>SUMIFS(考勤清单!$Q:$Q,考勤清单!$D:$D,人员汇总_正班!$A5,考勤清单!$F:$F,人员汇总_正班!$C5,考勤清单!$G:$G,人员汇总_正班!T$1)</f>
        <v>0</v>
      </c>
      <c r="U5" s="69">
        <f>SUMIFS(考勤清单!$Q:$Q,考勤清单!$D:$D,人员汇总_正班!$A5,考勤清单!$F:$F,人员汇总_正班!$C5,考勤清单!$G:$G,人员汇总_正班!U$1)</f>
        <v>0</v>
      </c>
      <c r="V5" s="69">
        <f>SUMIFS(考勤清单!$Q:$Q,考勤清单!$D:$D,人员汇总_正班!$A5,考勤清单!$F:$F,人员汇总_正班!$C5,考勤清单!$G:$G,人员汇总_正班!V$1)</f>
        <v>0</v>
      </c>
      <c r="W5" s="69">
        <f>SUMIFS(考勤清单!$Q:$Q,考勤清单!$D:$D,人员汇总_正班!$A5,考勤清单!$F:$F,人员汇总_正班!$C5,考勤清单!$G:$G,人员汇总_正班!W$1)</f>
        <v>0</v>
      </c>
      <c r="X5" s="69">
        <f>SUMIFS(考勤清单!$Q:$Q,考勤清单!$D:$D,人员汇总_正班!$A5,考勤清单!$F:$F,人员汇总_正班!$C5,考勤清单!$G:$G,人员汇总_正班!X$1)</f>
        <v>0</v>
      </c>
      <c r="Y5" s="69">
        <f>SUMIFS(考勤清单!$Q:$Q,考勤清单!$D:$D,人员汇总_正班!$A5,考勤清单!$F:$F,人员汇总_正班!$C5,考勤清单!$G:$G,人员汇总_正班!Y$1)</f>
        <v>0</v>
      </c>
      <c r="Z5" s="69">
        <f>SUMIFS(考勤清单!$Q:$Q,考勤清单!$D:$D,人员汇总_正班!$A5,考勤清单!$F:$F,人员汇总_正班!$C5,考勤清单!$G:$G,人员汇总_正班!Z$1)</f>
        <v>0</v>
      </c>
      <c r="AA5" s="69">
        <f>SUMIFS(考勤清单!$Q:$Q,考勤清单!$D:$D,人员汇总_正班!$A5,考勤清单!$F:$F,人员汇总_正班!$C5,考勤清单!$G:$G,人员汇总_正班!AA$1)</f>
        <v>0</v>
      </c>
      <c r="AB5" s="69">
        <f>SUMIFS(考勤清单!$Q:$Q,考勤清单!$D:$D,人员汇总_正班!$A5,考勤清单!$F:$F,人员汇总_正班!$C5,考勤清单!$G:$G,人员汇总_正班!AB$1)</f>
        <v>0</v>
      </c>
      <c r="AC5" s="69">
        <f>SUMIFS(考勤清单!$Q:$Q,考勤清单!$D:$D,人员汇总_正班!$A5,考勤清单!$F:$F,人员汇总_正班!$C5,考勤清单!$G:$G,人员汇总_正班!AC$1)</f>
        <v>0</v>
      </c>
      <c r="AD5" s="69">
        <f>SUMIFS(考勤清单!$Q:$Q,考勤清单!$D:$D,人员汇总_正班!$A5,考勤清单!$F:$F,人员汇总_正班!$C5,考勤清单!$G:$G,人员汇总_正班!AD$1)</f>
        <v>0</v>
      </c>
      <c r="AE5" s="69">
        <f>SUMIFS(考勤清单!$Q:$Q,考勤清单!$D:$D,人员汇总_正班!$A5,考勤清单!$F:$F,人员汇总_正班!$C5,考勤清单!$G:$G,人员汇总_正班!AE$1)</f>
        <v>0</v>
      </c>
      <c r="AF5" s="69">
        <f>SUMIFS(考勤清单!$Q:$Q,考勤清单!$D:$D,人员汇总_正班!$A5,考勤清单!$F:$F,人员汇总_正班!$C5,考勤清单!$G:$G,人员汇总_正班!AF$1)</f>
        <v>0</v>
      </c>
      <c r="AG5" s="69">
        <f>SUMIFS(考勤清单!$Q:$Q,考勤清单!$D:$D,人员汇总_正班!$A5,考勤清单!$F:$F,人员汇总_正班!$C5,考勤清单!$G:$G,人员汇总_正班!AG$1)</f>
        <v>0</v>
      </c>
      <c r="AH5" s="69">
        <f>SUMIFS(考勤清单!$Q:$Q,考勤清单!$D:$D,人员汇总_正班!$A5,考勤清单!$F:$F,人员汇总_正班!$C5,考勤清单!$G:$G,人员汇总_正班!AH$1)</f>
        <v>0</v>
      </c>
      <c r="AI5" s="69">
        <f>SUMIFS(考勤清单!$Q:$Q,考勤清单!$D:$D,人员汇总_正班!$A5,考勤清单!$F:$F,人员汇总_正班!$C5,考勤清单!$G:$G,人员汇总_正班!AI$1)</f>
        <v>0</v>
      </c>
      <c r="AJ5" s="70">
        <f t="shared" si="1"/>
        <v>0</v>
      </c>
      <c r="AK5" s="69">
        <f t="shared" si="2"/>
        <v>0</v>
      </c>
      <c r="AL5" s="69">
        <f t="shared" si="3"/>
        <v>0</v>
      </c>
      <c r="AM5" s="69">
        <f t="shared" si="4"/>
        <v>0</v>
      </c>
    </row>
    <row r="6" spans="1:39" ht="12.75" x14ac:dyDescent="0.2">
      <c r="A6" s="8" t="s">
        <v>94</v>
      </c>
      <c r="B6" s="8" t="s">
        <v>93</v>
      </c>
      <c r="C6" s="10" t="s">
        <v>95</v>
      </c>
      <c r="D6" s="10" t="s">
        <v>86</v>
      </c>
      <c r="E6" s="69">
        <f>SUMIFS(考勤清单!$Q:$Q,考勤清单!$D:$D,人员汇总_正班!$A6,考勤清单!$F:$F,人员汇总_正班!$C6,考勤清单!$G:$G,人员汇总_正班!E$1)</f>
        <v>0</v>
      </c>
      <c r="F6" s="69">
        <f>SUMIFS(考勤清单!$Q:$Q,考勤清单!$D:$D,人员汇总_正班!$A6,考勤清单!$F:$F,人员汇总_正班!$C6,考勤清单!$G:$G,人员汇总_正班!F$1)</f>
        <v>0</v>
      </c>
      <c r="G6" s="69">
        <f>SUMIFS(考勤清单!$Q:$Q,考勤清单!$D:$D,人员汇总_正班!$A6,考勤清单!$F:$F,人员汇总_正班!$C6,考勤清单!$G:$G,人员汇总_正班!G$1)</f>
        <v>0</v>
      </c>
      <c r="H6" s="69">
        <f>SUMIFS(考勤清单!$Q:$Q,考勤清单!$D:$D,人员汇总_正班!$A6,考勤清单!$F:$F,人员汇总_正班!$C6,考勤清单!$G:$G,人员汇总_正班!H$1)</f>
        <v>0</v>
      </c>
      <c r="I6" s="69">
        <f>SUMIFS(考勤清单!$Q:$Q,考勤清单!$D:$D,人员汇总_正班!$A6,考勤清单!$F:$F,人员汇总_正班!$C6,考勤清单!$G:$G,人员汇总_正班!I$1)</f>
        <v>0</v>
      </c>
      <c r="J6" s="69">
        <f>SUMIFS(考勤清单!$Q:$Q,考勤清单!$D:$D,人员汇总_正班!$A6,考勤清单!$F:$F,人员汇总_正班!$C6,考勤清单!$G:$G,人员汇总_正班!J$1)</f>
        <v>0</v>
      </c>
      <c r="K6" s="69">
        <f>SUMIFS(考勤清单!$Q:$Q,考勤清单!$D:$D,人员汇总_正班!$A6,考勤清单!$F:$F,人员汇总_正班!$C6,考勤清单!$G:$G,人员汇总_正班!K$1)</f>
        <v>0</v>
      </c>
      <c r="L6" s="69">
        <f>SUMIFS(考勤清单!$Q:$Q,考勤清单!$D:$D,人员汇总_正班!$A6,考勤清单!$F:$F,人员汇总_正班!$C6,考勤清单!$G:$G,人员汇总_正班!L$1)</f>
        <v>0</v>
      </c>
      <c r="M6" s="69">
        <f>SUMIFS(考勤清单!$Q:$Q,考勤清单!$D:$D,人员汇总_正班!$A6,考勤清单!$F:$F,人员汇总_正班!$C6,考勤清单!$G:$G,人员汇总_正班!M$1)</f>
        <v>0</v>
      </c>
      <c r="N6" s="69">
        <f>SUMIFS(考勤清单!$Q:$Q,考勤清单!$D:$D,人员汇总_正班!$A6,考勤清单!$F:$F,人员汇总_正班!$C6,考勤清单!$G:$G,人员汇总_正班!N$1)</f>
        <v>0</v>
      </c>
      <c r="O6" s="69">
        <f>SUMIFS(考勤清单!$Q:$Q,考勤清单!$D:$D,人员汇总_正班!$A6,考勤清单!$F:$F,人员汇总_正班!$C6,考勤清单!$G:$G,人员汇总_正班!O$1)</f>
        <v>0</v>
      </c>
      <c r="P6" s="69">
        <f>SUMIFS(考勤清单!$Q:$Q,考勤清单!$D:$D,人员汇总_正班!$A6,考勤清单!$F:$F,人员汇总_正班!$C6,考勤清单!$G:$G,人员汇总_正班!P$1)</f>
        <v>0</v>
      </c>
      <c r="Q6" s="69">
        <f>SUMIFS(考勤清单!$Q:$Q,考勤清单!$D:$D,人员汇总_正班!$A6,考勤清单!$F:$F,人员汇总_正班!$C6,考勤清单!$G:$G,人员汇总_正班!Q$1)</f>
        <v>0</v>
      </c>
      <c r="R6" s="69">
        <f>SUMIFS(考勤清单!$Q:$Q,考勤清单!$D:$D,人员汇总_正班!$A6,考勤清单!$F:$F,人员汇总_正班!$C6,考勤清单!$G:$G,人员汇总_正班!R$1)</f>
        <v>0</v>
      </c>
      <c r="S6" s="69">
        <f>SUMIFS(考勤清单!$Q:$Q,考勤清单!$D:$D,人员汇总_正班!$A6,考勤清单!$F:$F,人员汇总_正班!$C6,考勤清单!$G:$G,人员汇总_正班!S$1)</f>
        <v>0</v>
      </c>
      <c r="T6" s="69">
        <f>SUMIFS(考勤清单!$Q:$Q,考勤清单!$D:$D,人员汇总_正班!$A6,考勤清单!$F:$F,人员汇总_正班!$C6,考勤清单!$G:$G,人员汇总_正班!T$1)</f>
        <v>0</v>
      </c>
      <c r="U6" s="69">
        <f>SUMIFS(考勤清单!$Q:$Q,考勤清单!$D:$D,人员汇总_正班!$A6,考勤清单!$F:$F,人员汇总_正班!$C6,考勤清单!$G:$G,人员汇总_正班!U$1)</f>
        <v>0</v>
      </c>
      <c r="V6" s="69">
        <f>SUMIFS(考勤清单!$Q:$Q,考勤清单!$D:$D,人员汇总_正班!$A6,考勤清单!$F:$F,人员汇总_正班!$C6,考勤清单!$G:$G,人员汇总_正班!V$1)</f>
        <v>0</v>
      </c>
      <c r="W6" s="69">
        <f>SUMIFS(考勤清单!$Q:$Q,考勤清单!$D:$D,人员汇总_正班!$A6,考勤清单!$F:$F,人员汇总_正班!$C6,考勤清单!$G:$G,人员汇总_正班!W$1)</f>
        <v>0</v>
      </c>
      <c r="X6" s="69">
        <f>SUMIFS(考勤清单!$Q:$Q,考勤清单!$D:$D,人员汇总_正班!$A6,考勤清单!$F:$F,人员汇总_正班!$C6,考勤清单!$G:$G,人员汇总_正班!X$1)</f>
        <v>0</v>
      </c>
      <c r="Y6" s="69">
        <f>SUMIFS(考勤清单!$Q:$Q,考勤清单!$D:$D,人员汇总_正班!$A6,考勤清单!$F:$F,人员汇总_正班!$C6,考勤清单!$G:$G,人员汇总_正班!Y$1)</f>
        <v>0</v>
      </c>
      <c r="Z6" s="69">
        <f>SUMIFS(考勤清单!$Q:$Q,考勤清单!$D:$D,人员汇总_正班!$A6,考勤清单!$F:$F,人员汇总_正班!$C6,考勤清单!$G:$G,人员汇总_正班!Z$1)</f>
        <v>0</v>
      </c>
      <c r="AA6" s="69">
        <f>SUMIFS(考勤清单!$Q:$Q,考勤清单!$D:$D,人员汇总_正班!$A6,考勤清单!$F:$F,人员汇总_正班!$C6,考勤清单!$G:$G,人员汇总_正班!AA$1)</f>
        <v>0</v>
      </c>
      <c r="AB6" s="69">
        <f>SUMIFS(考勤清单!$Q:$Q,考勤清单!$D:$D,人员汇总_正班!$A6,考勤清单!$F:$F,人员汇总_正班!$C6,考勤清单!$G:$G,人员汇总_正班!AB$1)</f>
        <v>0</v>
      </c>
      <c r="AC6" s="69">
        <f>SUMIFS(考勤清单!$Q:$Q,考勤清单!$D:$D,人员汇总_正班!$A6,考勤清单!$F:$F,人员汇总_正班!$C6,考勤清单!$G:$G,人员汇总_正班!AC$1)</f>
        <v>0</v>
      </c>
      <c r="AD6" s="69">
        <f>SUMIFS(考勤清单!$Q:$Q,考勤清单!$D:$D,人员汇总_正班!$A6,考勤清单!$F:$F,人员汇总_正班!$C6,考勤清单!$G:$G,人员汇总_正班!AD$1)</f>
        <v>0</v>
      </c>
      <c r="AE6" s="69">
        <f>SUMIFS(考勤清单!$Q:$Q,考勤清单!$D:$D,人员汇总_正班!$A6,考勤清单!$F:$F,人员汇总_正班!$C6,考勤清单!$G:$G,人员汇总_正班!AE$1)</f>
        <v>0</v>
      </c>
      <c r="AF6" s="69">
        <f>SUMIFS(考勤清单!$Q:$Q,考勤清单!$D:$D,人员汇总_正班!$A6,考勤清单!$F:$F,人员汇总_正班!$C6,考勤清单!$G:$G,人员汇总_正班!AF$1)</f>
        <v>0</v>
      </c>
      <c r="AG6" s="69">
        <f>SUMIFS(考勤清单!$Q:$Q,考勤清单!$D:$D,人员汇总_正班!$A6,考勤清单!$F:$F,人员汇总_正班!$C6,考勤清单!$G:$G,人员汇总_正班!AG$1)</f>
        <v>0</v>
      </c>
      <c r="AH6" s="69">
        <f>SUMIFS(考勤清单!$Q:$Q,考勤清单!$D:$D,人员汇总_正班!$A6,考勤清单!$F:$F,人员汇总_正班!$C6,考勤清单!$G:$G,人员汇总_正班!AH$1)</f>
        <v>0</v>
      </c>
      <c r="AI6" s="69">
        <f>SUMIFS(考勤清单!$Q:$Q,考勤清单!$D:$D,人员汇总_正班!$A6,考勤清单!$F:$F,人员汇总_正班!$C6,考勤清单!$G:$G,人员汇总_正班!AI$1)</f>
        <v>0</v>
      </c>
      <c r="AJ6" s="70">
        <f t="shared" si="1"/>
        <v>0</v>
      </c>
      <c r="AK6" s="69">
        <f t="shared" si="2"/>
        <v>0</v>
      </c>
      <c r="AL6" s="69">
        <f t="shared" si="3"/>
        <v>0</v>
      </c>
      <c r="AM6" s="69">
        <f t="shared" si="4"/>
        <v>0</v>
      </c>
    </row>
    <row r="7" spans="1:39" ht="12.75" x14ac:dyDescent="0.2">
      <c r="A7" s="8" t="s">
        <v>97</v>
      </c>
      <c r="B7" s="8" t="s">
        <v>96</v>
      </c>
      <c r="C7" s="10" t="s">
        <v>98</v>
      </c>
      <c r="D7" s="10" t="s">
        <v>86</v>
      </c>
      <c r="E7" s="69">
        <f>SUMIFS(考勤清单!$Q:$Q,考勤清单!$D:$D,人员汇总_正班!$A7,考勤清单!$F:$F,人员汇总_正班!$C7,考勤清单!$G:$G,人员汇总_正班!E$1)</f>
        <v>0</v>
      </c>
      <c r="F7" s="69">
        <f>SUMIFS(考勤清单!$Q:$Q,考勤清单!$D:$D,人员汇总_正班!$A7,考勤清单!$F:$F,人员汇总_正班!$C7,考勤清单!$G:$G,人员汇总_正班!F$1)</f>
        <v>0</v>
      </c>
      <c r="G7" s="69">
        <f>SUMIFS(考勤清单!$Q:$Q,考勤清单!$D:$D,人员汇总_正班!$A7,考勤清单!$F:$F,人员汇总_正班!$C7,考勤清单!$G:$G,人员汇总_正班!G$1)</f>
        <v>0</v>
      </c>
      <c r="H7" s="69">
        <f>SUMIFS(考勤清单!$Q:$Q,考勤清单!$D:$D,人员汇总_正班!$A7,考勤清单!$F:$F,人员汇总_正班!$C7,考勤清单!$G:$G,人员汇总_正班!H$1)</f>
        <v>0</v>
      </c>
      <c r="I7" s="69">
        <f>SUMIFS(考勤清单!$Q:$Q,考勤清单!$D:$D,人员汇总_正班!$A7,考勤清单!$F:$F,人员汇总_正班!$C7,考勤清单!$G:$G,人员汇总_正班!I$1)</f>
        <v>0</v>
      </c>
      <c r="J7" s="69">
        <f>SUMIFS(考勤清单!$Q:$Q,考勤清单!$D:$D,人员汇总_正班!$A7,考勤清单!$F:$F,人员汇总_正班!$C7,考勤清单!$G:$G,人员汇总_正班!J$1)</f>
        <v>0</v>
      </c>
      <c r="K7" s="69">
        <f>SUMIFS(考勤清单!$Q:$Q,考勤清单!$D:$D,人员汇总_正班!$A7,考勤清单!$F:$F,人员汇总_正班!$C7,考勤清单!$G:$G,人员汇总_正班!K$1)</f>
        <v>0</v>
      </c>
      <c r="L7" s="69">
        <f>SUMIFS(考勤清单!$Q:$Q,考勤清单!$D:$D,人员汇总_正班!$A7,考勤清单!$F:$F,人员汇总_正班!$C7,考勤清单!$G:$G,人员汇总_正班!L$1)</f>
        <v>0</v>
      </c>
      <c r="M7" s="69">
        <f>SUMIFS(考勤清单!$Q:$Q,考勤清单!$D:$D,人员汇总_正班!$A7,考勤清单!$F:$F,人员汇总_正班!$C7,考勤清单!$G:$G,人员汇总_正班!M$1)</f>
        <v>0</v>
      </c>
      <c r="N7" s="69">
        <f>SUMIFS(考勤清单!$Q:$Q,考勤清单!$D:$D,人员汇总_正班!$A7,考勤清单!$F:$F,人员汇总_正班!$C7,考勤清单!$G:$G,人员汇总_正班!N$1)</f>
        <v>0</v>
      </c>
      <c r="O7" s="69">
        <f>SUMIFS(考勤清单!$Q:$Q,考勤清单!$D:$D,人员汇总_正班!$A7,考勤清单!$F:$F,人员汇总_正班!$C7,考勤清单!$G:$G,人员汇总_正班!O$1)</f>
        <v>0</v>
      </c>
      <c r="P7" s="69">
        <f>SUMIFS(考勤清单!$Q:$Q,考勤清单!$D:$D,人员汇总_正班!$A7,考勤清单!$F:$F,人员汇总_正班!$C7,考勤清单!$G:$G,人员汇总_正班!P$1)</f>
        <v>0</v>
      </c>
      <c r="Q7" s="69">
        <f>SUMIFS(考勤清单!$Q:$Q,考勤清单!$D:$D,人员汇总_正班!$A7,考勤清单!$F:$F,人员汇总_正班!$C7,考勤清单!$G:$G,人员汇总_正班!Q$1)</f>
        <v>0</v>
      </c>
      <c r="R7" s="69">
        <f>SUMIFS(考勤清单!$Q:$Q,考勤清单!$D:$D,人员汇总_正班!$A7,考勤清单!$F:$F,人员汇总_正班!$C7,考勤清单!$G:$G,人员汇总_正班!R$1)</f>
        <v>0</v>
      </c>
      <c r="S7" s="69">
        <f>SUMIFS(考勤清单!$Q:$Q,考勤清单!$D:$D,人员汇总_正班!$A7,考勤清单!$F:$F,人员汇总_正班!$C7,考勤清单!$G:$G,人员汇总_正班!S$1)</f>
        <v>0</v>
      </c>
      <c r="T7" s="69">
        <f>SUMIFS(考勤清单!$Q:$Q,考勤清单!$D:$D,人员汇总_正班!$A7,考勤清单!$F:$F,人员汇总_正班!$C7,考勤清单!$G:$G,人员汇总_正班!T$1)</f>
        <v>0</v>
      </c>
      <c r="U7" s="69">
        <f>SUMIFS(考勤清单!$Q:$Q,考勤清单!$D:$D,人员汇总_正班!$A7,考勤清单!$F:$F,人员汇总_正班!$C7,考勤清单!$G:$G,人员汇总_正班!U$1)</f>
        <v>0</v>
      </c>
      <c r="V7" s="69">
        <f>SUMIFS(考勤清单!$Q:$Q,考勤清单!$D:$D,人员汇总_正班!$A7,考勤清单!$F:$F,人员汇总_正班!$C7,考勤清单!$G:$G,人员汇总_正班!V$1)</f>
        <v>0</v>
      </c>
      <c r="W7" s="69">
        <f>SUMIFS(考勤清单!$Q:$Q,考勤清单!$D:$D,人员汇总_正班!$A7,考勤清单!$F:$F,人员汇总_正班!$C7,考勤清单!$G:$G,人员汇总_正班!W$1)</f>
        <v>0</v>
      </c>
      <c r="X7" s="69">
        <f>SUMIFS(考勤清单!$Q:$Q,考勤清单!$D:$D,人员汇总_正班!$A7,考勤清单!$F:$F,人员汇总_正班!$C7,考勤清单!$G:$G,人员汇总_正班!X$1)</f>
        <v>0</v>
      </c>
      <c r="Y7" s="69">
        <f>SUMIFS(考勤清单!$Q:$Q,考勤清单!$D:$D,人员汇总_正班!$A7,考勤清单!$F:$F,人员汇总_正班!$C7,考勤清单!$G:$G,人员汇总_正班!Y$1)</f>
        <v>0</v>
      </c>
      <c r="Z7" s="69">
        <f>SUMIFS(考勤清单!$Q:$Q,考勤清单!$D:$D,人员汇总_正班!$A7,考勤清单!$F:$F,人员汇总_正班!$C7,考勤清单!$G:$G,人员汇总_正班!Z$1)</f>
        <v>0</v>
      </c>
      <c r="AA7" s="69">
        <f>SUMIFS(考勤清单!$Q:$Q,考勤清单!$D:$D,人员汇总_正班!$A7,考勤清单!$F:$F,人员汇总_正班!$C7,考勤清单!$G:$G,人员汇总_正班!AA$1)</f>
        <v>0</v>
      </c>
      <c r="AB7" s="69">
        <f>SUMIFS(考勤清单!$Q:$Q,考勤清单!$D:$D,人员汇总_正班!$A7,考勤清单!$F:$F,人员汇总_正班!$C7,考勤清单!$G:$G,人员汇总_正班!AB$1)</f>
        <v>0</v>
      </c>
      <c r="AC7" s="69">
        <f>SUMIFS(考勤清单!$Q:$Q,考勤清单!$D:$D,人员汇总_正班!$A7,考勤清单!$F:$F,人员汇总_正班!$C7,考勤清单!$G:$G,人员汇总_正班!AC$1)</f>
        <v>0</v>
      </c>
      <c r="AD7" s="69">
        <f>SUMIFS(考勤清单!$Q:$Q,考勤清单!$D:$D,人员汇总_正班!$A7,考勤清单!$F:$F,人员汇总_正班!$C7,考勤清单!$G:$G,人员汇总_正班!AD$1)</f>
        <v>0</v>
      </c>
      <c r="AE7" s="69">
        <f>SUMIFS(考勤清单!$Q:$Q,考勤清单!$D:$D,人员汇总_正班!$A7,考勤清单!$F:$F,人员汇总_正班!$C7,考勤清单!$G:$G,人员汇总_正班!AE$1)</f>
        <v>0</v>
      </c>
      <c r="AF7" s="69">
        <f>SUMIFS(考勤清单!$Q:$Q,考勤清单!$D:$D,人员汇总_正班!$A7,考勤清单!$F:$F,人员汇总_正班!$C7,考勤清单!$G:$G,人员汇总_正班!AF$1)</f>
        <v>0</v>
      </c>
      <c r="AG7" s="69">
        <f>SUMIFS(考勤清单!$Q:$Q,考勤清单!$D:$D,人员汇总_正班!$A7,考勤清单!$F:$F,人员汇总_正班!$C7,考勤清单!$G:$G,人员汇总_正班!AG$1)</f>
        <v>0</v>
      </c>
      <c r="AH7" s="69">
        <f>SUMIFS(考勤清单!$Q:$Q,考勤清单!$D:$D,人员汇总_正班!$A7,考勤清单!$F:$F,人员汇总_正班!$C7,考勤清单!$G:$G,人员汇总_正班!AH$1)</f>
        <v>0</v>
      </c>
      <c r="AI7" s="69">
        <f>SUMIFS(考勤清单!$Q:$Q,考勤清单!$D:$D,人员汇总_正班!$A7,考勤清单!$F:$F,人员汇总_正班!$C7,考勤清单!$G:$G,人员汇总_正班!AI$1)</f>
        <v>0</v>
      </c>
      <c r="AJ7" s="70">
        <f t="shared" si="1"/>
        <v>0</v>
      </c>
      <c r="AK7" s="69">
        <f t="shared" si="2"/>
        <v>0</v>
      </c>
      <c r="AL7" s="69">
        <f t="shared" si="3"/>
        <v>0</v>
      </c>
      <c r="AM7" s="69">
        <f t="shared" si="4"/>
        <v>0</v>
      </c>
    </row>
    <row r="8" spans="1:39" ht="12.75" x14ac:dyDescent="0.2">
      <c r="A8" s="8" t="s">
        <v>100</v>
      </c>
      <c r="B8" s="8" t="s">
        <v>99</v>
      </c>
      <c r="C8" s="8" t="s">
        <v>102</v>
      </c>
      <c r="D8" s="10" t="s">
        <v>101</v>
      </c>
      <c r="E8" s="69">
        <f>SUMIFS(考勤清单!$Q:$Q,考勤清单!$D:$D,人员汇总_正班!$A8,考勤清单!$F:$F,人员汇总_正班!$C8,考勤清单!$G:$G,人员汇总_正班!E$1)</f>
        <v>0</v>
      </c>
      <c r="F8" s="69">
        <f>SUMIFS(考勤清单!$Q:$Q,考勤清单!$D:$D,人员汇总_正班!$A8,考勤清单!$F:$F,人员汇总_正班!$C8,考勤清单!$G:$G,人员汇总_正班!F$1)</f>
        <v>0</v>
      </c>
      <c r="G8" s="69">
        <f>SUMIFS(考勤清单!$Q:$Q,考勤清单!$D:$D,人员汇总_正班!$A8,考勤清单!$F:$F,人员汇总_正班!$C8,考勤清单!$G:$G,人员汇总_正班!G$1)</f>
        <v>0</v>
      </c>
      <c r="H8" s="69">
        <f>SUMIFS(考勤清单!$Q:$Q,考勤清单!$D:$D,人员汇总_正班!$A8,考勤清单!$F:$F,人员汇总_正班!$C8,考勤清单!$G:$G,人员汇总_正班!H$1)</f>
        <v>0</v>
      </c>
      <c r="I8" s="69">
        <f>SUMIFS(考勤清单!$Q:$Q,考勤清单!$D:$D,人员汇总_正班!$A8,考勤清单!$F:$F,人员汇总_正班!$C8,考勤清单!$G:$G,人员汇总_正班!I$1)</f>
        <v>0</v>
      </c>
      <c r="J8" s="69">
        <f>SUMIFS(考勤清单!$Q:$Q,考勤清单!$D:$D,人员汇总_正班!$A8,考勤清单!$F:$F,人员汇总_正班!$C8,考勤清单!$G:$G,人员汇总_正班!J$1)</f>
        <v>0</v>
      </c>
      <c r="K8" s="69">
        <f>SUMIFS(考勤清单!$Q:$Q,考勤清单!$D:$D,人员汇总_正班!$A8,考勤清单!$F:$F,人员汇总_正班!$C8,考勤清单!$G:$G,人员汇总_正班!K$1)</f>
        <v>0</v>
      </c>
      <c r="L8" s="69">
        <f>SUMIFS(考勤清单!$Q:$Q,考勤清单!$D:$D,人员汇总_正班!$A8,考勤清单!$F:$F,人员汇总_正班!$C8,考勤清单!$G:$G,人员汇总_正班!L$1)</f>
        <v>0</v>
      </c>
      <c r="M8" s="69">
        <f>SUMIFS(考勤清单!$Q:$Q,考勤清单!$D:$D,人员汇总_正班!$A8,考勤清单!$F:$F,人员汇总_正班!$C8,考勤清单!$G:$G,人员汇总_正班!M$1)</f>
        <v>0</v>
      </c>
      <c r="N8" s="69">
        <f>SUMIFS(考勤清单!$Q:$Q,考勤清单!$D:$D,人员汇总_正班!$A8,考勤清单!$F:$F,人员汇总_正班!$C8,考勤清单!$G:$G,人员汇总_正班!N$1)</f>
        <v>0</v>
      </c>
      <c r="O8" s="69">
        <f>SUMIFS(考勤清单!$Q:$Q,考勤清单!$D:$D,人员汇总_正班!$A8,考勤清单!$F:$F,人员汇总_正班!$C8,考勤清单!$G:$G,人员汇总_正班!O$1)</f>
        <v>0</v>
      </c>
      <c r="P8" s="69">
        <f>SUMIFS(考勤清单!$Q:$Q,考勤清单!$D:$D,人员汇总_正班!$A8,考勤清单!$F:$F,人员汇总_正班!$C8,考勤清单!$G:$G,人员汇总_正班!P$1)</f>
        <v>0</v>
      </c>
      <c r="Q8" s="69">
        <f>SUMIFS(考勤清单!$Q:$Q,考勤清单!$D:$D,人员汇总_正班!$A8,考勤清单!$F:$F,人员汇总_正班!$C8,考勤清单!$G:$G,人员汇总_正班!Q$1)</f>
        <v>0</v>
      </c>
      <c r="R8" s="69">
        <f>SUMIFS(考勤清单!$Q:$Q,考勤清单!$D:$D,人员汇总_正班!$A8,考勤清单!$F:$F,人员汇总_正班!$C8,考勤清单!$G:$G,人员汇总_正班!R$1)</f>
        <v>0</v>
      </c>
      <c r="S8" s="69">
        <f>SUMIFS(考勤清单!$Q:$Q,考勤清单!$D:$D,人员汇总_正班!$A8,考勤清单!$F:$F,人员汇总_正班!$C8,考勤清单!$G:$G,人员汇总_正班!S$1)</f>
        <v>0</v>
      </c>
      <c r="T8" s="69">
        <f>SUMIFS(考勤清单!$Q:$Q,考勤清单!$D:$D,人员汇总_正班!$A8,考勤清单!$F:$F,人员汇总_正班!$C8,考勤清单!$G:$G,人员汇总_正班!T$1)</f>
        <v>0</v>
      </c>
      <c r="U8" s="69">
        <f>SUMIFS(考勤清单!$Q:$Q,考勤清单!$D:$D,人员汇总_正班!$A8,考勤清单!$F:$F,人员汇总_正班!$C8,考勤清单!$G:$G,人员汇总_正班!U$1)</f>
        <v>0</v>
      </c>
      <c r="V8" s="69">
        <f>SUMIFS(考勤清单!$Q:$Q,考勤清单!$D:$D,人员汇总_正班!$A8,考勤清单!$F:$F,人员汇总_正班!$C8,考勤清单!$G:$G,人员汇总_正班!V$1)</f>
        <v>0</v>
      </c>
      <c r="W8" s="69">
        <f>SUMIFS(考勤清单!$Q:$Q,考勤清单!$D:$D,人员汇总_正班!$A8,考勤清单!$F:$F,人员汇总_正班!$C8,考勤清单!$G:$G,人员汇总_正班!W$1)</f>
        <v>0</v>
      </c>
      <c r="X8" s="69">
        <f>SUMIFS(考勤清单!$Q:$Q,考勤清单!$D:$D,人员汇总_正班!$A8,考勤清单!$F:$F,人员汇总_正班!$C8,考勤清单!$G:$G,人员汇总_正班!X$1)</f>
        <v>0</v>
      </c>
      <c r="Y8" s="69">
        <f>SUMIFS(考勤清单!$Q:$Q,考勤清单!$D:$D,人员汇总_正班!$A8,考勤清单!$F:$F,人员汇总_正班!$C8,考勤清单!$G:$G,人员汇总_正班!Y$1)</f>
        <v>0</v>
      </c>
      <c r="Z8" s="69">
        <f>SUMIFS(考勤清单!$Q:$Q,考勤清单!$D:$D,人员汇总_正班!$A8,考勤清单!$F:$F,人员汇总_正班!$C8,考勤清单!$G:$G,人员汇总_正班!Z$1)</f>
        <v>0</v>
      </c>
      <c r="AA8" s="69">
        <f>SUMIFS(考勤清单!$Q:$Q,考勤清单!$D:$D,人员汇总_正班!$A8,考勤清单!$F:$F,人员汇总_正班!$C8,考勤清单!$G:$G,人员汇总_正班!AA$1)</f>
        <v>0</v>
      </c>
      <c r="AB8" s="69">
        <f>SUMIFS(考勤清单!$Q:$Q,考勤清单!$D:$D,人员汇总_正班!$A8,考勤清单!$F:$F,人员汇总_正班!$C8,考勤清单!$G:$G,人员汇总_正班!AB$1)</f>
        <v>0</v>
      </c>
      <c r="AC8" s="69">
        <f>SUMIFS(考勤清单!$Q:$Q,考勤清单!$D:$D,人员汇总_正班!$A8,考勤清单!$F:$F,人员汇总_正班!$C8,考勤清单!$G:$G,人员汇总_正班!AC$1)</f>
        <v>0</v>
      </c>
      <c r="AD8" s="69">
        <f>SUMIFS(考勤清单!$Q:$Q,考勤清单!$D:$D,人员汇总_正班!$A8,考勤清单!$F:$F,人员汇总_正班!$C8,考勤清单!$G:$G,人员汇总_正班!AD$1)</f>
        <v>0</v>
      </c>
      <c r="AE8" s="69">
        <f>SUMIFS(考勤清单!$Q:$Q,考勤清单!$D:$D,人员汇总_正班!$A8,考勤清单!$F:$F,人员汇总_正班!$C8,考勤清单!$G:$G,人员汇总_正班!AE$1)</f>
        <v>0</v>
      </c>
      <c r="AF8" s="69">
        <f>SUMIFS(考勤清单!$Q:$Q,考勤清单!$D:$D,人员汇总_正班!$A8,考勤清单!$F:$F,人员汇总_正班!$C8,考勤清单!$G:$G,人员汇总_正班!AF$1)</f>
        <v>0</v>
      </c>
      <c r="AG8" s="69">
        <f>SUMIFS(考勤清单!$Q:$Q,考勤清单!$D:$D,人员汇总_正班!$A8,考勤清单!$F:$F,人员汇总_正班!$C8,考勤清单!$G:$G,人员汇总_正班!AG$1)</f>
        <v>0</v>
      </c>
      <c r="AH8" s="69">
        <f>SUMIFS(考勤清单!$Q:$Q,考勤清单!$D:$D,人员汇总_正班!$A8,考勤清单!$F:$F,人员汇总_正班!$C8,考勤清单!$G:$G,人员汇总_正班!AH$1)</f>
        <v>0</v>
      </c>
      <c r="AI8" s="69">
        <f>SUMIFS(考勤清单!$Q:$Q,考勤清单!$D:$D,人员汇总_正班!$A8,考勤清单!$F:$F,人员汇总_正班!$C8,考勤清单!$G:$G,人员汇总_正班!AI$1)</f>
        <v>0</v>
      </c>
      <c r="AJ8" s="70">
        <f t="shared" si="1"/>
        <v>0</v>
      </c>
      <c r="AK8" s="69">
        <f t="shared" si="2"/>
        <v>0</v>
      </c>
      <c r="AL8" s="69">
        <f t="shared" si="3"/>
        <v>0</v>
      </c>
      <c r="AM8" s="69">
        <f t="shared" si="4"/>
        <v>0</v>
      </c>
    </row>
    <row r="9" spans="1:39" ht="12.75" x14ac:dyDescent="0.2">
      <c r="A9" s="8" t="s">
        <v>104</v>
      </c>
      <c r="B9" s="8" t="s">
        <v>103</v>
      </c>
      <c r="C9" s="8" t="s">
        <v>105</v>
      </c>
      <c r="D9" s="10" t="s">
        <v>101</v>
      </c>
      <c r="E9" s="69">
        <f>SUMIFS(考勤清单!$Q:$Q,考勤清单!$D:$D,人员汇总_正班!$A9,考勤清单!$F:$F,人员汇总_正班!$C9,考勤清单!$G:$G,人员汇总_正班!E$1)</f>
        <v>0</v>
      </c>
      <c r="F9" s="69">
        <f>SUMIFS(考勤清单!$Q:$Q,考勤清单!$D:$D,人员汇总_正班!$A9,考勤清单!$F:$F,人员汇总_正班!$C9,考勤清单!$G:$G,人员汇总_正班!F$1)</f>
        <v>0</v>
      </c>
      <c r="G9" s="69">
        <f>SUMIFS(考勤清单!$Q:$Q,考勤清单!$D:$D,人员汇总_正班!$A9,考勤清单!$F:$F,人员汇总_正班!$C9,考勤清单!$G:$G,人员汇总_正班!G$1)</f>
        <v>0</v>
      </c>
      <c r="H9" s="69">
        <f>SUMIFS(考勤清单!$Q:$Q,考勤清单!$D:$D,人员汇总_正班!$A9,考勤清单!$F:$F,人员汇总_正班!$C9,考勤清单!$G:$G,人员汇总_正班!H$1)</f>
        <v>0</v>
      </c>
      <c r="I9" s="69">
        <f>SUMIFS(考勤清单!$Q:$Q,考勤清单!$D:$D,人员汇总_正班!$A9,考勤清单!$F:$F,人员汇总_正班!$C9,考勤清单!$G:$G,人员汇总_正班!I$1)</f>
        <v>0</v>
      </c>
      <c r="J9" s="69">
        <f>SUMIFS(考勤清单!$Q:$Q,考勤清单!$D:$D,人员汇总_正班!$A9,考勤清单!$F:$F,人员汇总_正班!$C9,考勤清单!$G:$G,人员汇总_正班!J$1)</f>
        <v>0</v>
      </c>
      <c r="K9" s="69">
        <f>SUMIFS(考勤清单!$Q:$Q,考勤清单!$D:$D,人员汇总_正班!$A9,考勤清单!$F:$F,人员汇总_正班!$C9,考勤清单!$G:$G,人员汇总_正班!K$1)</f>
        <v>0</v>
      </c>
      <c r="L9" s="69">
        <f>SUMIFS(考勤清单!$Q:$Q,考勤清单!$D:$D,人员汇总_正班!$A9,考勤清单!$F:$F,人员汇总_正班!$C9,考勤清单!$G:$G,人员汇总_正班!L$1)</f>
        <v>0</v>
      </c>
      <c r="M9" s="69">
        <f>SUMIFS(考勤清单!$Q:$Q,考勤清单!$D:$D,人员汇总_正班!$A9,考勤清单!$F:$F,人员汇总_正班!$C9,考勤清单!$G:$G,人员汇总_正班!M$1)</f>
        <v>0</v>
      </c>
      <c r="N9" s="69">
        <f>SUMIFS(考勤清单!$Q:$Q,考勤清单!$D:$D,人员汇总_正班!$A9,考勤清单!$F:$F,人员汇总_正班!$C9,考勤清单!$G:$G,人员汇总_正班!N$1)</f>
        <v>0</v>
      </c>
      <c r="O9" s="69">
        <f>SUMIFS(考勤清单!$Q:$Q,考勤清单!$D:$D,人员汇总_正班!$A9,考勤清单!$F:$F,人员汇总_正班!$C9,考勤清单!$G:$G,人员汇总_正班!O$1)</f>
        <v>0</v>
      </c>
      <c r="P9" s="69">
        <f>SUMIFS(考勤清单!$Q:$Q,考勤清单!$D:$D,人员汇总_正班!$A9,考勤清单!$F:$F,人员汇总_正班!$C9,考勤清单!$G:$G,人员汇总_正班!P$1)</f>
        <v>0</v>
      </c>
      <c r="Q9" s="69">
        <f>SUMIFS(考勤清单!$Q:$Q,考勤清单!$D:$D,人员汇总_正班!$A9,考勤清单!$F:$F,人员汇总_正班!$C9,考勤清单!$G:$G,人员汇总_正班!Q$1)</f>
        <v>0</v>
      </c>
      <c r="R9" s="69">
        <f>SUMIFS(考勤清单!$Q:$Q,考勤清单!$D:$D,人员汇总_正班!$A9,考勤清单!$F:$F,人员汇总_正班!$C9,考勤清单!$G:$G,人员汇总_正班!R$1)</f>
        <v>0</v>
      </c>
      <c r="S9" s="69">
        <f>SUMIFS(考勤清单!$Q:$Q,考勤清单!$D:$D,人员汇总_正班!$A9,考勤清单!$F:$F,人员汇总_正班!$C9,考勤清单!$G:$G,人员汇总_正班!S$1)</f>
        <v>0</v>
      </c>
      <c r="T9" s="69">
        <f>SUMIFS(考勤清单!$Q:$Q,考勤清单!$D:$D,人员汇总_正班!$A9,考勤清单!$F:$F,人员汇总_正班!$C9,考勤清单!$G:$G,人员汇总_正班!T$1)</f>
        <v>0</v>
      </c>
      <c r="U9" s="69">
        <f>SUMIFS(考勤清单!$Q:$Q,考勤清单!$D:$D,人员汇总_正班!$A9,考勤清单!$F:$F,人员汇总_正班!$C9,考勤清单!$G:$G,人员汇总_正班!U$1)</f>
        <v>0</v>
      </c>
      <c r="V9" s="69">
        <f>SUMIFS(考勤清单!$Q:$Q,考勤清单!$D:$D,人员汇总_正班!$A9,考勤清单!$F:$F,人员汇总_正班!$C9,考勤清单!$G:$G,人员汇总_正班!V$1)</f>
        <v>0</v>
      </c>
      <c r="W9" s="69">
        <f>SUMIFS(考勤清单!$Q:$Q,考勤清单!$D:$D,人员汇总_正班!$A9,考勤清单!$F:$F,人员汇总_正班!$C9,考勤清单!$G:$G,人员汇总_正班!W$1)</f>
        <v>0</v>
      </c>
      <c r="X9" s="69">
        <f>SUMIFS(考勤清单!$Q:$Q,考勤清单!$D:$D,人员汇总_正班!$A9,考勤清单!$F:$F,人员汇总_正班!$C9,考勤清单!$G:$G,人员汇总_正班!X$1)</f>
        <v>0</v>
      </c>
      <c r="Y9" s="69">
        <f>SUMIFS(考勤清单!$Q:$Q,考勤清单!$D:$D,人员汇总_正班!$A9,考勤清单!$F:$F,人员汇总_正班!$C9,考勤清单!$G:$G,人员汇总_正班!Y$1)</f>
        <v>0</v>
      </c>
      <c r="Z9" s="69">
        <f>SUMIFS(考勤清单!$Q:$Q,考勤清单!$D:$D,人员汇总_正班!$A9,考勤清单!$F:$F,人员汇总_正班!$C9,考勤清单!$G:$G,人员汇总_正班!Z$1)</f>
        <v>0</v>
      </c>
      <c r="AA9" s="69">
        <f>SUMIFS(考勤清单!$Q:$Q,考勤清单!$D:$D,人员汇总_正班!$A9,考勤清单!$F:$F,人员汇总_正班!$C9,考勤清单!$G:$G,人员汇总_正班!AA$1)</f>
        <v>0</v>
      </c>
      <c r="AB9" s="69">
        <f>SUMIFS(考勤清单!$Q:$Q,考勤清单!$D:$D,人员汇总_正班!$A9,考勤清单!$F:$F,人员汇总_正班!$C9,考勤清单!$G:$G,人员汇总_正班!AB$1)</f>
        <v>0</v>
      </c>
      <c r="AC9" s="69">
        <f>SUMIFS(考勤清单!$Q:$Q,考勤清单!$D:$D,人员汇总_正班!$A9,考勤清单!$F:$F,人员汇总_正班!$C9,考勤清单!$G:$G,人员汇总_正班!AC$1)</f>
        <v>0</v>
      </c>
      <c r="AD9" s="69">
        <f>SUMIFS(考勤清单!$Q:$Q,考勤清单!$D:$D,人员汇总_正班!$A9,考勤清单!$F:$F,人员汇总_正班!$C9,考勤清单!$G:$G,人员汇总_正班!AD$1)</f>
        <v>0</v>
      </c>
      <c r="AE9" s="69">
        <f>SUMIFS(考勤清单!$Q:$Q,考勤清单!$D:$D,人员汇总_正班!$A9,考勤清单!$F:$F,人员汇总_正班!$C9,考勤清单!$G:$G,人员汇总_正班!AE$1)</f>
        <v>0</v>
      </c>
      <c r="AF9" s="69">
        <f>SUMIFS(考勤清单!$Q:$Q,考勤清单!$D:$D,人员汇总_正班!$A9,考勤清单!$F:$F,人员汇总_正班!$C9,考勤清单!$G:$G,人员汇总_正班!AF$1)</f>
        <v>0</v>
      </c>
      <c r="AG9" s="69">
        <f>SUMIFS(考勤清单!$Q:$Q,考勤清单!$D:$D,人员汇总_正班!$A9,考勤清单!$F:$F,人员汇总_正班!$C9,考勤清单!$G:$G,人员汇总_正班!AG$1)</f>
        <v>0</v>
      </c>
      <c r="AH9" s="69">
        <f>SUMIFS(考勤清单!$Q:$Q,考勤清单!$D:$D,人员汇总_正班!$A9,考勤清单!$F:$F,人员汇总_正班!$C9,考勤清单!$G:$G,人员汇总_正班!AH$1)</f>
        <v>0</v>
      </c>
      <c r="AI9" s="69">
        <f>SUMIFS(考勤清单!$Q:$Q,考勤清单!$D:$D,人员汇总_正班!$A9,考勤清单!$F:$F,人员汇总_正班!$C9,考勤清单!$G:$G,人员汇总_正班!AI$1)</f>
        <v>0</v>
      </c>
      <c r="AJ9" s="70">
        <f t="shared" si="1"/>
        <v>0</v>
      </c>
      <c r="AK9" s="69">
        <f t="shared" si="2"/>
        <v>0</v>
      </c>
      <c r="AL9" s="69">
        <f t="shared" si="3"/>
        <v>0</v>
      </c>
      <c r="AM9" s="69">
        <f t="shared" si="4"/>
        <v>0</v>
      </c>
    </row>
    <row r="10" spans="1:39" ht="12.75" x14ac:dyDescent="0.2">
      <c r="D10" s="10" t="s">
        <v>120</v>
      </c>
      <c r="E10" s="69">
        <f>SUM(E2:E9)</f>
        <v>0</v>
      </c>
      <c r="F10" s="69">
        <f t="shared" ref="F10:AM10" si="5">SUM(F2:F9)</f>
        <v>0</v>
      </c>
      <c r="G10" s="69">
        <f t="shared" si="5"/>
        <v>0</v>
      </c>
      <c r="H10" s="69">
        <f t="shared" si="5"/>
        <v>0</v>
      </c>
      <c r="I10" s="69">
        <f t="shared" si="5"/>
        <v>0</v>
      </c>
      <c r="J10" s="69">
        <f t="shared" si="5"/>
        <v>0</v>
      </c>
      <c r="K10" s="69">
        <f t="shared" si="5"/>
        <v>0</v>
      </c>
      <c r="L10" s="69">
        <f t="shared" si="5"/>
        <v>0</v>
      </c>
      <c r="M10" s="69">
        <f t="shared" si="5"/>
        <v>0</v>
      </c>
      <c r="N10" s="69">
        <f t="shared" si="5"/>
        <v>0</v>
      </c>
      <c r="O10" s="69">
        <f t="shared" si="5"/>
        <v>0</v>
      </c>
      <c r="P10" s="69">
        <f t="shared" si="5"/>
        <v>0</v>
      </c>
      <c r="Q10" s="69">
        <f t="shared" si="5"/>
        <v>0</v>
      </c>
      <c r="R10" s="69">
        <f t="shared" si="5"/>
        <v>0</v>
      </c>
      <c r="S10" s="69">
        <f t="shared" si="5"/>
        <v>0</v>
      </c>
      <c r="T10" s="69">
        <f t="shared" si="5"/>
        <v>0</v>
      </c>
      <c r="U10" s="69">
        <f t="shared" si="5"/>
        <v>0</v>
      </c>
      <c r="V10" s="69">
        <f t="shared" si="5"/>
        <v>0</v>
      </c>
      <c r="W10" s="69">
        <f t="shared" si="5"/>
        <v>0</v>
      </c>
      <c r="X10" s="69">
        <f t="shared" si="5"/>
        <v>0</v>
      </c>
      <c r="Y10" s="69">
        <f t="shared" si="5"/>
        <v>0</v>
      </c>
      <c r="Z10" s="69">
        <f t="shared" si="5"/>
        <v>0</v>
      </c>
      <c r="AA10" s="69">
        <f t="shared" si="5"/>
        <v>0</v>
      </c>
      <c r="AB10" s="69">
        <f t="shared" si="5"/>
        <v>0</v>
      </c>
      <c r="AC10" s="69">
        <f t="shared" si="5"/>
        <v>0</v>
      </c>
      <c r="AD10" s="69">
        <f t="shared" si="5"/>
        <v>0</v>
      </c>
      <c r="AE10" s="69">
        <f t="shared" si="5"/>
        <v>0</v>
      </c>
      <c r="AF10" s="69">
        <f t="shared" si="5"/>
        <v>0</v>
      </c>
      <c r="AG10" s="69">
        <f t="shared" si="5"/>
        <v>0</v>
      </c>
      <c r="AH10" s="69">
        <f t="shared" si="5"/>
        <v>0</v>
      </c>
      <c r="AI10" s="69">
        <f t="shared" si="5"/>
        <v>0</v>
      </c>
      <c r="AJ10" s="70">
        <f t="shared" si="5"/>
        <v>0</v>
      </c>
      <c r="AK10" s="69">
        <f t="shared" si="5"/>
        <v>0</v>
      </c>
      <c r="AL10" s="69">
        <f t="shared" si="5"/>
        <v>0</v>
      </c>
      <c r="AM10" s="69">
        <f t="shared" si="5"/>
        <v>0</v>
      </c>
    </row>
    <row r="11" spans="1:39" ht="12.75" x14ac:dyDescent="0.2">
      <c r="D11" s="10"/>
    </row>
    <row r="12" spans="1:39" ht="12.75" x14ac:dyDescent="0.2">
      <c r="D12" s="10"/>
    </row>
    <row r="13" spans="1:39" ht="12.75" x14ac:dyDescent="0.2">
      <c r="D13" s="10"/>
    </row>
    <row r="14" spans="1:39" ht="12.75" x14ac:dyDescent="0.2">
      <c r="D14" s="10"/>
    </row>
    <row r="15" spans="1:39" ht="12.75" x14ac:dyDescent="0.2">
      <c r="D15" s="10"/>
    </row>
    <row r="16" spans="1:39" ht="12.75" x14ac:dyDescent="0.2">
      <c r="D16" s="10"/>
    </row>
    <row r="17" spans="4:4" ht="12.75" x14ac:dyDescent="0.2">
      <c r="D17" s="10"/>
    </row>
    <row r="18" spans="4:4" ht="12.75" x14ac:dyDescent="0.2">
      <c r="D18" s="10"/>
    </row>
    <row r="19" spans="4:4" ht="12.75" x14ac:dyDescent="0.2">
      <c r="D19" s="10"/>
    </row>
    <row r="20" spans="4:4" ht="12.75" x14ac:dyDescent="0.2">
      <c r="D20" s="10"/>
    </row>
    <row r="21" spans="4:4" ht="12.75" x14ac:dyDescent="0.2">
      <c r="D21" s="10"/>
    </row>
    <row r="22" spans="4:4" ht="12.75" x14ac:dyDescent="0.2">
      <c r="D22" s="10"/>
    </row>
    <row r="23" spans="4:4" ht="12.75" x14ac:dyDescent="0.2">
      <c r="D23" s="10"/>
    </row>
    <row r="24" spans="4:4" ht="12.75" x14ac:dyDescent="0.2">
      <c r="D24" s="10"/>
    </row>
    <row r="25" spans="4:4" ht="12.75" x14ac:dyDescent="0.2">
      <c r="D25" s="10"/>
    </row>
    <row r="26" spans="4:4" ht="12.75" x14ac:dyDescent="0.2">
      <c r="D26" s="10"/>
    </row>
    <row r="27" spans="4:4" ht="12.75" x14ac:dyDescent="0.2">
      <c r="D27" s="10"/>
    </row>
    <row r="28" spans="4:4" ht="12.75" x14ac:dyDescent="0.2">
      <c r="D28" s="10"/>
    </row>
    <row r="29" spans="4:4" ht="12.75" x14ac:dyDescent="0.2">
      <c r="D29" s="10"/>
    </row>
    <row r="30" spans="4:4" ht="12.75" x14ac:dyDescent="0.2">
      <c r="D30" s="10"/>
    </row>
    <row r="31" spans="4:4" ht="12.75" x14ac:dyDescent="0.2">
      <c r="D31" s="10"/>
    </row>
    <row r="32" spans="4:4" ht="12.75" x14ac:dyDescent="0.2">
      <c r="D32" s="10"/>
    </row>
    <row r="33" spans="4:4" ht="12.75" x14ac:dyDescent="0.2">
      <c r="D33" s="10"/>
    </row>
    <row r="34" spans="4:4" ht="12.75" x14ac:dyDescent="0.2">
      <c r="D34" s="10"/>
    </row>
    <row r="35" spans="4:4" ht="12.75" x14ac:dyDescent="0.2">
      <c r="D35" s="10"/>
    </row>
    <row r="36" spans="4:4" ht="12.75" x14ac:dyDescent="0.2">
      <c r="D36" s="10"/>
    </row>
    <row r="37" spans="4:4" ht="12.75" x14ac:dyDescent="0.2">
      <c r="D37" s="10"/>
    </row>
    <row r="38" spans="4:4" ht="12.75" x14ac:dyDescent="0.2">
      <c r="D38" s="10"/>
    </row>
    <row r="39" spans="4:4" ht="12.75" x14ac:dyDescent="0.2">
      <c r="D39" s="10"/>
    </row>
    <row r="40" spans="4:4" ht="12.75" x14ac:dyDescent="0.2">
      <c r="D40" s="10"/>
    </row>
    <row r="41" spans="4:4" ht="12.75" x14ac:dyDescent="0.2">
      <c r="D41" s="10"/>
    </row>
    <row r="42" spans="4:4" ht="12.75" x14ac:dyDescent="0.2">
      <c r="D42" s="10"/>
    </row>
    <row r="43" spans="4:4" ht="12.75" x14ac:dyDescent="0.2">
      <c r="D43" s="10"/>
    </row>
    <row r="44" spans="4:4" ht="12.75" x14ac:dyDescent="0.2">
      <c r="D44" s="10"/>
    </row>
    <row r="45" spans="4:4" ht="12.75" x14ac:dyDescent="0.2">
      <c r="D45" s="10"/>
    </row>
    <row r="46" spans="4:4" ht="12.75" x14ac:dyDescent="0.2">
      <c r="D46" s="10"/>
    </row>
    <row r="47" spans="4:4" ht="12.75" x14ac:dyDescent="0.2">
      <c r="D47" s="10"/>
    </row>
    <row r="48" spans="4:4" ht="12.75" x14ac:dyDescent="0.2">
      <c r="D48" s="10"/>
    </row>
    <row r="49" spans="4:4" ht="12.75" x14ac:dyDescent="0.2">
      <c r="D49" s="10"/>
    </row>
    <row r="50" spans="4:4" ht="12.75" x14ac:dyDescent="0.2">
      <c r="D50" s="10"/>
    </row>
    <row r="51" spans="4:4" ht="12.75" x14ac:dyDescent="0.2">
      <c r="D51" s="10"/>
    </row>
    <row r="52" spans="4:4" ht="12.75" x14ac:dyDescent="0.2">
      <c r="D52" s="10"/>
    </row>
    <row r="53" spans="4:4" ht="12.75" x14ac:dyDescent="0.2">
      <c r="D53" s="10"/>
    </row>
    <row r="54" spans="4:4" ht="12.75" x14ac:dyDescent="0.2">
      <c r="D54" s="10"/>
    </row>
    <row r="55" spans="4:4" ht="12.75" x14ac:dyDescent="0.2">
      <c r="D55" s="10"/>
    </row>
    <row r="56" spans="4:4" ht="12.75" x14ac:dyDescent="0.2">
      <c r="D56" s="10"/>
    </row>
    <row r="57" spans="4:4" ht="12.75" x14ac:dyDescent="0.2">
      <c r="D57" s="10"/>
    </row>
    <row r="58" spans="4:4" ht="12.75" x14ac:dyDescent="0.2">
      <c r="D58" s="10"/>
    </row>
    <row r="59" spans="4:4" ht="12.75" x14ac:dyDescent="0.2">
      <c r="D59" s="10"/>
    </row>
    <row r="60" spans="4:4" ht="12.75" x14ac:dyDescent="0.2">
      <c r="D60" s="10"/>
    </row>
    <row r="61" spans="4:4" ht="12.75" x14ac:dyDescent="0.2">
      <c r="D61" s="10"/>
    </row>
    <row r="62" spans="4:4" ht="12.75" x14ac:dyDescent="0.2">
      <c r="D62" s="10"/>
    </row>
    <row r="63" spans="4:4" ht="12.75" x14ac:dyDescent="0.2">
      <c r="D63" s="10"/>
    </row>
    <row r="64" spans="4:4" ht="12.75" x14ac:dyDescent="0.2">
      <c r="D64" s="10"/>
    </row>
    <row r="65" spans="4:4" ht="12.75" x14ac:dyDescent="0.2">
      <c r="D65" s="10"/>
    </row>
    <row r="66" spans="4:4" ht="12.75" x14ac:dyDescent="0.2">
      <c r="D66" s="10"/>
    </row>
    <row r="67" spans="4:4" ht="12.75" x14ac:dyDescent="0.2">
      <c r="D67" s="10"/>
    </row>
  </sheetData>
  <phoneticPr fontId="16" type="noConversion"/>
  <conditionalFormatting sqref="AK11:AM11 E1:AI67">
    <cfRule type="expression" dxfId="9" priority="1" stopIfTrue="1">
      <formula>WEEKDAY(E$1,2)&gt;5</formula>
    </cfRule>
  </conditionalFormatting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Button 3">
              <controlPr defaultSize="0" print="0" autoPict="0" macro="[0]!Sheet8.CmdBtnFindListPosition_Click">
                <anchor moveWithCells="1" sizeWithCells="1">
                  <from>
                    <xdr:col>39</xdr:col>
                    <xdr:colOff>85725</xdr:colOff>
                    <xdr:row>0</xdr:row>
                    <xdr:rowOff>0</xdr:rowOff>
                  </from>
                  <to>
                    <xdr:col>39</xdr:col>
                    <xdr:colOff>1009650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M67"/>
  <sheetViews>
    <sheetView showZeros="0" workbookViewId="0">
      <pane xSplit="4" ySplit="1" topLeftCell="E2" activePane="bottomRight" state="frozen"/>
      <selection pane="topRight"/>
      <selection pane="bottomLeft"/>
      <selection pane="bottomRight" activeCell="D10" sqref="D10"/>
    </sheetView>
  </sheetViews>
  <sheetFormatPr defaultColWidth="9" defaultRowHeight="12" x14ac:dyDescent="0.15"/>
  <cols>
    <col min="1" max="3" width="9" style="8"/>
    <col min="4" max="4" width="12.5" style="8" customWidth="1"/>
    <col min="5" max="5" width="4.125" style="69" customWidth="1"/>
    <col min="6" max="6" width="3.625" style="69" customWidth="1"/>
    <col min="7" max="7" width="5.375" style="69" customWidth="1"/>
    <col min="8" max="8" width="5.25" style="69" customWidth="1"/>
    <col min="9" max="22" width="3.625" style="69" customWidth="1"/>
    <col min="23" max="23" width="4.875" style="69" customWidth="1"/>
    <col min="24" max="26" width="3.625" style="69" customWidth="1"/>
    <col min="27" max="34" width="3.5" style="69" customWidth="1"/>
    <col min="35" max="35" width="4.125" style="69" customWidth="1"/>
    <col min="36" max="36" width="6.375" style="70" customWidth="1"/>
    <col min="37" max="39" width="6.375" style="69" customWidth="1"/>
    <col min="40" max="40" width="15.75" style="69" customWidth="1"/>
    <col min="41" max="16384" width="9" style="69"/>
  </cols>
  <sheetData>
    <row r="1" spans="1:39" s="68" customFormat="1" ht="48.75" customHeight="1" x14ac:dyDescent="0.15">
      <c r="A1" s="4" t="s">
        <v>42</v>
      </c>
      <c r="B1" s="4" t="s">
        <v>41</v>
      </c>
      <c r="C1" s="3" t="s">
        <v>44</v>
      </c>
      <c r="D1" s="3" t="s">
        <v>107</v>
      </c>
      <c r="E1" s="71">
        <v>44593</v>
      </c>
      <c r="F1" s="71">
        <v>44532</v>
      </c>
      <c r="G1" s="71">
        <v>44533</v>
      </c>
      <c r="H1" s="71">
        <v>44534</v>
      </c>
      <c r="I1" s="71">
        <v>44535</v>
      </c>
      <c r="J1" s="71">
        <v>44536</v>
      </c>
      <c r="K1" s="71">
        <v>44537</v>
      </c>
      <c r="L1" s="71">
        <v>44538</v>
      </c>
      <c r="M1" s="71">
        <v>44539</v>
      </c>
      <c r="N1" s="71">
        <v>44540</v>
      </c>
      <c r="O1" s="71">
        <v>44541</v>
      </c>
      <c r="P1" s="71">
        <v>44542</v>
      </c>
      <c r="Q1" s="71">
        <v>44543</v>
      </c>
      <c r="R1" s="71">
        <v>44544</v>
      </c>
      <c r="S1" s="71">
        <v>44545</v>
      </c>
      <c r="T1" s="71">
        <v>44546</v>
      </c>
      <c r="U1" s="71">
        <v>44547</v>
      </c>
      <c r="V1" s="71">
        <v>44548</v>
      </c>
      <c r="W1" s="71">
        <v>44549</v>
      </c>
      <c r="X1" s="71">
        <v>44550</v>
      </c>
      <c r="Y1" s="71">
        <v>44551</v>
      </c>
      <c r="Z1" s="71">
        <v>44552</v>
      </c>
      <c r="AA1" s="71">
        <v>44553</v>
      </c>
      <c r="AB1" s="71">
        <v>44554</v>
      </c>
      <c r="AC1" s="71">
        <v>44555</v>
      </c>
      <c r="AD1" s="71">
        <v>44556</v>
      </c>
      <c r="AE1" s="71">
        <v>44557</v>
      </c>
      <c r="AF1" s="71">
        <v>44558</v>
      </c>
      <c r="AG1" s="71">
        <v>44559</v>
      </c>
      <c r="AH1" s="71">
        <v>44560</v>
      </c>
      <c r="AI1" s="71">
        <v>44561</v>
      </c>
      <c r="AJ1" s="72" t="s">
        <v>120</v>
      </c>
      <c r="AK1" s="26" t="s">
        <v>121</v>
      </c>
      <c r="AL1" s="26" t="s">
        <v>122</v>
      </c>
      <c r="AM1" s="26" t="s">
        <v>123</v>
      </c>
    </row>
    <row r="2" spans="1:39" ht="12.75" x14ac:dyDescent="0.2">
      <c r="A2" s="8" t="s">
        <v>74</v>
      </c>
      <c r="B2" s="8" t="s">
        <v>73</v>
      </c>
      <c r="C2" s="10" t="s">
        <v>76</v>
      </c>
      <c r="D2" s="10" t="s">
        <v>75</v>
      </c>
      <c r="E2" s="69">
        <f>SUMIFS(考勤清单!$R:$R,考勤清单!$D:$D,人员汇总_加班!$A2,考勤清单!$F:$F,人员汇总_加班!$C2,考勤清单!$G:$G,人员汇总_加班!E$1)</f>
        <v>0</v>
      </c>
      <c r="F2" s="69">
        <f>SUMIFS(考勤清单!$R:$R,考勤清单!$D:$D,人员汇总_加班!$A2,考勤清单!$F:$F,人员汇总_加班!$C2,考勤清单!$G:$G,人员汇总_加班!F$1)</f>
        <v>0</v>
      </c>
      <c r="G2" s="69">
        <f>SUMIFS(考勤清单!$R:$R,考勤清单!$D:$D,人员汇总_加班!$A2,考勤清单!$F:$F,人员汇总_加班!$C2,考勤清单!$G:$G,人员汇总_加班!G$1)</f>
        <v>0</v>
      </c>
      <c r="H2" s="69">
        <f>SUMIFS(考勤清单!$R:$R,考勤清单!$D:$D,人员汇总_加班!$A2,考勤清单!$F:$F,人员汇总_加班!$C2,考勤清单!$G:$G,人员汇总_加班!H$1)</f>
        <v>0</v>
      </c>
      <c r="I2" s="69">
        <f>SUMIFS(考勤清单!$R:$R,考勤清单!$D:$D,人员汇总_加班!$A2,考勤清单!$F:$F,人员汇总_加班!$C2,考勤清单!$G:$G,人员汇总_加班!I$1)</f>
        <v>0</v>
      </c>
      <c r="J2" s="69">
        <f>SUMIFS(考勤清单!$R:$R,考勤清单!$D:$D,人员汇总_加班!$A2,考勤清单!$F:$F,人员汇总_加班!$C2,考勤清单!$G:$G,人员汇总_加班!J$1)</f>
        <v>0</v>
      </c>
      <c r="K2" s="69">
        <f>SUMIFS(考勤清单!$R:$R,考勤清单!$D:$D,人员汇总_加班!$A2,考勤清单!$F:$F,人员汇总_加班!$C2,考勤清单!$G:$G,人员汇总_加班!K$1)</f>
        <v>0</v>
      </c>
      <c r="L2" s="69">
        <f>SUMIFS(考勤清单!$R:$R,考勤清单!$D:$D,人员汇总_加班!$A2,考勤清单!$F:$F,人员汇总_加班!$C2,考勤清单!$G:$G,人员汇总_加班!L$1)</f>
        <v>0</v>
      </c>
      <c r="M2" s="69">
        <f>SUMIFS(考勤清单!$R:$R,考勤清单!$D:$D,人员汇总_加班!$A2,考勤清单!$F:$F,人员汇总_加班!$C2,考勤清单!$G:$G,人员汇总_加班!M$1)</f>
        <v>0</v>
      </c>
      <c r="N2" s="69">
        <f>SUMIFS(考勤清单!$R:$R,考勤清单!$D:$D,人员汇总_加班!$A2,考勤清单!$F:$F,人员汇总_加班!$C2,考勤清单!$G:$G,人员汇总_加班!N$1)</f>
        <v>0</v>
      </c>
      <c r="O2" s="69">
        <f>SUMIFS(考勤清单!$R:$R,考勤清单!$D:$D,人员汇总_加班!$A2,考勤清单!$F:$F,人员汇总_加班!$C2,考勤清单!$G:$G,人员汇总_加班!O$1)</f>
        <v>0</v>
      </c>
      <c r="P2" s="69">
        <f>SUMIFS(考勤清单!$R:$R,考勤清单!$D:$D,人员汇总_加班!$A2,考勤清单!$F:$F,人员汇总_加班!$C2,考勤清单!$G:$G,人员汇总_加班!P$1)</f>
        <v>0</v>
      </c>
      <c r="Q2" s="69">
        <f>SUMIFS(考勤清单!$R:$R,考勤清单!$D:$D,人员汇总_加班!$A2,考勤清单!$F:$F,人员汇总_加班!$C2,考勤清单!$G:$G,人员汇总_加班!Q$1)</f>
        <v>0</v>
      </c>
      <c r="R2" s="69">
        <f>SUMIFS(考勤清单!$R:$R,考勤清单!$D:$D,人员汇总_加班!$A2,考勤清单!$F:$F,人员汇总_加班!$C2,考勤清单!$G:$G,人员汇总_加班!R$1)</f>
        <v>0</v>
      </c>
      <c r="S2" s="69">
        <f>SUMIFS(考勤清单!$R:$R,考勤清单!$D:$D,人员汇总_加班!$A2,考勤清单!$F:$F,人员汇总_加班!$C2,考勤清单!$G:$G,人员汇总_加班!S$1)</f>
        <v>0</v>
      </c>
      <c r="T2" s="69">
        <f>SUMIFS(考勤清单!$R:$R,考勤清单!$D:$D,人员汇总_加班!$A2,考勤清单!$F:$F,人员汇总_加班!$C2,考勤清单!$G:$G,人员汇总_加班!T$1)</f>
        <v>0</v>
      </c>
      <c r="U2" s="69">
        <f>SUMIFS(考勤清单!$R:$R,考勤清单!$D:$D,人员汇总_加班!$A2,考勤清单!$F:$F,人员汇总_加班!$C2,考勤清单!$G:$G,人员汇总_加班!U$1)</f>
        <v>0</v>
      </c>
      <c r="V2" s="69">
        <f>SUMIFS(考勤清单!$R:$R,考勤清单!$D:$D,人员汇总_加班!$A2,考勤清单!$F:$F,人员汇总_加班!$C2,考勤清单!$G:$G,人员汇总_加班!V$1)</f>
        <v>0</v>
      </c>
      <c r="W2" s="69">
        <f>SUMIFS(考勤清单!$R:$R,考勤清单!$D:$D,人员汇总_加班!$A2,考勤清单!$F:$F,人员汇总_加班!$C2,考勤清单!$G:$G,人员汇总_加班!W$1)</f>
        <v>0</v>
      </c>
      <c r="X2" s="69">
        <f>SUMIFS(考勤清单!$R:$R,考勤清单!$D:$D,人员汇总_加班!$A2,考勤清单!$F:$F,人员汇总_加班!$C2,考勤清单!$G:$G,人员汇总_加班!X$1)</f>
        <v>0</v>
      </c>
      <c r="Y2" s="69">
        <f>SUMIFS(考勤清单!$R:$R,考勤清单!$D:$D,人员汇总_加班!$A2,考勤清单!$F:$F,人员汇总_加班!$C2,考勤清单!$G:$G,人员汇总_加班!Y$1)</f>
        <v>0</v>
      </c>
      <c r="Z2" s="69">
        <f>SUMIFS(考勤清单!$R:$R,考勤清单!$D:$D,人员汇总_加班!$A2,考勤清单!$F:$F,人员汇总_加班!$C2,考勤清单!$G:$G,人员汇总_加班!Z$1)</f>
        <v>0</v>
      </c>
      <c r="AA2" s="69">
        <f>SUMIFS(考勤清单!$R:$R,考勤清单!$D:$D,人员汇总_加班!$A2,考勤清单!$F:$F,人员汇总_加班!$C2,考勤清单!$G:$G,人员汇总_加班!AA$1)</f>
        <v>0</v>
      </c>
      <c r="AB2" s="69">
        <f>SUMIFS(考勤清单!$R:$R,考勤清单!$D:$D,人员汇总_加班!$A2,考勤清单!$F:$F,人员汇总_加班!$C2,考勤清单!$G:$G,人员汇总_加班!AB$1)</f>
        <v>0</v>
      </c>
      <c r="AC2" s="69">
        <f>SUMIFS(考勤清单!$R:$R,考勤清单!$D:$D,人员汇总_加班!$A2,考勤清单!$F:$F,人员汇总_加班!$C2,考勤清单!$G:$G,人员汇总_加班!AC$1)</f>
        <v>0</v>
      </c>
      <c r="AD2" s="69">
        <f>SUMIFS(考勤清单!$R:$R,考勤清单!$D:$D,人员汇总_加班!$A2,考勤清单!$F:$F,人员汇总_加班!$C2,考勤清单!$G:$G,人员汇总_加班!AD$1)</f>
        <v>0</v>
      </c>
      <c r="AE2" s="69">
        <f>SUMIFS(考勤清单!$R:$R,考勤清单!$D:$D,人员汇总_加班!$A2,考勤清单!$F:$F,人员汇总_加班!$C2,考勤清单!$G:$G,人员汇总_加班!AE$1)</f>
        <v>0</v>
      </c>
      <c r="AF2" s="69">
        <f>SUMIFS(考勤清单!$R:$R,考勤清单!$D:$D,人员汇总_加班!$A2,考勤清单!$F:$F,人员汇总_加班!$C2,考勤清单!$G:$G,人员汇总_加班!AF$1)</f>
        <v>0</v>
      </c>
      <c r="AG2" s="69">
        <f>SUMIFS(考勤清单!$R:$R,考勤清单!$D:$D,人员汇总_加班!$A2,考勤清单!$F:$F,人员汇总_加班!$C2,考勤清单!$G:$G,人员汇总_加班!AG$1)</f>
        <v>0</v>
      </c>
      <c r="AH2" s="69">
        <f>SUMIFS(考勤清单!$R:$R,考勤清单!$D:$D,人员汇总_加班!$A2,考勤清单!$F:$F,人员汇总_加班!$C2,考勤清单!$G:$G,人员汇总_加班!AH$1)</f>
        <v>0</v>
      </c>
      <c r="AI2" s="69">
        <f>SUMIFS(考勤清单!$R:$R,考勤清单!$D:$D,人员汇总_加班!$A2,考勤清单!$F:$F,人员汇总_加班!$C2,考勤清单!$G:$G,人员汇总_加班!AI$1)</f>
        <v>0</v>
      </c>
      <c r="AJ2" s="70">
        <f>SUM(E2:AI2)</f>
        <v>0</v>
      </c>
      <c r="AK2" s="69">
        <f>SUM(E2:N2)</f>
        <v>0</v>
      </c>
      <c r="AL2" s="69">
        <f>SUM(O2:X2)</f>
        <v>0</v>
      </c>
      <c r="AM2" s="69">
        <f>SUM(Y2:AI2)</f>
        <v>0</v>
      </c>
    </row>
    <row r="3" spans="1:39" ht="12.75" x14ac:dyDescent="0.2">
      <c r="A3" s="8" t="s">
        <v>82</v>
      </c>
      <c r="B3" s="8" t="s">
        <v>81</v>
      </c>
      <c r="C3" s="10" t="s">
        <v>83</v>
      </c>
      <c r="D3" s="10" t="s">
        <v>79</v>
      </c>
      <c r="E3" s="69">
        <f>SUMIFS(考勤清单!$R:$R,考勤清单!$D:$D,人员汇总_加班!$A3,考勤清单!$F:$F,人员汇总_加班!$C3,考勤清单!$G:$G,人员汇总_加班!E$1)</f>
        <v>0</v>
      </c>
      <c r="F3" s="69">
        <f>SUMIFS(考勤清单!$R:$R,考勤清单!$D:$D,人员汇总_加班!$A3,考勤清单!$F:$F,人员汇总_加班!$C3,考勤清单!$G:$G,人员汇总_加班!F$1)</f>
        <v>0</v>
      </c>
      <c r="G3" s="69">
        <f>SUMIFS(考勤清单!$R:$R,考勤清单!$D:$D,人员汇总_加班!$A3,考勤清单!$F:$F,人员汇总_加班!$C3,考勤清单!$G:$G,人员汇总_加班!G$1)</f>
        <v>0</v>
      </c>
      <c r="H3" s="69">
        <f>SUMIFS(考勤清单!$R:$R,考勤清单!$D:$D,人员汇总_加班!$A3,考勤清单!$F:$F,人员汇总_加班!$C3,考勤清单!$G:$G,人员汇总_加班!H$1)</f>
        <v>0</v>
      </c>
      <c r="I3" s="69">
        <f>SUMIFS(考勤清单!$R:$R,考勤清单!$D:$D,人员汇总_加班!$A3,考勤清单!$F:$F,人员汇总_加班!$C3,考勤清单!$G:$G,人员汇总_加班!I$1)</f>
        <v>0</v>
      </c>
      <c r="J3" s="69">
        <f>SUMIFS(考勤清单!$R:$R,考勤清单!$D:$D,人员汇总_加班!$A3,考勤清单!$F:$F,人员汇总_加班!$C3,考勤清单!$G:$G,人员汇总_加班!J$1)</f>
        <v>0</v>
      </c>
      <c r="K3" s="69">
        <f>SUMIFS(考勤清单!$R:$R,考勤清单!$D:$D,人员汇总_加班!$A3,考勤清单!$F:$F,人员汇总_加班!$C3,考勤清单!$G:$G,人员汇总_加班!K$1)</f>
        <v>0</v>
      </c>
      <c r="L3" s="69">
        <f>SUMIFS(考勤清单!$R:$R,考勤清单!$D:$D,人员汇总_加班!$A3,考勤清单!$F:$F,人员汇总_加班!$C3,考勤清单!$G:$G,人员汇总_加班!L$1)</f>
        <v>0</v>
      </c>
      <c r="M3" s="69">
        <f>SUMIFS(考勤清单!$R:$R,考勤清单!$D:$D,人员汇总_加班!$A3,考勤清单!$F:$F,人员汇总_加班!$C3,考勤清单!$G:$G,人员汇总_加班!M$1)</f>
        <v>0</v>
      </c>
      <c r="N3" s="69">
        <f>SUMIFS(考勤清单!$R:$R,考勤清单!$D:$D,人员汇总_加班!$A3,考勤清单!$F:$F,人员汇总_加班!$C3,考勤清单!$G:$G,人员汇总_加班!N$1)</f>
        <v>0</v>
      </c>
      <c r="O3" s="69">
        <f>SUMIFS(考勤清单!$R:$R,考勤清单!$D:$D,人员汇总_加班!$A3,考勤清单!$F:$F,人员汇总_加班!$C3,考勤清单!$G:$G,人员汇总_加班!O$1)</f>
        <v>0</v>
      </c>
      <c r="P3" s="69">
        <f>SUMIFS(考勤清单!$R:$R,考勤清单!$D:$D,人员汇总_加班!$A3,考勤清单!$F:$F,人员汇总_加班!$C3,考勤清单!$G:$G,人员汇总_加班!P$1)</f>
        <v>0</v>
      </c>
      <c r="Q3" s="69">
        <f>SUMIFS(考勤清单!$R:$R,考勤清单!$D:$D,人员汇总_加班!$A3,考勤清单!$F:$F,人员汇总_加班!$C3,考勤清单!$G:$G,人员汇总_加班!Q$1)</f>
        <v>0</v>
      </c>
      <c r="R3" s="69">
        <f>SUMIFS(考勤清单!$R:$R,考勤清单!$D:$D,人员汇总_加班!$A3,考勤清单!$F:$F,人员汇总_加班!$C3,考勤清单!$G:$G,人员汇总_加班!R$1)</f>
        <v>0</v>
      </c>
      <c r="S3" s="69">
        <f>SUMIFS(考勤清单!$R:$R,考勤清单!$D:$D,人员汇总_加班!$A3,考勤清单!$F:$F,人员汇总_加班!$C3,考勤清单!$G:$G,人员汇总_加班!S$1)</f>
        <v>0</v>
      </c>
      <c r="T3" s="69">
        <f>SUMIFS(考勤清单!$R:$R,考勤清单!$D:$D,人员汇总_加班!$A3,考勤清单!$F:$F,人员汇总_加班!$C3,考勤清单!$G:$G,人员汇总_加班!T$1)</f>
        <v>0</v>
      </c>
      <c r="U3" s="69">
        <f>SUMIFS(考勤清单!$R:$R,考勤清单!$D:$D,人员汇总_加班!$A3,考勤清单!$F:$F,人员汇总_加班!$C3,考勤清单!$G:$G,人员汇总_加班!U$1)</f>
        <v>0</v>
      </c>
      <c r="V3" s="69">
        <f>SUMIFS(考勤清单!$R:$R,考勤清单!$D:$D,人员汇总_加班!$A3,考勤清单!$F:$F,人员汇总_加班!$C3,考勤清单!$G:$G,人员汇总_加班!V$1)</f>
        <v>0</v>
      </c>
      <c r="W3" s="69">
        <f>SUMIFS(考勤清单!$R:$R,考勤清单!$D:$D,人员汇总_加班!$A3,考勤清单!$F:$F,人员汇总_加班!$C3,考勤清单!$G:$G,人员汇总_加班!W$1)</f>
        <v>0</v>
      </c>
      <c r="X3" s="69">
        <f>SUMIFS(考勤清单!$R:$R,考勤清单!$D:$D,人员汇总_加班!$A3,考勤清单!$F:$F,人员汇总_加班!$C3,考勤清单!$G:$G,人员汇总_加班!X$1)</f>
        <v>0</v>
      </c>
      <c r="Y3" s="69">
        <f>SUMIFS(考勤清单!$R:$R,考勤清单!$D:$D,人员汇总_加班!$A3,考勤清单!$F:$F,人员汇总_加班!$C3,考勤清单!$G:$G,人员汇总_加班!Y$1)</f>
        <v>0</v>
      </c>
      <c r="Z3" s="69">
        <f>SUMIFS(考勤清单!$R:$R,考勤清单!$D:$D,人员汇总_加班!$A3,考勤清单!$F:$F,人员汇总_加班!$C3,考勤清单!$G:$G,人员汇总_加班!Z$1)</f>
        <v>0</v>
      </c>
      <c r="AA3" s="69">
        <f>SUMIFS(考勤清单!$R:$R,考勤清单!$D:$D,人员汇总_加班!$A3,考勤清单!$F:$F,人员汇总_加班!$C3,考勤清单!$G:$G,人员汇总_加班!AA$1)</f>
        <v>0</v>
      </c>
      <c r="AB3" s="69">
        <f>SUMIFS(考勤清单!$R:$R,考勤清单!$D:$D,人员汇总_加班!$A3,考勤清单!$F:$F,人员汇总_加班!$C3,考勤清单!$G:$G,人员汇总_加班!AB$1)</f>
        <v>0</v>
      </c>
      <c r="AC3" s="69">
        <f>SUMIFS(考勤清单!$R:$R,考勤清单!$D:$D,人员汇总_加班!$A3,考勤清单!$F:$F,人员汇总_加班!$C3,考勤清单!$G:$G,人员汇总_加班!AC$1)</f>
        <v>0</v>
      </c>
      <c r="AD3" s="69">
        <f>SUMIFS(考勤清单!$R:$R,考勤清单!$D:$D,人员汇总_加班!$A3,考勤清单!$F:$F,人员汇总_加班!$C3,考勤清单!$G:$G,人员汇总_加班!AD$1)</f>
        <v>0</v>
      </c>
      <c r="AE3" s="69">
        <f>SUMIFS(考勤清单!$R:$R,考勤清单!$D:$D,人员汇总_加班!$A3,考勤清单!$F:$F,人员汇总_加班!$C3,考勤清单!$G:$G,人员汇总_加班!AE$1)</f>
        <v>0</v>
      </c>
      <c r="AF3" s="69">
        <f>SUMIFS(考勤清单!$R:$R,考勤清单!$D:$D,人员汇总_加班!$A3,考勤清单!$F:$F,人员汇总_加班!$C3,考勤清单!$G:$G,人员汇总_加班!AF$1)</f>
        <v>0</v>
      </c>
      <c r="AG3" s="69">
        <f>SUMIFS(考勤清单!$R:$R,考勤清单!$D:$D,人员汇总_加班!$A3,考勤清单!$F:$F,人员汇总_加班!$C3,考勤清单!$G:$G,人员汇总_加班!AG$1)</f>
        <v>0</v>
      </c>
      <c r="AH3" s="69">
        <f>SUMIFS(考勤清单!$R:$R,考勤清单!$D:$D,人员汇总_加班!$A3,考勤清单!$F:$F,人员汇总_加班!$C3,考勤清单!$G:$G,人员汇总_加班!AH$1)</f>
        <v>0</v>
      </c>
      <c r="AI3" s="69">
        <f>SUMIFS(考勤清单!$R:$R,考勤清单!$D:$D,人员汇总_加班!$A3,考勤清单!$F:$F,人员汇总_加班!$C3,考勤清单!$G:$G,人员汇总_加班!AI$1)</f>
        <v>0</v>
      </c>
      <c r="AJ3" s="70">
        <f t="shared" ref="AJ3:AJ9" si="0">SUM(E3:AI3)</f>
        <v>0</v>
      </c>
      <c r="AK3" s="69">
        <f t="shared" ref="AK3:AK9" si="1">SUM(E3:N3)</f>
        <v>0</v>
      </c>
      <c r="AL3" s="69">
        <f t="shared" ref="AL3:AL9" si="2">SUM(O3:X3)</f>
        <v>0</v>
      </c>
      <c r="AM3" s="69">
        <f t="shared" ref="AM3:AM9" si="3">SUM(Y3:AI3)</f>
        <v>0</v>
      </c>
    </row>
    <row r="4" spans="1:39" ht="12.75" x14ac:dyDescent="0.2">
      <c r="A4" s="8" t="s">
        <v>85</v>
      </c>
      <c r="B4" s="8" t="s">
        <v>84</v>
      </c>
      <c r="C4" s="10" t="s">
        <v>87</v>
      </c>
      <c r="D4" s="10" t="s">
        <v>86</v>
      </c>
      <c r="E4" s="69">
        <f>SUMIFS(考勤清单!$R:$R,考勤清单!$D:$D,人员汇总_加班!$A4,考勤清单!$F:$F,人员汇总_加班!$C4,考勤清单!$G:$G,人员汇总_加班!E$1)</f>
        <v>0</v>
      </c>
      <c r="F4" s="69">
        <f>SUMIFS(考勤清单!$R:$R,考勤清单!$D:$D,人员汇总_加班!$A4,考勤清单!$F:$F,人员汇总_加班!$C4,考勤清单!$G:$G,人员汇总_加班!F$1)</f>
        <v>0</v>
      </c>
      <c r="G4" s="69">
        <f>SUMIFS(考勤清单!$R:$R,考勤清单!$D:$D,人员汇总_加班!$A4,考勤清单!$F:$F,人员汇总_加班!$C4,考勤清单!$G:$G,人员汇总_加班!G$1)</f>
        <v>0</v>
      </c>
      <c r="H4" s="69">
        <f>SUMIFS(考勤清单!$R:$R,考勤清单!$D:$D,人员汇总_加班!$A4,考勤清单!$F:$F,人员汇总_加班!$C4,考勤清单!$G:$G,人员汇总_加班!H$1)</f>
        <v>0</v>
      </c>
      <c r="I4" s="69">
        <f>SUMIFS(考勤清单!$R:$R,考勤清单!$D:$D,人员汇总_加班!$A4,考勤清单!$F:$F,人员汇总_加班!$C4,考勤清单!$G:$G,人员汇总_加班!I$1)</f>
        <v>0</v>
      </c>
      <c r="J4" s="69">
        <f>SUMIFS(考勤清单!$R:$R,考勤清单!$D:$D,人员汇总_加班!$A4,考勤清单!$F:$F,人员汇总_加班!$C4,考勤清单!$G:$G,人员汇总_加班!J$1)</f>
        <v>0</v>
      </c>
      <c r="K4" s="69">
        <f>SUMIFS(考勤清单!$R:$R,考勤清单!$D:$D,人员汇总_加班!$A4,考勤清单!$F:$F,人员汇总_加班!$C4,考勤清单!$G:$G,人员汇总_加班!K$1)</f>
        <v>0</v>
      </c>
      <c r="L4" s="69">
        <f>SUMIFS(考勤清单!$R:$R,考勤清单!$D:$D,人员汇总_加班!$A4,考勤清单!$F:$F,人员汇总_加班!$C4,考勤清单!$G:$G,人员汇总_加班!L$1)</f>
        <v>0</v>
      </c>
      <c r="M4" s="69">
        <f>SUMIFS(考勤清单!$R:$R,考勤清单!$D:$D,人员汇总_加班!$A4,考勤清单!$F:$F,人员汇总_加班!$C4,考勤清单!$G:$G,人员汇总_加班!M$1)</f>
        <v>0</v>
      </c>
      <c r="N4" s="69">
        <f>SUMIFS(考勤清单!$R:$R,考勤清单!$D:$D,人员汇总_加班!$A4,考勤清单!$F:$F,人员汇总_加班!$C4,考勤清单!$G:$G,人员汇总_加班!N$1)</f>
        <v>0</v>
      </c>
      <c r="O4" s="69">
        <f>SUMIFS(考勤清单!$R:$R,考勤清单!$D:$D,人员汇总_加班!$A4,考勤清单!$F:$F,人员汇总_加班!$C4,考勤清单!$G:$G,人员汇总_加班!O$1)</f>
        <v>0</v>
      </c>
      <c r="P4" s="69">
        <f>SUMIFS(考勤清单!$R:$R,考勤清单!$D:$D,人员汇总_加班!$A4,考勤清单!$F:$F,人员汇总_加班!$C4,考勤清单!$G:$G,人员汇总_加班!P$1)</f>
        <v>0</v>
      </c>
      <c r="Q4" s="69">
        <f>SUMIFS(考勤清单!$R:$R,考勤清单!$D:$D,人员汇总_加班!$A4,考勤清单!$F:$F,人员汇总_加班!$C4,考勤清单!$G:$G,人员汇总_加班!Q$1)</f>
        <v>0</v>
      </c>
      <c r="R4" s="69">
        <f>SUMIFS(考勤清单!$R:$R,考勤清单!$D:$D,人员汇总_加班!$A4,考勤清单!$F:$F,人员汇总_加班!$C4,考勤清单!$G:$G,人员汇总_加班!R$1)</f>
        <v>0</v>
      </c>
      <c r="S4" s="69">
        <f>SUMIFS(考勤清单!$R:$R,考勤清单!$D:$D,人员汇总_加班!$A4,考勤清单!$F:$F,人员汇总_加班!$C4,考勤清单!$G:$G,人员汇总_加班!S$1)</f>
        <v>0</v>
      </c>
      <c r="T4" s="69">
        <f>SUMIFS(考勤清单!$R:$R,考勤清单!$D:$D,人员汇总_加班!$A4,考勤清单!$F:$F,人员汇总_加班!$C4,考勤清单!$G:$G,人员汇总_加班!T$1)</f>
        <v>0</v>
      </c>
      <c r="U4" s="69">
        <f>SUMIFS(考勤清单!$R:$R,考勤清单!$D:$D,人员汇总_加班!$A4,考勤清单!$F:$F,人员汇总_加班!$C4,考勤清单!$G:$G,人员汇总_加班!U$1)</f>
        <v>0</v>
      </c>
      <c r="V4" s="69">
        <f>SUMIFS(考勤清单!$R:$R,考勤清单!$D:$D,人员汇总_加班!$A4,考勤清单!$F:$F,人员汇总_加班!$C4,考勤清单!$G:$G,人员汇总_加班!V$1)</f>
        <v>0</v>
      </c>
      <c r="W4" s="69">
        <f>SUMIFS(考勤清单!$R:$R,考勤清单!$D:$D,人员汇总_加班!$A4,考勤清单!$F:$F,人员汇总_加班!$C4,考勤清单!$G:$G,人员汇总_加班!W$1)</f>
        <v>0</v>
      </c>
      <c r="X4" s="69">
        <f>SUMIFS(考勤清单!$R:$R,考勤清单!$D:$D,人员汇总_加班!$A4,考勤清单!$F:$F,人员汇总_加班!$C4,考勤清单!$G:$G,人员汇总_加班!X$1)</f>
        <v>0</v>
      </c>
      <c r="Y4" s="69">
        <f>SUMIFS(考勤清单!$R:$R,考勤清单!$D:$D,人员汇总_加班!$A4,考勤清单!$F:$F,人员汇总_加班!$C4,考勤清单!$G:$G,人员汇总_加班!Y$1)</f>
        <v>0</v>
      </c>
      <c r="Z4" s="69">
        <f>SUMIFS(考勤清单!$R:$R,考勤清单!$D:$D,人员汇总_加班!$A4,考勤清单!$F:$F,人员汇总_加班!$C4,考勤清单!$G:$G,人员汇总_加班!Z$1)</f>
        <v>0</v>
      </c>
      <c r="AA4" s="69">
        <f>SUMIFS(考勤清单!$R:$R,考勤清单!$D:$D,人员汇总_加班!$A4,考勤清单!$F:$F,人员汇总_加班!$C4,考勤清单!$G:$G,人员汇总_加班!AA$1)</f>
        <v>0</v>
      </c>
      <c r="AB4" s="69">
        <f>SUMIFS(考勤清单!$R:$R,考勤清单!$D:$D,人员汇总_加班!$A4,考勤清单!$F:$F,人员汇总_加班!$C4,考勤清单!$G:$G,人员汇总_加班!AB$1)</f>
        <v>0</v>
      </c>
      <c r="AC4" s="69">
        <f>SUMIFS(考勤清单!$R:$R,考勤清单!$D:$D,人员汇总_加班!$A4,考勤清单!$F:$F,人员汇总_加班!$C4,考勤清单!$G:$G,人员汇总_加班!AC$1)</f>
        <v>0</v>
      </c>
      <c r="AD4" s="69">
        <f>SUMIFS(考勤清单!$R:$R,考勤清单!$D:$D,人员汇总_加班!$A4,考勤清单!$F:$F,人员汇总_加班!$C4,考勤清单!$G:$G,人员汇总_加班!AD$1)</f>
        <v>0</v>
      </c>
      <c r="AE4" s="69">
        <f>SUMIFS(考勤清单!$R:$R,考勤清单!$D:$D,人员汇总_加班!$A4,考勤清单!$F:$F,人员汇总_加班!$C4,考勤清单!$G:$G,人员汇总_加班!AE$1)</f>
        <v>0</v>
      </c>
      <c r="AF4" s="69">
        <f>SUMIFS(考勤清单!$R:$R,考勤清单!$D:$D,人员汇总_加班!$A4,考勤清单!$F:$F,人员汇总_加班!$C4,考勤清单!$G:$G,人员汇总_加班!AF$1)</f>
        <v>0</v>
      </c>
      <c r="AG4" s="69">
        <f>SUMIFS(考勤清单!$R:$R,考勤清单!$D:$D,人员汇总_加班!$A4,考勤清单!$F:$F,人员汇总_加班!$C4,考勤清单!$G:$G,人员汇总_加班!AG$1)</f>
        <v>0</v>
      </c>
      <c r="AH4" s="69">
        <f>SUMIFS(考勤清单!$R:$R,考勤清单!$D:$D,人员汇总_加班!$A4,考勤清单!$F:$F,人员汇总_加班!$C4,考勤清单!$G:$G,人员汇总_加班!AH$1)</f>
        <v>0</v>
      </c>
      <c r="AI4" s="69">
        <f>SUMIFS(考勤清单!$R:$R,考勤清单!$D:$D,人员汇总_加班!$A4,考勤清单!$F:$F,人员汇总_加班!$C4,考勤清单!$G:$G,人员汇总_加班!AI$1)</f>
        <v>0</v>
      </c>
      <c r="AJ4" s="70">
        <f t="shared" si="0"/>
        <v>0</v>
      </c>
      <c r="AK4" s="69">
        <f t="shared" si="1"/>
        <v>0</v>
      </c>
      <c r="AL4" s="69">
        <f t="shared" si="2"/>
        <v>0</v>
      </c>
      <c r="AM4" s="69">
        <f t="shared" si="3"/>
        <v>0</v>
      </c>
    </row>
    <row r="5" spans="1:39" ht="12.75" x14ac:dyDescent="0.2">
      <c r="A5" s="8" t="s">
        <v>89</v>
      </c>
      <c r="B5" s="8" t="s">
        <v>88</v>
      </c>
      <c r="C5" s="10" t="s">
        <v>90</v>
      </c>
      <c r="D5" s="10" t="s">
        <v>86</v>
      </c>
      <c r="E5" s="69">
        <f>SUMIFS(考勤清单!$R:$R,考勤清单!$D:$D,人员汇总_加班!$A5,考勤清单!$F:$F,人员汇总_加班!$C5,考勤清单!$G:$G,人员汇总_加班!E$1)</f>
        <v>0</v>
      </c>
      <c r="F5" s="69">
        <f>SUMIFS(考勤清单!$R:$R,考勤清单!$D:$D,人员汇总_加班!$A5,考勤清单!$F:$F,人员汇总_加班!$C5,考勤清单!$G:$G,人员汇总_加班!F$1)</f>
        <v>0</v>
      </c>
      <c r="G5" s="69">
        <f>SUMIFS(考勤清单!$R:$R,考勤清单!$D:$D,人员汇总_加班!$A5,考勤清单!$F:$F,人员汇总_加班!$C5,考勤清单!$G:$G,人员汇总_加班!G$1)</f>
        <v>0</v>
      </c>
      <c r="H5" s="69">
        <f>SUMIFS(考勤清单!$R:$R,考勤清单!$D:$D,人员汇总_加班!$A5,考勤清单!$F:$F,人员汇总_加班!$C5,考勤清单!$G:$G,人员汇总_加班!H$1)</f>
        <v>0</v>
      </c>
      <c r="I5" s="69">
        <f>SUMIFS(考勤清单!$R:$R,考勤清单!$D:$D,人员汇总_加班!$A5,考勤清单!$F:$F,人员汇总_加班!$C5,考勤清单!$G:$G,人员汇总_加班!I$1)</f>
        <v>0</v>
      </c>
      <c r="J5" s="69">
        <f>SUMIFS(考勤清单!$R:$R,考勤清单!$D:$D,人员汇总_加班!$A5,考勤清单!$F:$F,人员汇总_加班!$C5,考勤清单!$G:$G,人员汇总_加班!J$1)</f>
        <v>0</v>
      </c>
      <c r="K5" s="69">
        <f>SUMIFS(考勤清单!$R:$R,考勤清单!$D:$D,人员汇总_加班!$A5,考勤清单!$F:$F,人员汇总_加班!$C5,考勤清单!$G:$G,人员汇总_加班!K$1)</f>
        <v>0</v>
      </c>
      <c r="L5" s="69">
        <f>SUMIFS(考勤清单!$R:$R,考勤清单!$D:$D,人员汇总_加班!$A5,考勤清单!$F:$F,人员汇总_加班!$C5,考勤清单!$G:$G,人员汇总_加班!L$1)</f>
        <v>0</v>
      </c>
      <c r="M5" s="69">
        <f>SUMIFS(考勤清单!$R:$R,考勤清单!$D:$D,人员汇总_加班!$A5,考勤清单!$F:$F,人员汇总_加班!$C5,考勤清单!$G:$G,人员汇总_加班!M$1)</f>
        <v>0</v>
      </c>
      <c r="N5" s="69">
        <f>SUMIFS(考勤清单!$R:$R,考勤清单!$D:$D,人员汇总_加班!$A5,考勤清单!$F:$F,人员汇总_加班!$C5,考勤清单!$G:$G,人员汇总_加班!N$1)</f>
        <v>0</v>
      </c>
      <c r="O5" s="69">
        <f>SUMIFS(考勤清单!$R:$R,考勤清单!$D:$D,人员汇总_加班!$A5,考勤清单!$F:$F,人员汇总_加班!$C5,考勤清单!$G:$G,人员汇总_加班!O$1)</f>
        <v>0</v>
      </c>
      <c r="P5" s="69">
        <f>SUMIFS(考勤清单!$R:$R,考勤清单!$D:$D,人员汇总_加班!$A5,考勤清单!$F:$F,人员汇总_加班!$C5,考勤清单!$G:$G,人员汇总_加班!P$1)</f>
        <v>0</v>
      </c>
      <c r="Q5" s="69">
        <f>SUMIFS(考勤清单!$R:$R,考勤清单!$D:$D,人员汇总_加班!$A5,考勤清单!$F:$F,人员汇总_加班!$C5,考勤清单!$G:$G,人员汇总_加班!Q$1)</f>
        <v>0</v>
      </c>
      <c r="R5" s="69">
        <f>SUMIFS(考勤清单!$R:$R,考勤清单!$D:$D,人员汇总_加班!$A5,考勤清单!$F:$F,人员汇总_加班!$C5,考勤清单!$G:$G,人员汇总_加班!R$1)</f>
        <v>0</v>
      </c>
      <c r="S5" s="69">
        <f>SUMIFS(考勤清单!$R:$R,考勤清单!$D:$D,人员汇总_加班!$A5,考勤清单!$F:$F,人员汇总_加班!$C5,考勤清单!$G:$G,人员汇总_加班!S$1)</f>
        <v>0</v>
      </c>
      <c r="T5" s="69">
        <f>SUMIFS(考勤清单!$R:$R,考勤清单!$D:$D,人员汇总_加班!$A5,考勤清单!$F:$F,人员汇总_加班!$C5,考勤清单!$G:$G,人员汇总_加班!T$1)</f>
        <v>0</v>
      </c>
      <c r="U5" s="69">
        <f>SUMIFS(考勤清单!$R:$R,考勤清单!$D:$D,人员汇总_加班!$A5,考勤清单!$F:$F,人员汇总_加班!$C5,考勤清单!$G:$G,人员汇总_加班!U$1)</f>
        <v>0</v>
      </c>
      <c r="V5" s="69">
        <f>SUMIFS(考勤清单!$R:$R,考勤清单!$D:$D,人员汇总_加班!$A5,考勤清单!$F:$F,人员汇总_加班!$C5,考勤清单!$G:$G,人员汇总_加班!V$1)</f>
        <v>0</v>
      </c>
      <c r="W5" s="69">
        <f>SUMIFS(考勤清单!$R:$R,考勤清单!$D:$D,人员汇总_加班!$A5,考勤清单!$F:$F,人员汇总_加班!$C5,考勤清单!$G:$G,人员汇总_加班!W$1)</f>
        <v>0</v>
      </c>
      <c r="X5" s="69">
        <f>SUMIFS(考勤清单!$R:$R,考勤清单!$D:$D,人员汇总_加班!$A5,考勤清单!$F:$F,人员汇总_加班!$C5,考勤清单!$G:$G,人员汇总_加班!X$1)</f>
        <v>0</v>
      </c>
      <c r="Y5" s="69">
        <f>SUMIFS(考勤清单!$R:$R,考勤清单!$D:$D,人员汇总_加班!$A5,考勤清单!$F:$F,人员汇总_加班!$C5,考勤清单!$G:$G,人员汇总_加班!Y$1)</f>
        <v>0</v>
      </c>
      <c r="Z5" s="69">
        <f>SUMIFS(考勤清单!$R:$R,考勤清单!$D:$D,人员汇总_加班!$A5,考勤清单!$F:$F,人员汇总_加班!$C5,考勤清单!$G:$G,人员汇总_加班!Z$1)</f>
        <v>0</v>
      </c>
      <c r="AA5" s="69">
        <f>SUMIFS(考勤清单!$R:$R,考勤清单!$D:$D,人员汇总_加班!$A5,考勤清单!$F:$F,人员汇总_加班!$C5,考勤清单!$G:$G,人员汇总_加班!AA$1)</f>
        <v>0</v>
      </c>
      <c r="AB5" s="69">
        <f>SUMIFS(考勤清单!$R:$R,考勤清单!$D:$D,人员汇总_加班!$A5,考勤清单!$F:$F,人员汇总_加班!$C5,考勤清单!$G:$G,人员汇总_加班!AB$1)</f>
        <v>0</v>
      </c>
      <c r="AC5" s="69">
        <f>SUMIFS(考勤清单!$R:$R,考勤清单!$D:$D,人员汇总_加班!$A5,考勤清单!$F:$F,人员汇总_加班!$C5,考勤清单!$G:$G,人员汇总_加班!AC$1)</f>
        <v>0</v>
      </c>
      <c r="AD5" s="69">
        <f>SUMIFS(考勤清单!$R:$R,考勤清单!$D:$D,人员汇总_加班!$A5,考勤清单!$F:$F,人员汇总_加班!$C5,考勤清单!$G:$G,人员汇总_加班!AD$1)</f>
        <v>0</v>
      </c>
      <c r="AE5" s="69">
        <f>SUMIFS(考勤清单!$R:$R,考勤清单!$D:$D,人员汇总_加班!$A5,考勤清单!$F:$F,人员汇总_加班!$C5,考勤清单!$G:$G,人员汇总_加班!AE$1)</f>
        <v>0</v>
      </c>
      <c r="AF5" s="69">
        <f>SUMIFS(考勤清单!$R:$R,考勤清单!$D:$D,人员汇总_加班!$A5,考勤清单!$F:$F,人员汇总_加班!$C5,考勤清单!$G:$G,人员汇总_加班!AF$1)</f>
        <v>0</v>
      </c>
      <c r="AG5" s="69">
        <f>SUMIFS(考勤清单!$R:$R,考勤清单!$D:$D,人员汇总_加班!$A5,考勤清单!$F:$F,人员汇总_加班!$C5,考勤清单!$G:$G,人员汇总_加班!AG$1)</f>
        <v>0</v>
      </c>
      <c r="AH5" s="69">
        <f>SUMIFS(考勤清单!$R:$R,考勤清单!$D:$D,人员汇总_加班!$A5,考勤清单!$F:$F,人员汇总_加班!$C5,考勤清单!$G:$G,人员汇总_加班!AH$1)</f>
        <v>0</v>
      </c>
      <c r="AI5" s="69">
        <f>SUMIFS(考勤清单!$R:$R,考勤清单!$D:$D,人员汇总_加班!$A5,考勤清单!$F:$F,人员汇总_加班!$C5,考勤清单!$G:$G,人员汇总_加班!AI$1)</f>
        <v>0</v>
      </c>
      <c r="AJ5" s="70">
        <f t="shared" si="0"/>
        <v>0</v>
      </c>
      <c r="AK5" s="69">
        <f t="shared" si="1"/>
        <v>0</v>
      </c>
      <c r="AL5" s="69">
        <f t="shared" si="2"/>
        <v>0</v>
      </c>
      <c r="AM5" s="69">
        <f t="shared" si="3"/>
        <v>0</v>
      </c>
    </row>
    <row r="6" spans="1:39" ht="12.75" x14ac:dyDescent="0.2">
      <c r="A6" s="8" t="s">
        <v>94</v>
      </c>
      <c r="B6" s="8" t="s">
        <v>93</v>
      </c>
      <c r="C6" s="10" t="s">
        <v>95</v>
      </c>
      <c r="D6" s="10" t="s">
        <v>86</v>
      </c>
      <c r="E6" s="69">
        <f>SUMIFS(考勤清单!$R:$R,考勤清单!$D:$D,人员汇总_加班!$A6,考勤清单!$F:$F,人员汇总_加班!$C6,考勤清单!$G:$G,人员汇总_加班!E$1)</f>
        <v>0</v>
      </c>
      <c r="F6" s="69">
        <f>SUMIFS(考勤清单!$R:$R,考勤清单!$D:$D,人员汇总_加班!$A6,考勤清单!$F:$F,人员汇总_加班!$C6,考勤清单!$G:$G,人员汇总_加班!F$1)</f>
        <v>0</v>
      </c>
      <c r="G6" s="69">
        <f>SUMIFS(考勤清单!$R:$R,考勤清单!$D:$D,人员汇总_加班!$A6,考勤清单!$F:$F,人员汇总_加班!$C6,考勤清单!$G:$G,人员汇总_加班!G$1)</f>
        <v>0</v>
      </c>
      <c r="H6" s="69">
        <f>SUMIFS(考勤清单!$R:$R,考勤清单!$D:$D,人员汇总_加班!$A6,考勤清单!$F:$F,人员汇总_加班!$C6,考勤清单!$G:$G,人员汇总_加班!H$1)</f>
        <v>0</v>
      </c>
      <c r="I6" s="69">
        <f>SUMIFS(考勤清单!$R:$R,考勤清单!$D:$D,人员汇总_加班!$A6,考勤清单!$F:$F,人员汇总_加班!$C6,考勤清单!$G:$G,人员汇总_加班!I$1)</f>
        <v>0</v>
      </c>
      <c r="J6" s="69">
        <f>SUMIFS(考勤清单!$R:$R,考勤清单!$D:$D,人员汇总_加班!$A6,考勤清单!$F:$F,人员汇总_加班!$C6,考勤清单!$G:$G,人员汇总_加班!J$1)</f>
        <v>0</v>
      </c>
      <c r="K6" s="69">
        <f>SUMIFS(考勤清单!$R:$R,考勤清单!$D:$D,人员汇总_加班!$A6,考勤清单!$F:$F,人员汇总_加班!$C6,考勤清单!$G:$G,人员汇总_加班!K$1)</f>
        <v>0</v>
      </c>
      <c r="L6" s="69">
        <f>SUMIFS(考勤清单!$R:$R,考勤清单!$D:$D,人员汇总_加班!$A6,考勤清单!$F:$F,人员汇总_加班!$C6,考勤清单!$G:$G,人员汇总_加班!L$1)</f>
        <v>0</v>
      </c>
      <c r="M6" s="69">
        <f>SUMIFS(考勤清单!$R:$R,考勤清单!$D:$D,人员汇总_加班!$A6,考勤清单!$F:$F,人员汇总_加班!$C6,考勤清单!$G:$G,人员汇总_加班!M$1)</f>
        <v>0</v>
      </c>
      <c r="N6" s="69">
        <f>SUMIFS(考勤清单!$R:$R,考勤清单!$D:$D,人员汇总_加班!$A6,考勤清单!$F:$F,人员汇总_加班!$C6,考勤清单!$G:$G,人员汇总_加班!N$1)</f>
        <v>0</v>
      </c>
      <c r="O6" s="69">
        <f>SUMIFS(考勤清单!$R:$R,考勤清单!$D:$D,人员汇总_加班!$A6,考勤清单!$F:$F,人员汇总_加班!$C6,考勤清单!$G:$G,人员汇总_加班!O$1)</f>
        <v>0</v>
      </c>
      <c r="P6" s="69">
        <f>SUMIFS(考勤清单!$R:$R,考勤清单!$D:$D,人员汇总_加班!$A6,考勤清单!$F:$F,人员汇总_加班!$C6,考勤清单!$G:$G,人员汇总_加班!P$1)</f>
        <v>0</v>
      </c>
      <c r="Q6" s="69">
        <f>SUMIFS(考勤清单!$R:$R,考勤清单!$D:$D,人员汇总_加班!$A6,考勤清单!$F:$F,人员汇总_加班!$C6,考勤清单!$G:$G,人员汇总_加班!Q$1)</f>
        <v>0</v>
      </c>
      <c r="R6" s="69">
        <f>SUMIFS(考勤清单!$R:$R,考勤清单!$D:$D,人员汇总_加班!$A6,考勤清单!$F:$F,人员汇总_加班!$C6,考勤清单!$G:$G,人员汇总_加班!R$1)</f>
        <v>0</v>
      </c>
      <c r="S6" s="69">
        <f>SUMIFS(考勤清单!$R:$R,考勤清单!$D:$D,人员汇总_加班!$A6,考勤清单!$F:$F,人员汇总_加班!$C6,考勤清单!$G:$G,人员汇总_加班!S$1)</f>
        <v>0</v>
      </c>
      <c r="T6" s="69">
        <f>SUMIFS(考勤清单!$R:$R,考勤清单!$D:$D,人员汇总_加班!$A6,考勤清单!$F:$F,人员汇总_加班!$C6,考勤清单!$G:$G,人员汇总_加班!T$1)</f>
        <v>0</v>
      </c>
      <c r="U6" s="69">
        <f>SUMIFS(考勤清单!$R:$R,考勤清单!$D:$D,人员汇总_加班!$A6,考勤清单!$F:$F,人员汇总_加班!$C6,考勤清单!$G:$G,人员汇总_加班!U$1)</f>
        <v>0</v>
      </c>
      <c r="V6" s="69">
        <f>SUMIFS(考勤清单!$R:$R,考勤清单!$D:$D,人员汇总_加班!$A6,考勤清单!$F:$F,人员汇总_加班!$C6,考勤清单!$G:$G,人员汇总_加班!V$1)</f>
        <v>0</v>
      </c>
      <c r="W6" s="69">
        <f>SUMIFS(考勤清单!$R:$R,考勤清单!$D:$D,人员汇总_加班!$A6,考勤清单!$F:$F,人员汇总_加班!$C6,考勤清单!$G:$G,人员汇总_加班!W$1)</f>
        <v>0</v>
      </c>
      <c r="X6" s="69">
        <f>SUMIFS(考勤清单!$R:$R,考勤清单!$D:$D,人员汇总_加班!$A6,考勤清单!$F:$F,人员汇总_加班!$C6,考勤清单!$G:$G,人员汇总_加班!X$1)</f>
        <v>0</v>
      </c>
      <c r="Y6" s="69">
        <f>SUMIFS(考勤清单!$R:$R,考勤清单!$D:$D,人员汇总_加班!$A6,考勤清单!$F:$F,人员汇总_加班!$C6,考勤清单!$G:$G,人员汇总_加班!Y$1)</f>
        <v>0</v>
      </c>
      <c r="Z6" s="69">
        <f>SUMIFS(考勤清单!$R:$R,考勤清单!$D:$D,人员汇总_加班!$A6,考勤清单!$F:$F,人员汇总_加班!$C6,考勤清单!$G:$G,人员汇总_加班!Z$1)</f>
        <v>0</v>
      </c>
      <c r="AA6" s="69">
        <f>SUMIFS(考勤清单!$R:$R,考勤清单!$D:$D,人员汇总_加班!$A6,考勤清单!$F:$F,人员汇总_加班!$C6,考勤清单!$G:$G,人员汇总_加班!AA$1)</f>
        <v>0</v>
      </c>
      <c r="AB6" s="69">
        <f>SUMIFS(考勤清单!$R:$R,考勤清单!$D:$D,人员汇总_加班!$A6,考勤清单!$F:$F,人员汇总_加班!$C6,考勤清单!$G:$G,人员汇总_加班!AB$1)</f>
        <v>0</v>
      </c>
      <c r="AC6" s="69">
        <f>SUMIFS(考勤清单!$R:$R,考勤清单!$D:$D,人员汇总_加班!$A6,考勤清单!$F:$F,人员汇总_加班!$C6,考勤清单!$G:$G,人员汇总_加班!AC$1)</f>
        <v>0</v>
      </c>
      <c r="AD6" s="69">
        <f>SUMIFS(考勤清单!$R:$R,考勤清单!$D:$D,人员汇总_加班!$A6,考勤清单!$F:$F,人员汇总_加班!$C6,考勤清单!$G:$G,人员汇总_加班!AD$1)</f>
        <v>0</v>
      </c>
      <c r="AE6" s="69">
        <f>SUMIFS(考勤清单!$R:$R,考勤清单!$D:$D,人员汇总_加班!$A6,考勤清单!$F:$F,人员汇总_加班!$C6,考勤清单!$G:$G,人员汇总_加班!AE$1)</f>
        <v>0</v>
      </c>
      <c r="AF6" s="69">
        <f>SUMIFS(考勤清单!$R:$R,考勤清单!$D:$D,人员汇总_加班!$A6,考勤清单!$F:$F,人员汇总_加班!$C6,考勤清单!$G:$G,人员汇总_加班!AF$1)</f>
        <v>0</v>
      </c>
      <c r="AG6" s="69">
        <f>SUMIFS(考勤清单!$R:$R,考勤清单!$D:$D,人员汇总_加班!$A6,考勤清单!$F:$F,人员汇总_加班!$C6,考勤清单!$G:$G,人员汇总_加班!AG$1)</f>
        <v>0</v>
      </c>
      <c r="AH6" s="69">
        <f>SUMIFS(考勤清单!$R:$R,考勤清单!$D:$D,人员汇总_加班!$A6,考勤清单!$F:$F,人员汇总_加班!$C6,考勤清单!$G:$G,人员汇总_加班!AH$1)</f>
        <v>0</v>
      </c>
      <c r="AI6" s="69">
        <f>SUMIFS(考勤清单!$R:$R,考勤清单!$D:$D,人员汇总_加班!$A6,考勤清单!$F:$F,人员汇总_加班!$C6,考勤清单!$G:$G,人员汇总_加班!AI$1)</f>
        <v>0</v>
      </c>
      <c r="AJ6" s="70">
        <f t="shared" si="0"/>
        <v>0</v>
      </c>
      <c r="AK6" s="69">
        <f t="shared" si="1"/>
        <v>0</v>
      </c>
      <c r="AL6" s="69">
        <f t="shared" si="2"/>
        <v>0</v>
      </c>
      <c r="AM6" s="69">
        <f t="shared" si="3"/>
        <v>0</v>
      </c>
    </row>
    <row r="7" spans="1:39" ht="12.75" x14ac:dyDescent="0.2">
      <c r="A7" s="8" t="s">
        <v>97</v>
      </c>
      <c r="B7" s="8" t="s">
        <v>96</v>
      </c>
      <c r="C7" s="10" t="s">
        <v>98</v>
      </c>
      <c r="D7" s="10" t="s">
        <v>86</v>
      </c>
      <c r="E7" s="69">
        <f>SUMIFS(考勤清单!$R:$R,考勤清单!$D:$D,人员汇总_加班!$A7,考勤清单!$F:$F,人员汇总_加班!$C7,考勤清单!$G:$G,人员汇总_加班!E$1)</f>
        <v>0</v>
      </c>
      <c r="F7" s="69">
        <f>SUMIFS(考勤清单!$R:$R,考勤清单!$D:$D,人员汇总_加班!$A7,考勤清单!$F:$F,人员汇总_加班!$C7,考勤清单!$G:$G,人员汇总_加班!F$1)</f>
        <v>0</v>
      </c>
      <c r="G7" s="69">
        <f>SUMIFS(考勤清单!$R:$R,考勤清单!$D:$D,人员汇总_加班!$A7,考勤清单!$F:$F,人员汇总_加班!$C7,考勤清单!$G:$G,人员汇总_加班!G$1)</f>
        <v>0</v>
      </c>
      <c r="H7" s="69">
        <f>SUMIFS(考勤清单!$R:$R,考勤清单!$D:$D,人员汇总_加班!$A7,考勤清单!$F:$F,人员汇总_加班!$C7,考勤清单!$G:$G,人员汇总_加班!H$1)</f>
        <v>0</v>
      </c>
      <c r="I7" s="69">
        <f>SUMIFS(考勤清单!$R:$R,考勤清单!$D:$D,人员汇总_加班!$A7,考勤清单!$F:$F,人员汇总_加班!$C7,考勤清单!$G:$G,人员汇总_加班!I$1)</f>
        <v>0</v>
      </c>
      <c r="J7" s="69">
        <f>SUMIFS(考勤清单!$R:$R,考勤清单!$D:$D,人员汇总_加班!$A7,考勤清单!$F:$F,人员汇总_加班!$C7,考勤清单!$G:$G,人员汇总_加班!J$1)</f>
        <v>0</v>
      </c>
      <c r="K7" s="69">
        <f>SUMIFS(考勤清单!$R:$R,考勤清单!$D:$D,人员汇总_加班!$A7,考勤清单!$F:$F,人员汇总_加班!$C7,考勤清单!$G:$G,人员汇总_加班!K$1)</f>
        <v>0</v>
      </c>
      <c r="L7" s="69">
        <f>SUMIFS(考勤清单!$R:$R,考勤清单!$D:$D,人员汇总_加班!$A7,考勤清单!$F:$F,人员汇总_加班!$C7,考勤清单!$G:$G,人员汇总_加班!L$1)</f>
        <v>0</v>
      </c>
      <c r="M7" s="69">
        <f>SUMIFS(考勤清单!$R:$R,考勤清单!$D:$D,人员汇总_加班!$A7,考勤清单!$F:$F,人员汇总_加班!$C7,考勤清单!$G:$G,人员汇总_加班!M$1)</f>
        <v>0</v>
      </c>
      <c r="N7" s="69">
        <f>SUMIFS(考勤清单!$R:$R,考勤清单!$D:$D,人员汇总_加班!$A7,考勤清单!$F:$F,人员汇总_加班!$C7,考勤清单!$G:$G,人员汇总_加班!N$1)</f>
        <v>0</v>
      </c>
      <c r="O7" s="69">
        <f>SUMIFS(考勤清单!$R:$R,考勤清单!$D:$D,人员汇总_加班!$A7,考勤清单!$F:$F,人员汇总_加班!$C7,考勤清单!$G:$G,人员汇总_加班!O$1)</f>
        <v>0</v>
      </c>
      <c r="P7" s="69">
        <f>SUMIFS(考勤清单!$R:$R,考勤清单!$D:$D,人员汇总_加班!$A7,考勤清单!$F:$F,人员汇总_加班!$C7,考勤清单!$G:$G,人员汇总_加班!P$1)</f>
        <v>0</v>
      </c>
      <c r="Q7" s="69">
        <f>SUMIFS(考勤清单!$R:$R,考勤清单!$D:$D,人员汇总_加班!$A7,考勤清单!$F:$F,人员汇总_加班!$C7,考勤清单!$G:$G,人员汇总_加班!Q$1)</f>
        <v>0</v>
      </c>
      <c r="R7" s="69">
        <f>SUMIFS(考勤清单!$R:$R,考勤清单!$D:$D,人员汇总_加班!$A7,考勤清单!$F:$F,人员汇总_加班!$C7,考勤清单!$G:$G,人员汇总_加班!R$1)</f>
        <v>0</v>
      </c>
      <c r="S7" s="69">
        <f>SUMIFS(考勤清单!$R:$R,考勤清单!$D:$D,人员汇总_加班!$A7,考勤清单!$F:$F,人员汇总_加班!$C7,考勤清单!$G:$G,人员汇总_加班!S$1)</f>
        <v>0</v>
      </c>
      <c r="T7" s="69">
        <f>SUMIFS(考勤清单!$R:$R,考勤清单!$D:$D,人员汇总_加班!$A7,考勤清单!$F:$F,人员汇总_加班!$C7,考勤清单!$G:$G,人员汇总_加班!T$1)</f>
        <v>0</v>
      </c>
      <c r="U7" s="69">
        <f>SUMIFS(考勤清单!$R:$R,考勤清单!$D:$D,人员汇总_加班!$A7,考勤清单!$F:$F,人员汇总_加班!$C7,考勤清单!$G:$G,人员汇总_加班!U$1)</f>
        <v>0</v>
      </c>
      <c r="V7" s="69">
        <f>SUMIFS(考勤清单!$R:$R,考勤清单!$D:$D,人员汇总_加班!$A7,考勤清单!$F:$F,人员汇总_加班!$C7,考勤清单!$G:$G,人员汇总_加班!V$1)</f>
        <v>0</v>
      </c>
      <c r="W7" s="69">
        <f>SUMIFS(考勤清单!$R:$R,考勤清单!$D:$D,人员汇总_加班!$A7,考勤清单!$F:$F,人员汇总_加班!$C7,考勤清单!$G:$G,人员汇总_加班!W$1)</f>
        <v>0</v>
      </c>
      <c r="X7" s="69">
        <f>SUMIFS(考勤清单!$R:$R,考勤清单!$D:$D,人员汇总_加班!$A7,考勤清单!$F:$F,人员汇总_加班!$C7,考勤清单!$G:$G,人员汇总_加班!X$1)</f>
        <v>0</v>
      </c>
      <c r="Y7" s="69">
        <f>SUMIFS(考勤清单!$R:$R,考勤清单!$D:$D,人员汇总_加班!$A7,考勤清单!$F:$F,人员汇总_加班!$C7,考勤清单!$G:$G,人员汇总_加班!Y$1)</f>
        <v>0</v>
      </c>
      <c r="Z7" s="69">
        <f>SUMIFS(考勤清单!$R:$R,考勤清单!$D:$D,人员汇总_加班!$A7,考勤清单!$F:$F,人员汇总_加班!$C7,考勤清单!$G:$G,人员汇总_加班!Z$1)</f>
        <v>0</v>
      </c>
      <c r="AA7" s="69">
        <f>SUMIFS(考勤清单!$R:$R,考勤清单!$D:$D,人员汇总_加班!$A7,考勤清单!$F:$F,人员汇总_加班!$C7,考勤清单!$G:$G,人员汇总_加班!AA$1)</f>
        <v>0</v>
      </c>
      <c r="AB7" s="69">
        <f>SUMIFS(考勤清单!$R:$R,考勤清单!$D:$D,人员汇总_加班!$A7,考勤清单!$F:$F,人员汇总_加班!$C7,考勤清单!$G:$G,人员汇总_加班!AB$1)</f>
        <v>0</v>
      </c>
      <c r="AC7" s="69">
        <f>SUMIFS(考勤清单!$R:$R,考勤清单!$D:$D,人员汇总_加班!$A7,考勤清单!$F:$F,人员汇总_加班!$C7,考勤清单!$G:$G,人员汇总_加班!AC$1)</f>
        <v>0</v>
      </c>
      <c r="AD7" s="69">
        <f>SUMIFS(考勤清单!$R:$R,考勤清单!$D:$D,人员汇总_加班!$A7,考勤清单!$F:$F,人员汇总_加班!$C7,考勤清单!$G:$G,人员汇总_加班!AD$1)</f>
        <v>0</v>
      </c>
      <c r="AE7" s="69">
        <f>SUMIFS(考勤清单!$R:$R,考勤清单!$D:$D,人员汇总_加班!$A7,考勤清单!$F:$F,人员汇总_加班!$C7,考勤清单!$G:$G,人员汇总_加班!AE$1)</f>
        <v>0</v>
      </c>
      <c r="AF7" s="69">
        <f>SUMIFS(考勤清单!$R:$R,考勤清单!$D:$D,人员汇总_加班!$A7,考勤清单!$F:$F,人员汇总_加班!$C7,考勤清单!$G:$G,人员汇总_加班!AF$1)</f>
        <v>0</v>
      </c>
      <c r="AG7" s="69">
        <f>SUMIFS(考勤清单!$R:$R,考勤清单!$D:$D,人员汇总_加班!$A7,考勤清单!$F:$F,人员汇总_加班!$C7,考勤清单!$G:$G,人员汇总_加班!AG$1)</f>
        <v>0</v>
      </c>
      <c r="AH7" s="69">
        <f>SUMIFS(考勤清单!$R:$R,考勤清单!$D:$D,人员汇总_加班!$A7,考勤清单!$F:$F,人员汇总_加班!$C7,考勤清单!$G:$G,人员汇总_加班!AH$1)</f>
        <v>0</v>
      </c>
      <c r="AI7" s="69">
        <f>SUMIFS(考勤清单!$R:$R,考勤清单!$D:$D,人员汇总_加班!$A7,考勤清单!$F:$F,人员汇总_加班!$C7,考勤清单!$G:$G,人员汇总_加班!AI$1)</f>
        <v>0</v>
      </c>
      <c r="AJ7" s="70">
        <f t="shared" si="0"/>
        <v>0</v>
      </c>
      <c r="AK7" s="69">
        <f t="shared" si="1"/>
        <v>0</v>
      </c>
      <c r="AL7" s="69">
        <f t="shared" si="2"/>
        <v>0</v>
      </c>
      <c r="AM7" s="69">
        <f t="shared" si="3"/>
        <v>0</v>
      </c>
    </row>
    <row r="8" spans="1:39" ht="12.75" x14ac:dyDescent="0.2">
      <c r="A8" s="8" t="s">
        <v>100</v>
      </c>
      <c r="B8" s="8" t="s">
        <v>99</v>
      </c>
      <c r="C8" s="8" t="s">
        <v>102</v>
      </c>
      <c r="D8" s="10" t="s">
        <v>101</v>
      </c>
      <c r="E8" s="69">
        <f>SUMIFS(考勤清单!$R:$R,考勤清单!$D:$D,人员汇总_加班!$A8,考勤清单!$F:$F,人员汇总_加班!$C8,考勤清单!$G:$G,人员汇总_加班!E$1)</f>
        <v>0</v>
      </c>
      <c r="F8" s="69">
        <f>SUMIFS(考勤清单!$R:$R,考勤清单!$D:$D,人员汇总_加班!$A8,考勤清单!$F:$F,人员汇总_加班!$C8,考勤清单!$G:$G,人员汇总_加班!F$1)</f>
        <v>0</v>
      </c>
      <c r="G8" s="69">
        <f>SUMIFS(考勤清单!$R:$R,考勤清单!$D:$D,人员汇总_加班!$A8,考勤清单!$F:$F,人员汇总_加班!$C8,考勤清单!$G:$G,人员汇总_加班!G$1)</f>
        <v>0</v>
      </c>
      <c r="H8" s="69">
        <f>SUMIFS(考勤清单!$R:$R,考勤清单!$D:$D,人员汇总_加班!$A8,考勤清单!$F:$F,人员汇总_加班!$C8,考勤清单!$G:$G,人员汇总_加班!H$1)</f>
        <v>0</v>
      </c>
      <c r="I8" s="69">
        <f>SUMIFS(考勤清单!$R:$R,考勤清单!$D:$D,人员汇总_加班!$A8,考勤清单!$F:$F,人员汇总_加班!$C8,考勤清单!$G:$G,人员汇总_加班!I$1)</f>
        <v>0</v>
      </c>
      <c r="J8" s="69">
        <f>SUMIFS(考勤清单!$R:$R,考勤清单!$D:$D,人员汇总_加班!$A8,考勤清单!$F:$F,人员汇总_加班!$C8,考勤清单!$G:$G,人员汇总_加班!J$1)</f>
        <v>0</v>
      </c>
      <c r="K8" s="69">
        <f>SUMIFS(考勤清单!$R:$R,考勤清单!$D:$D,人员汇总_加班!$A8,考勤清单!$F:$F,人员汇总_加班!$C8,考勤清单!$G:$G,人员汇总_加班!K$1)</f>
        <v>0</v>
      </c>
      <c r="L8" s="69">
        <f>SUMIFS(考勤清单!$R:$R,考勤清单!$D:$D,人员汇总_加班!$A8,考勤清单!$F:$F,人员汇总_加班!$C8,考勤清单!$G:$G,人员汇总_加班!L$1)</f>
        <v>0</v>
      </c>
      <c r="M8" s="69">
        <f>SUMIFS(考勤清单!$R:$R,考勤清单!$D:$D,人员汇总_加班!$A8,考勤清单!$F:$F,人员汇总_加班!$C8,考勤清单!$G:$G,人员汇总_加班!M$1)</f>
        <v>0</v>
      </c>
      <c r="N8" s="69">
        <f>SUMIFS(考勤清单!$R:$R,考勤清单!$D:$D,人员汇总_加班!$A8,考勤清单!$F:$F,人员汇总_加班!$C8,考勤清单!$G:$G,人员汇总_加班!N$1)</f>
        <v>0</v>
      </c>
      <c r="O8" s="69">
        <f>SUMIFS(考勤清单!$R:$R,考勤清单!$D:$D,人员汇总_加班!$A8,考勤清单!$F:$F,人员汇总_加班!$C8,考勤清单!$G:$G,人员汇总_加班!O$1)</f>
        <v>0</v>
      </c>
      <c r="P8" s="69">
        <f>SUMIFS(考勤清单!$R:$R,考勤清单!$D:$D,人员汇总_加班!$A8,考勤清单!$F:$F,人员汇总_加班!$C8,考勤清单!$G:$G,人员汇总_加班!P$1)</f>
        <v>0</v>
      </c>
      <c r="Q8" s="69">
        <f>SUMIFS(考勤清单!$R:$R,考勤清单!$D:$D,人员汇总_加班!$A8,考勤清单!$F:$F,人员汇总_加班!$C8,考勤清单!$G:$G,人员汇总_加班!Q$1)</f>
        <v>0</v>
      </c>
      <c r="R8" s="69">
        <f>SUMIFS(考勤清单!$R:$R,考勤清单!$D:$D,人员汇总_加班!$A8,考勤清单!$F:$F,人员汇总_加班!$C8,考勤清单!$G:$G,人员汇总_加班!R$1)</f>
        <v>0</v>
      </c>
      <c r="S8" s="69">
        <f>SUMIFS(考勤清单!$R:$R,考勤清单!$D:$D,人员汇总_加班!$A8,考勤清单!$F:$F,人员汇总_加班!$C8,考勤清单!$G:$G,人员汇总_加班!S$1)</f>
        <v>0</v>
      </c>
      <c r="T8" s="69">
        <f>SUMIFS(考勤清单!$R:$R,考勤清单!$D:$D,人员汇总_加班!$A8,考勤清单!$F:$F,人员汇总_加班!$C8,考勤清单!$G:$G,人员汇总_加班!T$1)</f>
        <v>0</v>
      </c>
      <c r="U8" s="69">
        <f>SUMIFS(考勤清单!$R:$R,考勤清单!$D:$D,人员汇总_加班!$A8,考勤清单!$F:$F,人员汇总_加班!$C8,考勤清单!$G:$G,人员汇总_加班!U$1)</f>
        <v>0</v>
      </c>
      <c r="V8" s="69">
        <f>SUMIFS(考勤清单!$R:$R,考勤清单!$D:$D,人员汇总_加班!$A8,考勤清单!$F:$F,人员汇总_加班!$C8,考勤清单!$G:$G,人员汇总_加班!V$1)</f>
        <v>0</v>
      </c>
      <c r="W8" s="69">
        <f>SUMIFS(考勤清单!$R:$R,考勤清单!$D:$D,人员汇总_加班!$A8,考勤清单!$F:$F,人员汇总_加班!$C8,考勤清单!$G:$G,人员汇总_加班!W$1)</f>
        <v>0</v>
      </c>
      <c r="X8" s="69">
        <f>SUMIFS(考勤清单!$R:$R,考勤清单!$D:$D,人员汇总_加班!$A8,考勤清单!$F:$F,人员汇总_加班!$C8,考勤清单!$G:$G,人员汇总_加班!X$1)</f>
        <v>0</v>
      </c>
      <c r="Y8" s="69">
        <f>SUMIFS(考勤清单!$R:$R,考勤清单!$D:$D,人员汇总_加班!$A8,考勤清单!$F:$F,人员汇总_加班!$C8,考勤清单!$G:$G,人员汇总_加班!Y$1)</f>
        <v>0</v>
      </c>
      <c r="Z8" s="69">
        <f>SUMIFS(考勤清单!$R:$R,考勤清单!$D:$D,人员汇总_加班!$A8,考勤清单!$F:$F,人员汇总_加班!$C8,考勤清单!$G:$G,人员汇总_加班!Z$1)</f>
        <v>0</v>
      </c>
      <c r="AA8" s="69">
        <f>SUMIFS(考勤清单!$R:$R,考勤清单!$D:$D,人员汇总_加班!$A8,考勤清单!$F:$F,人员汇总_加班!$C8,考勤清单!$G:$G,人员汇总_加班!AA$1)</f>
        <v>0</v>
      </c>
      <c r="AB8" s="69">
        <f>SUMIFS(考勤清单!$R:$R,考勤清单!$D:$D,人员汇总_加班!$A8,考勤清单!$F:$F,人员汇总_加班!$C8,考勤清单!$G:$G,人员汇总_加班!AB$1)</f>
        <v>0</v>
      </c>
      <c r="AC8" s="69">
        <f>SUMIFS(考勤清单!$R:$R,考勤清单!$D:$D,人员汇总_加班!$A8,考勤清单!$F:$F,人员汇总_加班!$C8,考勤清单!$G:$G,人员汇总_加班!AC$1)</f>
        <v>0</v>
      </c>
      <c r="AD8" s="69">
        <f>SUMIFS(考勤清单!$R:$R,考勤清单!$D:$D,人员汇总_加班!$A8,考勤清单!$F:$F,人员汇总_加班!$C8,考勤清单!$G:$G,人员汇总_加班!AD$1)</f>
        <v>0</v>
      </c>
      <c r="AE8" s="69">
        <f>SUMIFS(考勤清单!$R:$R,考勤清单!$D:$D,人员汇总_加班!$A8,考勤清单!$F:$F,人员汇总_加班!$C8,考勤清单!$G:$G,人员汇总_加班!AE$1)</f>
        <v>0</v>
      </c>
      <c r="AF8" s="69">
        <f>SUMIFS(考勤清单!$R:$R,考勤清单!$D:$D,人员汇总_加班!$A8,考勤清单!$F:$F,人员汇总_加班!$C8,考勤清单!$G:$G,人员汇总_加班!AF$1)</f>
        <v>0</v>
      </c>
      <c r="AG8" s="69">
        <f>SUMIFS(考勤清单!$R:$R,考勤清单!$D:$D,人员汇总_加班!$A8,考勤清单!$F:$F,人员汇总_加班!$C8,考勤清单!$G:$G,人员汇总_加班!AG$1)</f>
        <v>0</v>
      </c>
      <c r="AH8" s="69">
        <f>SUMIFS(考勤清单!$R:$R,考勤清单!$D:$D,人员汇总_加班!$A8,考勤清单!$F:$F,人员汇总_加班!$C8,考勤清单!$G:$G,人员汇总_加班!AH$1)</f>
        <v>0</v>
      </c>
      <c r="AI8" s="69">
        <f>SUMIFS(考勤清单!$R:$R,考勤清单!$D:$D,人员汇总_加班!$A8,考勤清单!$F:$F,人员汇总_加班!$C8,考勤清单!$G:$G,人员汇总_加班!AI$1)</f>
        <v>0</v>
      </c>
      <c r="AJ8" s="70">
        <f t="shared" si="0"/>
        <v>0</v>
      </c>
      <c r="AK8" s="69">
        <f t="shared" si="1"/>
        <v>0</v>
      </c>
      <c r="AL8" s="69">
        <f t="shared" si="2"/>
        <v>0</v>
      </c>
      <c r="AM8" s="69">
        <f t="shared" si="3"/>
        <v>0</v>
      </c>
    </row>
    <row r="9" spans="1:39" ht="12.75" x14ac:dyDescent="0.2">
      <c r="A9" s="8" t="s">
        <v>104</v>
      </c>
      <c r="B9" s="8" t="s">
        <v>103</v>
      </c>
      <c r="C9" s="8" t="s">
        <v>105</v>
      </c>
      <c r="D9" s="10" t="s">
        <v>101</v>
      </c>
      <c r="E9" s="69">
        <f>SUMIFS(考勤清单!$R:$R,考勤清单!$D:$D,人员汇总_加班!$A9,考勤清单!$F:$F,人员汇总_加班!$C9,考勤清单!$G:$G,人员汇总_加班!E$1)</f>
        <v>0</v>
      </c>
      <c r="F9" s="69">
        <f>SUMIFS(考勤清单!$R:$R,考勤清单!$D:$D,人员汇总_加班!$A9,考勤清单!$F:$F,人员汇总_加班!$C9,考勤清单!$G:$G,人员汇总_加班!F$1)</f>
        <v>0</v>
      </c>
      <c r="G9" s="69">
        <f>SUMIFS(考勤清单!$R:$R,考勤清单!$D:$D,人员汇总_加班!$A9,考勤清单!$F:$F,人员汇总_加班!$C9,考勤清单!$G:$G,人员汇总_加班!G$1)</f>
        <v>0</v>
      </c>
      <c r="H9" s="69">
        <f>SUMIFS(考勤清单!$R:$R,考勤清单!$D:$D,人员汇总_加班!$A9,考勤清单!$F:$F,人员汇总_加班!$C9,考勤清单!$G:$G,人员汇总_加班!H$1)</f>
        <v>0</v>
      </c>
      <c r="I9" s="69">
        <f>SUMIFS(考勤清单!$R:$R,考勤清单!$D:$D,人员汇总_加班!$A9,考勤清单!$F:$F,人员汇总_加班!$C9,考勤清单!$G:$G,人员汇总_加班!I$1)</f>
        <v>0</v>
      </c>
      <c r="J9" s="69">
        <f>SUMIFS(考勤清单!$R:$R,考勤清单!$D:$D,人员汇总_加班!$A9,考勤清单!$F:$F,人员汇总_加班!$C9,考勤清单!$G:$G,人员汇总_加班!J$1)</f>
        <v>0</v>
      </c>
      <c r="K9" s="69">
        <f>SUMIFS(考勤清单!$R:$R,考勤清单!$D:$D,人员汇总_加班!$A9,考勤清单!$F:$F,人员汇总_加班!$C9,考勤清单!$G:$G,人员汇总_加班!K$1)</f>
        <v>0</v>
      </c>
      <c r="L9" s="69">
        <f>SUMIFS(考勤清单!$R:$R,考勤清单!$D:$D,人员汇总_加班!$A9,考勤清单!$F:$F,人员汇总_加班!$C9,考勤清单!$G:$G,人员汇总_加班!L$1)</f>
        <v>0</v>
      </c>
      <c r="M9" s="69">
        <f>SUMIFS(考勤清单!$R:$R,考勤清单!$D:$D,人员汇总_加班!$A9,考勤清单!$F:$F,人员汇总_加班!$C9,考勤清单!$G:$G,人员汇总_加班!M$1)</f>
        <v>0</v>
      </c>
      <c r="N9" s="69">
        <f>SUMIFS(考勤清单!$R:$R,考勤清单!$D:$D,人员汇总_加班!$A9,考勤清单!$F:$F,人员汇总_加班!$C9,考勤清单!$G:$G,人员汇总_加班!N$1)</f>
        <v>0</v>
      </c>
      <c r="O9" s="69">
        <f>SUMIFS(考勤清单!$R:$R,考勤清单!$D:$D,人员汇总_加班!$A9,考勤清单!$F:$F,人员汇总_加班!$C9,考勤清单!$G:$G,人员汇总_加班!O$1)</f>
        <v>0</v>
      </c>
      <c r="P9" s="69">
        <f>SUMIFS(考勤清单!$R:$R,考勤清单!$D:$D,人员汇总_加班!$A9,考勤清单!$F:$F,人员汇总_加班!$C9,考勤清单!$G:$G,人员汇总_加班!P$1)</f>
        <v>0</v>
      </c>
      <c r="Q9" s="69">
        <f>SUMIFS(考勤清单!$R:$R,考勤清单!$D:$D,人员汇总_加班!$A9,考勤清单!$F:$F,人员汇总_加班!$C9,考勤清单!$G:$G,人员汇总_加班!Q$1)</f>
        <v>0</v>
      </c>
      <c r="R9" s="69">
        <f>SUMIFS(考勤清单!$R:$R,考勤清单!$D:$D,人员汇总_加班!$A9,考勤清单!$F:$F,人员汇总_加班!$C9,考勤清单!$G:$G,人员汇总_加班!R$1)</f>
        <v>0</v>
      </c>
      <c r="S9" s="69">
        <f>SUMIFS(考勤清单!$R:$R,考勤清单!$D:$D,人员汇总_加班!$A9,考勤清单!$F:$F,人员汇总_加班!$C9,考勤清单!$G:$G,人员汇总_加班!S$1)</f>
        <v>0</v>
      </c>
      <c r="T9" s="69">
        <f>SUMIFS(考勤清单!$R:$R,考勤清单!$D:$D,人员汇总_加班!$A9,考勤清单!$F:$F,人员汇总_加班!$C9,考勤清单!$G:$G,人员汇总_加班!T$1)</f>
        <v>0</v>
      </c>
      <c r="U9" s="69">
        <f>SUMIFS(考勤清单!$R:$R,考勤清单!$D:$D,人员汇总_加班!$A9,考勤清单!$F:$F,人员汇总_加班!$C9,考勤清单!$G:$G,人员汇总_加班!U$1)</f>
        <v>0</v>
      </c>
      <c r="V9" s="69">
        <f>SUMIFS(考勤清单!$R:$R,考勤清单!$D:$D,人员汇总_加班!$A9,考勤清单!$F:$F,人员汇总_加班!$C9,考勤清单!$G:$G,人员汇总_加班!V$1)</f>
        <v>0</v>
      </c>
      <c r="W9" s="69">
        <f>SUMIFS(考勤清单!$R:$R,考勤清单!$D:$D,人员汇总_加班!$A9,考勤清单!$F:$F,人员汇总_加班!$C9,考勤清单!$G:$G,人员汇总_加班!W$1)</f>
        <v>0</v>
      </c>
      <c r="X9" s="69">
        <f>SUMIFS(考勤清单!$R:$R,考勤清单!$D:$D,人员汇总_加班!$A9,考勤清单!$F:$F,人员汇总_加班!$C9,考勤清单!$G:$G,人员汇总_加班!X$1)</f>
        <v>0</v>
      </c>
      <c r="Y9" s="69">
        <f>SUMIFS(考勤清单!$R:$R,考勤清单!$D:$D,人员汇总_加班!$A9,考勤清单!$F:$F,人员汇总_加班!$C9,考勤清单!$G:$G,人员汇总_加班!Y$1)</f>
        <v>0</v>
      </c>
      <c r="Z9" s="69">
        <f>SUMIFS(考勤清单!$R:$R,考勤清单!$D:$D,人员汇总_加班!$A9,考勤清单!$F:$F,人员汇总_加班!$C9,考勤清单!$G:$G,人员汇总_加班!Z$1)</f>
        <v>0</v>
      </c>
      <c r="AA9" s="69">
        <f>SUMIFS(考勤清单!$R:$R,考勤清单!$D:$D,人员汇总_加班!$A9,考勤清单!$F:$F,人员汇总_加班!$C9,考勤清单!$G:$G,人员汇总_加班!AA$1)</f>
        <v>0</v>
      </c>
      <c r="AB9" s="69">
        <f>SUMIFS(考勤清单!$R:$R,考勤清单!$D:$D,人员汇总_加班!$A9,考勤清单!$F:$F,人员汇总_加班!$C9,考勤清单!$G:$G,人员汇总_加班!AB$1)</f>
        <v>0</v>
      </c>
      <c r="AC9" s="69">
        <f>SUMIFS(考勤清单!$R:$R,考勤清单!$D:$D,人员汇总_加班!$A9,考勤清单!$F:$F,人员汇总_加班!$C9,考勤清单!$G:$G,人员汇总_加班!AC$1)</f>
        <v>0</v>
      </c>
      <c r="AD9" s="69">
        <f>SUMIFS(考勤清单!$R:$R,考勤清单!$D:$D,人员汇总_加班!$A9,考勤清单!$F:$F,人员汇总_加班!$C9,考勤清单!$G:$G,人员汇总_加班!AD$1)</f>
        <v>0</v>
      </c>
      <c r="AE9" s="69">
        <f>SUMIFS(考勤清单!$R:$R,考勤清单!$D:$D,人员汇总_加班!$A9,考勤清单!$F:$F,人员汇总_加班!$C9,考勤清单!$G:$G,人员汇总_加班!AE$1)</f>
        <v>0</v>
      </c>
      <c r="AF9" s="69">
        <f>SUMIFS(考勤清单!$R:$R,考勤清单!$D:$D,人员汇总_加班!$A9,考勤清单!$F:$F,人员汇总_加班!$C9,考勤清单!$G:$G,人员汇总_加班!AF$1)</f>
        <v>0</v>
      </c>
      <c r="AG9" s="69">
        <f>SUMIFS(考勤清单!$R:$R,考勤清单!$D:$D,人员汇总_加班!$A9,考勤清单!$F:$F,人员汇总_加班!$C9,考勤清单!$G:$G,人员汇总_加班!AG$1)</f>
        <v>0</v>
      </c>
      <c r="AH9" s="69">
        <f>SUMIFS(考勤清单!$R:$R,考勤清单!$D:$D,人员汇总_加班!$A9,考勤清单!$F:$F,人员汇总_加班!$C9,考勤清单!$G:$G,人员汇总_加班!AH$1)</f>
        <v>0</v>
      </c>
      <c r="AI9" s="69">
        <f>SUMIFS(考勤清单!$R:$R,考勤清单!$D:$D,人员汇总_加班!$A9,考勤清单!$F:$F,人员汇总_加班!$C9,考勤清单!$G:$G,人员汇总_加班!AI$1)</f>
        <v>0</v>
      </c>
      <c r="AJ9" s="70">
        <f t="shared" si="0"/>
        <v>0</v>
      </c>
      <c r="AK9" s="69">
        <f t="shared" si="1"/>
        <v>0</v>
      </c>
      <c r="AL9" s="69">
        <f t="shared" si="2"/>
        <v>0</v>
      </c>
      <c r="AM9" s="69">
        <f t="shared" si="3"/>
        <v>0</v>
      </c>
    </row>
    <row r="10" spans="1:39" ht="12.75" x14ac:dyDescent="0.2">
      <c r="C10" s="10"/>
      <c r="D10" s="10" t="s">
        <v>120</v>
      </c>
      <c r="E10" s="69">
        <f>SUM(E2:E9)</f>
        <v>0</v>
      </c>
      <c r="F10" s="69">
        <f t="shared" ref="F10:AM10" si="4">SUM(F2:F9)</f>
        <v>0</v>
      </c>
      <c r="G10" s="69">
        <f t="shared" si="4"/>
        <v>0</v>
      </c>
      <c r="H10" s="69">
        <f t="shared" si="4"/>
        <v>0</v>
      </c>
      <c r="I10" s="69">
        <f t="shared" si="4"/>
        <v>0</v>
      </c>
      <c r="J10" s="69">
        <f t="shared" si="4"/>
        <v>0</v>
      </c>
      <c r="K10" s="69">
        <f t="shared" si="4"/>
        <v>0</v>
      </c>
      <c r="L10" s="69">
        <f t="shared" si="4"/>
        <v>0</v>
      </c>
      <c r="M10" s="69">
        <f t="shared" si="4"/>
        <v>0</v>
      </c>
      <c r="N10" s="69">
        <f t="shared" si="4"/>
        <v>0</v>
      </c>
      <c r="O10" s="69">
        <f t="shared" si="4"/>
        <v>0</v>
      </c>
      <c r="P10" s="69">
        <f t="shared" si="4"/>
        <v>0</v>
      </c>
      <c r="Q10" s="69">
        <f t="shared" si="4"/>
        <v>0</v>
      </c>
      <c r="R10" s="69">
        <f t="shared" si="4"/>
        <v>0</v>
      </c>
      <c r="S10" s="69">
        <f t="shared" si="4"/>
        <v>0</v>
      </c>
      <c r="T10" s="69">
        <f t="shared" si="4"/>
        <v>0</v>
      </c>
      <c r="U10" s="69">
        <f t="shared" si="4"/>
        <v>0</v>
      </c>
      <c r="V10" s="69">
        <f t="shared" si="4"/>
        <v>0</v>
      </c>
      <c r="W10" s="69">
        <f t="shared" si="4"/>
        <v>0</v>
      </c>
      <c r="X10" s="69">
        <f t="shared" si="4"/>
        <v>0</v>
      </c>
      <c r="Y10" s="69">
        <f t="shared" si="4"/>
        <v>0</v>
      </c>
      <c r="Z10" s="69">
        <f t="shared" si="4"/>
        <v>0</v>
      </c>
      <c r="AA10" s="69">
        <f t="shared" si="4"/>
        <v>0</v>
      </c>
      <c r="AB10" s="69">
        <f t="shared" si="4"/>
        <v>0</v>
      </c>
      <c r="AC10" s="69">
        <f t="shared" si="4"/>
        <v>0</v>
      </c>
      <c r="AD10" s="69">
        <f t="shared" si="4"/>
        <v>0</v>
      </c>
      <c r="AE10" s="69">
        <f t="shared" si="4"/>
        <v>0</v>
      </c>
      <c r="AF10" s="69">
        <f t="shared" si="4"/>
        <v>0</v>
      </c>
      <c r="AG10" s="69">
        <f t="shared" si="4"/>
        <v>0</v>
      </c>
      <c r="AH10" s="69">
        <f t="shared" si="4"/>
        <v>0</v>
      </c>
      <c r="AI10" s="69">
        <f t="shared" si="4"/>
        <v>0</v>
      </c>
      <c r="AJ10" s="70">
        <f t="shared" si="4"/>
        <v>0</v>
      </c>
      <c r="AK10" s="69">
        <f t="shared" si="4"/>
        <v>0</v>
      </c>
      <c r="AL10" s="69">
        <f t="shared" si="4"/>
        <v>0</v>
      </c>
      <c r="AM10" s="69">
        <f t="shared" si="4"/>
        <v>0</v>
      </c>
    </row>
    <row r="11" spans="1:39" ht="12.75" x14ac:dyDescent="0.2">
      <c r="C11" s="10"/>
      <c r="D11" s="10"/>
    </row>
    <row r="12" spans="1:39" ht="12.75" x14ac:dyDescent="0.2">
      <c r="C12" s="10"/>
      <c r="D12" s="10"/>
    </row>
    <row r="13" spans="1:39" ht="12.75" x14ac:dyDescent="0.2">
      <c r="D13" s="10"/>
    </row>
    <row r="14" spans="1:39" ht="12.75" x14ac:dyDescent="0.2">
      <c r="D14" s="10"/>
    </row>
    <row r="15" spans="1:39" ht="12.75" x14ac:dyDescent="0.2">
      <c r="D15" s="10"/>
    </row>
    <row r="16" spans="1:39" ht="12.75" x14ac:dyDescent="0.2">
      <c r="D16" s="10"/>
    </row>
    <row r="17" spans="4:4" ht="12.75" x14ac:dyDescent="0.2">
      <c r="D17" s="10"/>
    </row>
    <row r="18" spans="4:4" ht="12.75" x14ac:dyDescent="0.2">
      <c r="D18" s="10"/>
    </row>
    <row r="19" spans="4:4" ht="12.75" x14ac:dyDescent="0.2">
      <c r="D19" s="10"/>
    </row>
    <row r="20" spans="4:4" ht="12.75" x14ac:dyDescent="0.2">
      <c r="D20" s="10"/>
    </row>
    <row r="21" spans="4:4" ht="12.75" x14ac:dyDescent="0.2">
      <c r="D21" s="10"/>
    </row>
    <row r="22" spans="4:4" ht="12.75" x14ac:dyDescent="0.2">
      <c r="D22" s="10"/>
    </row>
    <row r="23" spans="4:4" ht="12.75" x14ac:dyDescent="0.2">
      <c r="D23" s="10"/>
    </row>
    <row r="24" spans="4:4" ht="12.75" x14ac:dyDescent="0.2">
      <c r="D24" s="10"/>
    </row>
    <row r="25" spans="4:4" ht="12.75" x14ac:dyDescent="0.2">
      <c r="D25" s="10"/>
    </row>
    <row r="26" spans="4:4" ht="12.75" x14ac:dyDescent="0.2">
      <c r="D26" s="10"/>
    </row>
    <row r="27" spans="4:4" ht="12.75" x14ac:dyDescent="0.2">
      <c r="D27" s="10"/>
    </row>
    <row r="28" spans="4:4" ht="12.75" x14ac:dyDescent="0.2">
      <c r="D28" s="10"/>
    </row>
    <row r="29" spans="4:4" ht="12.75" x14ac:dyDescent="0.2">
      <c r="D29" s="10"/>
    </row>
    <row r="30" spans="4:4" ht="12.75" x14ac:dyDescent="0.2">
      <c r="D30" s="10"/>
    </row>
    <row r="31" spans="4:4" ht="12.75" x14ac:dyDescent="0.2">
      <c r="D31" s="10"/>
    </row>
    <row r="32" spans="4:4" ht="12.75" x14ac:dyDescent="0.2">
      <c r="D32" s="10"/>
    </row>
    <row r="33" spans="4:4" ht="12.75" x14ac:dyDescent="0.2">
      <c r="D33" s="10"/>
    </row>
    <row r="34" spans="4:4" ht="12.75" x14ac:dyDescent="0.2">
      <c r="D34" s="10"/>
    </row>
    <row r="35" spans="4:4" ht="12.75" x14ac:dyDescent="0.2">
      <c r="D35" s="10"/>
    </row>
    <row r="36" spans="4:4" ht="12.75" x14ac:dyDescent="0.2">
      <c r="D36" s="10"/>
    </row>
    <row r="37" spans="4:4" ht="12.75" x14ac:dyDescent="0.2">
      <c r="D37" s="10"/>
    </row>
    <row r="38" spans="4:4" ht="12.75" x14ac:dyDescent="0.2">
      <c r="D38" s="10"/>
    </row>
    <row r="39" spans="4:4" ht="12.75" x14ac:dyDescent="0.2">
      <c r="D39" s="10"/>
    </row>
    <row r="40" spans="4:4" ht="12.75" x14ac:dyDescent="0.2">
      <c r="D40" s="10"/>
    </row>
    <row r="41" spans="4:4" ht="12.75" x14ac:dyDescent="0.2">
      <c r="D41" s="10"/>
    </row>
    <row r="42" spans="4:4" ht="12.75" x14ac:dyDescent="0.2">
      <c r="D42" s="10"/>
    </row>
    <row r="43" spans="4:4" ht="12.75" x14ac:dyDescent="0.2">
      <c r="D43" s="10"/>
    </row>
    <row r="44" spans="4:4" ht="12.75" x14ac:dyDescent="0.2">
      <c r="D44" s="10"/>
    </row>
    <row r="45" spans="4:4" ht="12.75" x14ac:dyDescent="0.2">
      <c r="D45" s="10"/>
    </row>
    <row r="46" spans="4:4" ht="12.75" x14ac:dyDescent="0.2">
      <c r="D46" s="10"/>
    </row>
    <row r="47" spans="4:4" ht="12.75" x14ac:dyDescent="0.2">
      <c r="D47" s="10"/>
    </row>
    <row r="48" spans="4:4" ht="12.75" x14ac:dyDescent="0.2">
      <c r="D48" s="10"/>
    </row>
    <row r="49" spans="4:4" ht="12.75" x14ac:dyDescent="0.2">
      <c r="D49" s="10"/>
    </row>
    <row r="50" spans="4:4" ht="12.75" x14ac:dyDescent="0.2">
      <c r="D50" s="10"/>
    </row>
    <row r="51" spans="4:4" ht="12.75" x14ac:dyDescent="0.2">
      <c r="D51" s="10"/>
    </row>
    <row r="52" spans="4:4" ht="12.75" x14ac:dyDescent="0.2">
      <c r="D52" s="10"/>
    </row>
    <row r="53" spans="4:4" ht="12.75" x14ac:dyDescent="0.2">
      <c r="D53" s="10"/>
    </row>
    <row r="54" spans="4:4" ht="12.75" x14ac:dyDescent="0.2">
      <c r="D54" s="10"/>
    </row>
    <row r="55" spans="4:4" ht="12.75" x14ac:dyDescent="0.2">
      <c r="D55" s="10"/>
    </row>
    <row r="56" spans="4:4" ht="12.75" x14ac:dyDescent="0.2">
      <c r="D56" s="10"/>
    </row>
    <row r="57" spans="4:4" ht="12.75" x14ac:dyDescent="0.2">
      <c r="D57" s="10"/>
    </row>
    <row r="58" spans="4:4" ht="12.75" x14ac:dyDescent="0.2">
      <c r="D58" s="10"/>
    </row>
    <row r="59" spans="4:4" ht="12.75" x14ac:dyDescent="0.2">
      <c r="D59" s="10"/>
    </row>
    <row r="60" spans="4:4" ht="12.75" x14ac:dyDescent="0.2">
      <c r="D60" s="10"/>
    </row>
    <row r="61" spans="4:4" ht="12.75" x14ac:dyDescent="0.2">
      <c r="D61" s="10"/>
    </row>
    <row r="62" spans="4:4" ht="12.75" x14ac:dyDescent="0.2">
      <c r="D62" s="10"/>
    </row>
    <row r="63" spans="4:4" ht="12.75" x14ac:dyDescent="0.2">
      <c r="D63" s="10"/>
    </row>
    <row r="64" spans="4:4" ht="12.75" x14ac:dyDescent="0.2">
      <c r="D64" s="10"/>
    </row>
    <row r="65" spans="4:4" ht="12.75" x14ac:dyDescent="0.2">
      <c r="D65" s="10"/>
    </row>
    <row r="66" spans="4:4" ht="12.75" x14ac:dyDescent="0.2">
      <c r="D66" s="10"/>
    </row>
    <row r="67" spans="4:4" ht="12.75" x14ac:dyDescent="0.2">
      <c r="D67" s="10"/>
    </row>
  </sheetData>
  <phoneticPr fontId="16" type="noConversion"/>
  <conditionalFormatting sqref="AK11:AM11 E1:AI67">
    <cfRule type="expression" dxfId="8" priority="1" stopIfTrue="1">
      <formula>WEEKDAY(E$1,2)&gt;5</formula>
    </cfRule>
  </conditionalFormatting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Pict="0" macro="[0]!Sheet7.CmdBtnFindListPosition_Click">
                <anchor moveWithCells="1" sizeWithCells="1">
                  <from>
                    <xdr:col>39</xdr:col>
                    <xdr:colOff>95250</xdr:colOff>
                    <xdr:row>0</xdr:row>
                    <xdr:rowOff>0</xdr:rowOff>
                  </from>
                  <to>
                    <xdr:col>39</xdr:col>
                    <xdr:colOff>1009650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E2127"/>
  <sheetViews>
    <sheetView workbookViewId="0">
      <pane ySplit="1" topLeftCell="A1437" activePane="bottomLeft" state="frozen"/>
      <selection pane="bottomLeft" activeCell="I1585" sqref="I1585"/>
    </sheetView>
  </sheetViews>
  <sheetFormatPr defaultColWidth="9" defaultRowHeight="14.25" x14ac:dyDescent="0.15"/>
  <cols>
    <col min="1" max="1" width="11.5" style="66" customWidth="1"/>
    <col min="2" max="2" width="16.125" style="66" customWidth="1"/>
    <col min="3" max="3" width="11.625" style="66" customWidth="1"/>
    <col min="4" max="5" width="7.5" style="66" customWidth="1"/>
    <col min="6" max="6" width="15.125" style="66" customWidth="1"/>
    <col min="7" max="7" width="8.125" style="66" customWidth="1"/>
    <col min="8" max="8" width="9.25" style="66" customWidth="1"/>
    <col min="9" max="9" width="21.375" style="66" customWidth="1"/>
    <col min="10" max="10" width="17.625" style="66" customWidth="1"/>
    <col min="11" max="11" width="13.875" style="66" customWidth="1"/>
    <col min="12" max="12" width="20.125" style="66" customWidth="1"/>
    <col min="13" max="16384" width="9" style="66"/>
  </cols>
  <sheetData>
    <row r="1" spans="1:5" x14ac:dyDescent="0.15">
      <c r="A1" s="66" t="s">
        <v>124</v>
      </c>
      <c r="B1" s="66" t="s">
        <v>125</v>
      </c>
      <c r="C1" s="66" t="s">
        <v>126</v>
      </c>
      <c r="D1" s="66" t="s">
        <v>127</v>
      </c>
      <c r="E1" s="66" t="s">
        <v>128</v>
      </c>
    </row>
    <row r="2" spans="1:5" x14ac:dyDescent="0.15">
      <c r="A2" s="66" t="s">
        <v>129</v>
      </c>
      <c r="B2" s="66" t="s">
        <v>130</v>
      </c>
      <c r="C2" s="66" t="s">
        <v>131</v>
      </c>
      <c r="D2" s="66" t="str">
        <f t="shared" ref="D2:D65" si="0">A2</f>
        <v>0001</v>
      </c>
      <c r="E2" s="66">
        <f t="shared" ref="E2:E65" si="1">COUNTIFS(B:B,B2)</f>
        <v>1</v>
      </c>
    </row>
    <row r="3" spans="1:5" x14ac:dyDescent="0.15">
      <c r="A3" s="66" t="s">
        <v>100</v>
      </c>
      <c r="B3" s="66" t="s">
        <v>132</v>
      </c>
      <c r="C3" s="66" t="s">
        <v>133</v>
      </c>
      <c r="D3" s="66" t="str">
        <f t="shared" si="0"/>
        <v>0002</v>
      </c>
      <c r="E3" s="66">
        <f t="shared" si="1"/>
        <v>1</v>
      </c>
    </row>
    <row r="4" spans="1:5" x14ac:dyDescent="0.15">
      <c r="A4" s="66" t="s">
        <v>134</v>
      </c>
      <c r="B4" s="66" t="s">
        <v>135</v>
      </c>
      <c r="C4" s="66" t="s">
        <v>133</v>
      </c>
      <c r="D4" s="66" t="str">
        <f t="shared" si="0"/>
        <v>0003</v>
      </c>
      <c r="E4" s="66">
        <f t="shared" si="1"/>
        <v>1</v>
      </c>
    </row>
    <row r="5" spans="1:5" x14ac:dyDescent="0.15">
      <c r="A5" s="66" t="s">
        <v>136</v>
      </c>
      <c r="B5" s="66" t="s">
        <v>137</v>
      </c>
      <c r="C5" s="66" t="s">
        <v>133</v>
      </c>
      <c r="D5" s="66" t="str">
        <f t="shared" si="0"/>
        <v>0004</v>
      </c>
      <c r="E5" s="66">
        <f t="shared" si="1"/>
        <v>1</v>
      </c>
    </row>
    <row r="6" spans="1:5" x14ac:dyDescent="0.15">
      <c r="A6" s="66" t="s">
        <v>138</v>
      </c>
      <c r="B6" s="66" t="s">
        <v>139</v>
      </c>
      <c r="C6" s="66" t="s">
        <v>140</v>
      </c>
      <c r="D6" s="66" t="str">
        <f t="shared" si="0"/>
        <v>0005</v>
      </c>
      <c r="E6" s="66">
        <f t="shared" si="1"/>
        <v>1</v>
      </c>
    </row>
    <row r="7" spans="1:5" x14ac:dyDescent="0.15">
      <c r="A7" s="66" t="s">
        <v>141</v>
      </c>
      <c r="B7" s="66" t="s">
        <v>142</v>
      </c>
      <c r="C7" s="66" t="s">
        <v>133</v>
      </c>
      <c r="D7" s="66" t="str">
        <f t="shared" si="0"/>
        <v>0006</v>
      </c>
      <c r="E7" s="66">
        <f t="shared" si="1"/>
        <v>1</v>
      </c>
    </row>
    <row r="8" spans="1:5" x14ac:dyDescent="0.15">
      <c r="A8" s="66" t="s">
        <v>82</v>
      </c>
      <c r="B8" s="66" t="s">
        <v>143</v>
      </c>
      <c r="C8" s="66" t="s">
        <v>133</v>
      </c>
      <c r="D8" s="66" t="str">
        <f t="shared" si="0"/>
        <v>0007</v>
      </c>
      <c r="E8" s="66">
        <f t="shared" si="1"/>
        <v>1</v>
      </c>
    </row>
    <row r="9" spans="1:5" x14ac:dyDescent="0.15">
      <c r="A9" s="66" t="s">
        <v>144</v>
      </c>
      <c r="B9" s="66" t="s">
        <v>145</v>
      </c>
      <c r="C9" s="66" t="s">
        <v>133</v>
      </c>
      <c r="D9" s="66" t="str">
        <f t="shared" si="0"/>
        <v>0008</v>
      </c>
      <c r="E9" s="66">
        <f t="shared" si="1"/>
        <v>1</v>
      </c>
    </row>
    <row r="10" spans="1:5" x14ac:dyDescent="0.15">
      <c r="A10" s="66" t="s">
        <v>146</v>
      </c>
      <c r="B10" s="66" t="s">
        <v>147</v>
      </c>
      <c r="C10" s="66" t="s">
        <v>133</v>
      </c>
      <c r="D10" s="66" t="str">
        <f t="shared" si="0"/>
        <v>0009</v>
      </c>
      <c r="E10" s="66">
        <f t="shared" si="1"/>
        <v>1</v>
      </c>
    </row>
    <row r="11" spans="1:5" x14ac:dyDescent="0.15">
      <c r="A11" s="66" t="s">
        <v>148</v>
      </c>
      <c r="B11" s="66" t="s">
        <v>149</v>
      </c>
      <c r="C11" s="66" t="s">
        <v>133</v>
      </c>
      <c r="D11" s="66" t="str">
        <f t="shared" si="0"/>
        <v>0010</v>
      </c>
      <c r="E11" s="66">
        <f t="shared" si="1"/>
        <v>1</v>
      </c>
    </row>
    <row r="12" spans="1:5" x14ac:dyDescent="0.15">
      <c r="A12" s="66" t="s">
        <v>150</v>
      </c>
      <c r="B12" s="66" t="s">
        <v>151</v>
      </c>
      <c r="C12" s="66" t="s">
        <v>133</v>
      </c>
      <c r="D12" s="66" t="str">
        <f t="shared" si="0"/>
        <v>0011</v>
      </c>
      <c r="E12" s="66">
        <f t="shared" si="1"/>
        <v>1</v>
      </c>
    </row>
    <row r="13" spans="1:5" x14ac:dyDescent="0.15">
      <c r="A13" s="66" t="s">
        <v>152</v>
      </c>
      <c r="B13" s="66" t="s">
        <v>153</v>
      </c>
      <c r="C13" s="66" t="s">
        <v>133</v>
      </c>
      <c r="D13" s="66" t="str">
        <f t="shared" si="0"/>
        <v>0012</v>
      </c>
      <c r="E13" s="66">
        <f t="shared" si="1"/>
        <v>1</v>
      </c>
    </row>
    <row r="14" spans="1:5" x14ac:dyDescent="0.15">
      <c r="A14" s="66" t="s">
        <v>97</v>
      </c>
      <c r="B14" s="66" t="s">
        <v>154</v>
      </c>
      <c r="C14" s="66" t="s">
        <v>133</v>
      </c>
      <c r="D14" s="66" t="str">
        <f t="shared" si="0"/>
        <v>0013</v>
      </c>
      <c r="E14" s="66">
        <f t="shared" si="1"/>
        <v>1</v>
      </c>
    </row>
    <row r="15" spans="1:5" x14ac:dyDescent="0.15">
      <c r="A15" s="66" t="s">
        <v>155</v>
      </c>
      <c r="B15" s="66" t="s">
        <v>156</v>
      </c>
      <c r="C15" s="66" t="s">
        <v>67</v>
      </c>
      <c r="D15" s="66" t="str">
        <f t="shared" si="0"/>
        <v>0014</v>
      </c>
      <c r="E15" s="66">
        <f t="shared" si="1"/>
        <v>1</v>
      </c>
    </row>
    <row r="16" spans="1:5" x14ac:dyDescent="0.15">
      <c r="A16" s="66" t="s">
        <v>157</v>
      </c>
      <c r="B16" s="66" t="s">
        <v>158</v>
      </c>
      <c r="C16" s="66" t="s">
        <v>101</v>
      </c>
      <c r="D16" s="66" t="str">
        <f t="shared" si="0"/>
        <v>0015</v>
      </c>
      <c r="E16" s="66">
        <f t="shared" si="1"/>
        <v>1</v>
      </c>
    </row>
    <row r="17" spans="1:5" x14ac:dyDescent="0.15">
      <c r="A17" s="66" t="s">
        <v>159</v>
      </c>
      <c r="B17" s="66" t="s">
        <v>160</v>
      </c>
      <c r="C17" s="66" t="s">
        <v>140</v>
      </c>
      <c r="D17" s="66" t="str">
        <f t="shared" si="0"/>
        <v>0016</v>
      </c>
      <c r="E17" s="66">
        <f t="shared" si="1"/>
        <v>1</v>
      </c>
    </row>
    <row r="18" spans="1:5" x14ac:dyDescent="0.15">
      <c r="A18" s="66" t="s">
        <v>161</v>
      </c>
      <c r="B18" s="66" t="s">
        <v>162</v>
      </c>
      <c r="C18" s="66" t="s">
        <v>133</v>
      </c>
      <c r="D18" s="66" t="str">
        <f t="shared" si="0"/>
        <v>0017</v>
      </c>
      <c r="E18" s="66">
        <f t="shared" si="1"/>
        <v>1</v>
      </c>
    </row>
    <row r="19" spans="1:5" x14ac:dyDescent="0.15">
      <c r="A19" s="66" t="s">
        <v>163</v>
      </c>
      <c r="B19" s="66" t="s">
        <v>164</v>
      </c>
      <c r="C19" s="66" t="s">
        <v>133</v>
      </c>
      <c r="D19" s="66" t="str">
        <f t="shared" si="0"/>
        <v>0018</v>
      </c>
      <c r="E19" s="66">
        <f t="shared" si="1"/>
        <v>1</v>
      </c>
    </row>
    <row r="20" spans="1:5" x14ac:dyDescent="0.15">
      <c r="A20" s="66" t="s">
        <v>165</v>
      </c>
      <c r="B20" s="66" t="s">
        <v>166</v>
      </c>
      <c r="C20" s="66" t="s">
        <v>133</v>
      </c>
      <c r="D20" s="66" t="str">
        <f t="shared" si="0"/>
        <v>0019</v>
      </c>
      <c r="E20" s="66">
        <f t="shared" si="1"/>
        <v>1</v>
      </c>
    </row>
    <row r="21" spans="1:5" x14ac:dyDescent="0.15">
      <c r="A21" s="66" t="s">
        <v>167</v>
      </c>
      <c r="B21" s="66" t="s">
        <v>168</v>
      </c>
      <c r="C21" s="66" t="s">
        <v>133</v>
      </c>
      <c r="D21" s="66" t="str">
        <f t="shared" si="0"/>
        <v>0020</v>
      </c>
      <c r="E21" s="66">
        <f t="shared" si="1"/>
        <v>1</v>
      </c>
    </row>
    <row r="22" spans="1:5" x14ac:dyDescent="0.15">
      <c r="A22" s="66" t="s">
        <v>169</v>
      </c>
      <c r="B22" s="66" t="s">
        <v>170</v>
      </c>
      <c r="C22" s="66" t="s">
        <v>133</v>
      </c>
      <c r="D22" s="66" t="str">
        <f t="shared" si="0"/>
        <v>0021</v>
      </c>
      <c r="E22" s="66">
        <f t="shared" si="1"/>
        <v>1</v>
      </c>
    </row>
    <row r="23" spans="1:5" x14ac:dyDescent="0.15">
      <c r="A23" s="66" t="s">
        <v>171</v>
      </c>
      <c r="B23" s="66" t="s">
        <v>172</v>
      </c>
      <c r="C23" s="66" t="s">
        <v>133</v>
      </c>
      <c r="D23" s="66" t="str">
        <f t="shared" si="0"/>
        <v>0022</v>
      </c>
      <c r="E23" s="66">
        <f t="shared" si="1"/>
        <v>1</v>
      </c>
    </row>
    <row r="24" spans="1:5" x14ac:dyDescent="0.15">
      <c r="A24" s="66" t="s">
        <v>104</v>
      </c>
      <c r="B24" s="66" t="s">
        <v>173</v>
      </c>
      <c r="C24" s="66" t="s">
        <v>133</v>
      </c>
      <c r="D24" s="66" t="str">
        <f t="shared" si="0"/>
        <v>0023</v>
      </c>
      <c r="E24" s="66">
        <f t="shared" si="1"/>
        <v>1</v>
      </c>
    </row>
    <row r="25" spans="1:5" x14ac:dyDescent="0.15">
      <c r="A25" s="66" t="s">
        <v>174</v>
      </c>
      <c r="B25" s="66" t="s">
        <v>175</v>
      </c>
      <c r="C25" s="66" t="s">
        <v>133</v>
      </c>
      <c r="D25" s="66" t="str">
        <f t="shared" si="0"/>
        <v>0024</v>
      </c>
      <c r="E25" s="66">
        <f t="shared" si="1"/>
        <v>1</v>
      </c>
    </row>
    <row r="26" spans="1:5" x14ac:dyDescent="0.15">
      <c r="A26" s="66" t="s">
        <v>176</v>
      </c>
      <c r="B26" s="66" t="s">
        <v>177</v>
      </c>
      <c r="C26" s="66" t="s">
        <v>133</v>
      </c>
      <c r="D26" s="66" t="str">
        <f t="shared" si="0"/>
        <v>0025</v>
      </c>
      <c r="E26" s="66">
        <f t="shared" si="1"/>
        <v>1</v>
      </c>
    </row>
    <row r="27" spans="1:5" x14ac:dyDescent="0.15">
      <c r="A27" s="66" t="s">
        <v>178</v>
      </c>
      <c r="B27" s="66" t="s">
        <v>179</v>
      </c>
      <c r="C27" s="66" t="s">
        <v>133</v>
      </c>
      <c r="D27" s="66" t="str">
        <f t="shared" si="0"/>
        <v>0026</v>
      </c>
      <c r="E27" s="66">
        <f t="shared" si="1"/>
        <v>1</v>
      </c>
    </row>
    <row r="28" spans="1:5" x14ac:dyDescent="0.15">
      <c r="A28" s="66" t="s">
        <v>180</v>
      </c>
      <c r="B28" s="66" t="s">
        <v>181</v>
      </c>
      <c r="C28" s="66" t="s">
        <v>133</v>
      </c>
      <c r="D28" s="66" t="str">
        <f t="shared" si="0"/>
        <v>0027</v>
      </c>
      <c r="E28" s="66">
        <f t="shared" si="1"/>
        <v>1</v>
      </c>
    </row>
    <row r="29" spans="1:5" x14ac:dyDescent="0.15">
      <c r="A29" s="66" t="s">
        <v>182</v>
      </c>
      <c r="B29" s="66" t="s">
        <v>183</v>
      </c>
      <c r="C29" s="66" t="s">
        <v>133</v>
      </c>
      <c r="D29" s="66" t="str">
        <f t="shared" si="0"/>
        <v>0028</v>
      </c>
      <c r="E29" s="66">
        <f t="shared" si="1"/>
        <v>1</v>
      </c>
    </row>
    <row r="30" spans="1:5" x14ac:dyDescent="0.15">
      <c r="A30" s="66" t="s">
        <v>184</v>
      </c>
      <c r="B30" s="66" t="s">
        <v>185</v>
      </c>
      <c r="C30" s="66" t="s">
        <v>131</v>
      </c>
      <c r="D30" s="66" t="str">
        <f t="shared" si="0"/>
        <v>0029</v>
      </c>
      <c r="E30" s="66">
        <f t="shared" si="1"/>
        <v>1</v>
      </c>
    </row>
    <row r="31" spans="1:5" x14ac:dyDescent="0.15">
      <c r="A31" s="66" t="s">
        <v>186</v>
      </c>
      <c r="B31" s="66" t="s">
        <v>187</v>
      </c>
      <c r="C31" s="66" t="s">
        <v>133</v>
      </c>
      <c r="D31" s="66" t="str">
        <f t="shared" si="0"/>
        <v>0030</v>
      </c>
      <c r="E31" s="66">
        <f t="shared" si="1"/>
        <v>1</v>
      </c>
    </row>
    <row r="32" spans="1:5" x14ac:dyDescent="0.15">
      <c r="A32" s="66" t="s">
        <v>94</v>
      </c>
      <c r="B32" s="66" t="s">
        <v>188</v>
      </c>
      <c r="C32" s="66" t="s">
        <v>133</v>
      </c>
      <c r="D32" s="66" t="str">
        <f t="shared" si="0"/>
        <v>0031</v>
      </c>
      <c r="E32" s="66">
        <f t="shared" si="1"/>
        <v>2</v>
      </c>
    </row>
    <row r="33" spans="1:5" x14ac:dyDescent="0.15">
      <c r="A33" s="66" t="s">
        <v>189</v>
      </c>
      <c r="B33" s="66" t="s">
        <v>190</v>
      </c>
      <c r="C33" s="66" t="s">
        <v>131</v>
      </c>
      <c r="D33" s="66" t="str">
        <f t="shared" si="0"/>
        <v>0032</v>
      </c>
      <c r="E33" s="66">
        <f t="shared" si="1"/>
        <v>1</v>
      </c>
    </row>
    <row r="34" spans="1:5" x14ac:dyDescent="0.15">
      <c r="A34" s="66" t="s">
        <v>70</v>
      </c>
      <c r="B34" s="66" t="s">
        <v>191</v>
      </c>
      <c r="C34" s="66" t="s">
        <v>133</v>
      </c>
      <c r="D34" s="66" t="str">
        <f t="shared" si="0"/>
        <v>0033</v>
      </c>
      <c r="E34" s="66">
        <f t="shared" si="1"/>
        <v>1</v>
      </c>
    </row>
    <row r="35" spans="1:5" x14ac:dyDescent="0.15">
      <c r="A35" s="66" t="s">
        <v>192</v>
      </c>
      <c r="B35" s="66" t="s">
        <v>193</v>
      </c>
      <c r="C35" s="66" t="s">
        <v>133</v>
      </c>
      <c r="D35" s="66" t="str">
        <f t="shared" si="0"/>
        <v>0034</v>
      </c>
      <c r="E35" s="66">
        <f t="shared" si="1"/>
        <v>1</v>
      </c>
    </row>
    <row r="36" spans="1:5" x14ac:dyDescent="0.15">
      <c r="A36" s="66" t="s">
        <v>194</v>
      </c>
      <c r="B36" s="66" t="s">
        <v>195</v>
      </c>
      <c r="C36" s="66" t="s">
        <v>133</v>
      </c>
      <c r="D36" s="66" t="str">
        <f t="shared" si="0"/>
        <v>0035</v>
      </c>
      <c r="E36" s="66">
        <f t="shared" si="1"/>
        <v>1</v>
      </c>
    </row>
    <row r="37" spans="1:5" x14ac:dyDescent="0.15">
      <c r="A37" s="66" t="s">
        <v>196</v>
      </c>
      <c r="B37" s="66" t="s">
        <v>197</v>
      </c>
      <c r="C37" s="66" t="s">
        <v>133</v>
      </c>
      <c r="D37" s="66" t="str">
        <f t="shared" si="0"/>
        <v>0036</v>
      </c>
      <c r="E37" s="66">
        <f t="shared" si="1"/>
        <v>1</v>
      </c>
    </row>
    <row r="38" spans="1:5" x14ac:dyDescent="0.15">
      <c r="A38" s="66" t="s">
        <v>198</v>
      </c>
      <c r="B38" s="66" t="s">
        <v>199</v>
      </c>
      <c r="C38" s="66" t="s">
        <v>133</v>
      </c>
      <c r="D38" s="66" t="str">
        <f t="shared" si="0"/>
        <v>0037</v>
      </c>
      <c r="E38" s="66">
        <f t="shared" si="1"/>
        <v>1</v>
      </c>
    </row>
    <row r="39" spans="1:5" x14ac:dyDescent="0.15">
      <c r="A39" s="66" t="s">
        <v>200</v>
      </c>
      <c r="B39" s="66" t="s">
        <v>201</v>
      </c>
      <c r="C39" s="66" t="s">
        <v>133</v>
      </c>
      <c r="D39" s="66" t="str">
        <f t="shared" si="0"/>
        <v>0038</v>
      </c>
      <c r="E39" s="66">
        <f t="shared" si="1"/>
        <v>1</v>
      </c>
    </row>
    <row r="40" spans="1:5" x14ac:dyDescent="0.15">
      <c r="A40" s="66" t="s">
        <v>202</v>
      </c>
      <c r="B40" s="66" t="s">
        <v>203</v>
      </c>
      <c r="C40" s="66" t="s">
        <v>133</v>
      </c>
      <c r="D40" s="66" t="str">
        <f t="shared" si="0"/>
        <v>0039</v>
      </c>
      <c r="E40" s="66">
        <f t="shared" si="1"/>
        <v>1</v>
      </c>
    </row>
    <row r="41" spans="1:5" x14ac:dyDescent="0.15">
      <c r="A41" s="66" t="s">
        <v>204</v>
      </c>
      <c r="B41" s="66" t="s">
        <v>205</v>
      </c>
      <c r="C41" s="66" t="s">
        <v>133</v>
      </c>
      <c r="D41" s="66" t="str">
        <f t="shared" si="0"/>
        <v>0040</v>
      </c>
      <c r="E41" s="66">
        <f t="shared" si="1"/>
        <v>1</v>
      </c>
    </row>
    <row r="42" spans="1:5" x14ac:dyDescent="0.15">
      <c r="A42" s="66" t="s">
        <v>206</v>
      </c>
      <c r="B42" s="66" t="s">
        <v>207</v>
      </c>
      <c r="C42" s="66" t="s">
        <v>86</v>
      </c>
      <c r="D42" s="66" t="str">
        <f t="shared" si="0"/>
        <v>0041</v>
      </c>
      <c r="E42" s="66">
        <f t="shared" si="1"/>
        <v>1</v>
      </c>
    </row>
    <row r="43" spans="1:5" x14ac:dyDescent="0.15">
      <c r="A43" s="66" t="s">
        <v>208</v>
      </c>
      <c r="B43" s="66" t="s">
        <v>209</v>
      </c>
      <c r="C43" s="66" t="s">
        <v>86</v>
      </c>
      <c r="D43" s="66" t="str">
        <f t="shared" si="0"/>
        <v>0042</v>
      </c>
      <c r="E43" s="66">
        <f t="shared" si="1"/>
        <v>1</v>
      </c>
    </row>
    <row r="44" spans="1:5" x14ac:dyDescent="0.15">
      <c r="A44" s="66" t="s">
        <v>210</v>
      </c>
      <c r="B44" s="66" t="s">
        <v>211</v>
      </c>
      <c r="C44" s="66" t="s">
        <v>131</v>
      </c>
      <c r="D44" s="66" t="str">
        <f t="shared" si="0"/>
        <v>0043</v>
      </c>
      <c r="E44" s="66">
        <f t="shared" si="1"/>
        <v>1</v>
      </c>
    </row>
    <row r="45" spans="1:5" x14ac:dyDescent="0.15">
      <c r="A45" s="66" t="s">
        <v>212</v>
      </c>
      <c r="B45" s="66" t="s">
        <v>213</v>
      </c>
      <c r="C45" s="66" t="s">
        <v>86</v>
      </c>
      <c r="D45" s="66" t="str">
        <f t="shared" si="0"/>
        <v>0044</v>
      </c>
      <c r="E45" s="66">
        <f t="shared" si="1"/>
        <v>1</v>
      </c>
    </row>
    <row r="46" spans="1:5" x14ac:dyDescent="0.15">
      <c r="A46" s="66" t="s">
        <v>85</v>
      </c>
      <c r="B46" s="66" t="s">
        <v>214</v>
      </c>
      <c r="C46" s="66" t="s">
        <v>86</v>
      </c>
      <c r="D46" s="66" t="str">
        <f t="shared" si="0"/>
        <v>0045</v>
      </c>
      <c r="E46" s="66">
        <f t="shared" si="1"/>
        <v>1</v>
      </c>
    </row>
    <row r="47" spans="1:5" x14ac:dyDescent="0.15">
      <c r="A47" s="66" t="s">
        <v>215</v>
      </c>
      <c r="B47" s="66" t="s">
        <v>216</v>
      </c>
      <c r="C47" s="66" t="s">
        <v>86</v>
      </c>
      <c r="D47" s="66" t="str">
        <f t="shared" si="0"/>
        <v>0046</v>
      </c>
      <c r="E47" s="66">
        <f t="shared" si="1"/>
        <v>1</v>
      </c>
    </row>
    <row r="48" spans="1:5" x14ac:dyDescent="0.15">
      <c r="A48" s="66" t="s">
        <v>217</v>
      </c>
      <c r="B48" s="66" t="s">
        <v>218</v>
      </c>
      <c r="C48" s="66" t="s">
        <v>86</v>
      </c>
      <c r="D48" s="66" t="str">
        <f t="shared" si="0"/>
        <v>0047</v>
      </c>
      <c r="E48" s="66">
        <f t="shared" si="1"/>
        <v>1</v>
      </c>
    </row>
    <row r="49" spans="1:5" x14ac:dyDescent="0.15">
      <c r="A49" s="66" t="s">
        <v>219</v>
      </c>
      <c r="B49" s="66" t="s">
        <v>220</v>
      </c>
      <c r="C49" s="66" t="s">
        <v>86</v>
      </c>
      <c r="D49" s="66" t="str">
        <f t="shared" si="0"/>
        <v>0048</v>
      </c>
      <c r="E49" s="66">
        <f t="shared" si="1"/>
        <v>1</v>
      </c>
    </row>
    <row r="50" spans="1:5" x14ac:dyDescent="0.15">
      <c r="A50" s="66" t="s">
        <v>221</v>
      </c>
      <c r="B50" s="66" t="s">
        <v>222</v>
      </c>
      <c r="C50" s="66" t="s">
        <v>86</v>
      </c>
      <c r="D50" s="66" t="str">
        <f t="shared" si="0"/>
        <v>0049</v>
      </c>
      <c r="E50" s="66">
        <f t="shared" si="1"/>
        <v>1</v>
      </c>
    </row>
    <row r="51" spans="1:5" x14ac:dyDescent="0.15">
      <c r="A51" s="66" t="s">
        <v>223</v>
      </c>
      <c r="B51" s="66" t="s">
        <v>224</v>
      </c>
      <c r="C51" s="66" t="s">
        <v>86</v>
      </c>
      <c r="D51" s="66" t="str">
        <f t="shared" si="0"/>
        <v>0050</v>
      </c>
      <c r="E51" s="66">
        <f t="shared" si="1"/>
        <v>1</v>
      </c>
    </row>
    <row r="52" spans="1:5" x14ac:dyDescent="0.15">
      <c r="A52" s="66" t="s">
        <v>225</v>
      </c>
      <c r="B52" s="66" t="s">
        <v>226</v>
      </c>
      <c r="C52" s="66" t="s">
        <v>67</v>
      </c>
      <c r="D52" s="66" t="str">
        <f t="shared" si="0"/>
        <v>0051</v>
      </c>
      <c r="E52" s="66">
        <f t="shared" si="1"/>
        <v>1</v>
      </c>
    </row>
    <row r="53" spans="1:5" x14ac:dyDescent="0.15">
      <c r="A53" s="66" t="s">
        <v>227</v>
      </c>
      <c r="B53" s="66" t="s">
        <v>228</v>
      </c>
      <c r="C53" s="66" t="s">
        <v>86</v>
      </c>
      <c r="D53" s="66" t="str">
        <f t="shared" si="0"/>
        <v>0052</v>
      </c>
      <c r="E53" s="66">
        <f t="shared" si="1"/>
        <v>1</v>
      </c>
    </row>
    <row r="54" spans="1:5" x14ac:dyDescent="0.15">
      <c r="A54" s="66" t="s">
        <v>229</v>
      </c>
      <c r="B54" s="66" t="s">
        <v>230</v>
      </c>
      <c r="C54" s="66" t="s">
        <v>86</v>
      </c>
      <c r="D54" s="66" t="str">
        <f t="shared" si="0"/>
        <v>0053</v>
      </c>
      <c r="E54" s="66">
        <f t="shared" si="1"/>
        <v>1</v>
      </c>
    </row>
    <row r="55" spans="1:5" x14ac:dyDescent="0.15">
      <c r="A55" s="66" t="s">
        <v>231</v>
      </c>
      <c r="B55" s="66" t="s">
        <v>232</v>
      </c>
      <c r="C55" s="66" t="s">
        <v>86</v>
      </c>
      <c r="D55" s="66" t="str">
        <f t="shared" si="0"/>
        <v>0054</v>
      </c>
      <c r="E55" s="66">
        <f t="shared" si="1"/>
        <v>1</v>
      </c>
    </row>
    <row r="56" spans="1:5" x14ac:dyDescent="0.15">
      <c r="A56" s="66" t="s">
        <v>233</v>
      </c>
      <c r="B56" s="66" t="s">
        <v>234</v>
      </c>
      <c r="C56" s="66" t="s">
        <v>86</v>
      </c>
      <c r="D56" s="66" t="str">
        <f t="shared" si="0"/>
        <v>0055</v>
      </c>
      <c r="E56" s="66">
        <f t="shared" si="1"/>
        <v>1</v>
      </c>
    </row>
    <row r="57" spans="1:5" x14ac:dyDescent="0.15">
      <c r="A57" s="66" t="s">
        <v>235</v>
      </c>
      <c r="B57" s="66" t="s">
        <v>236</v>
      </c>
      <c r="C57" s="66" t="s">
        <v>86</v>
      </c>
      <c r="D57" s="66" t="str">
        <f t="shared" si="0"/>
        <v>0056</v>
      </c>
      <c r="E57" s="66">
        <f t="shared" si="1"/>
        <v>1</v>
      </c>
    </row>
    <row r="58" spans="1:5" x14ac:dyDescent="0.15">
      <c r="A58" s="66" t="s">
        <v>237</v>
      </c>
      <c r="B58" s="66" t="s">
        <v>238</v>
      </c>
      <c r="C58" s="66" t="s">
        <v>86</v>
      </c>
      <c r="D58" s="66" t="str">
        <f t="shared" si="0"/>
        <v>0057</v>
      </c>
      <c r="E58" s="66">
        <f t="shared" si="1"/>
        <v>1</v>
      </c>
    </row>
    <row r="59" spans="1:5" x14ac:dyDescent="0.15">
      <c r="A59" s="66" t="s">
        <v>239</v>
      </c>
      <c r="B59" s="66" t="s">
        <v>240</v>
      </c>
      <c r="C59" s="66" t="s">
        <v>86</v>
      </c>
      <c r="D59" s="66" t="str">
        <f t="shared" si="0"/>
        <v>0058</v>
      </c>
      <c r="E59" s="66">
        <f t="shared" si="1"/>
        <v>1</v>
      </c>
    </row>
    <row r="60" spans="1:5" x14ac:dyDescent="0.15">
      <c r="A60" s="66" t="s">
        <v>241</v>
      </c>
      <c r="B60" s="66" t="s">
        <v>242</v>
      </c>
      <c r="C60" s="66" t="s">
        <v>67</v>
      </c>
      <c r="D60" s="66" t="str">
        <f t="shared" si="0"/>
        <v>0059</v>
      </c>
      <c r="E60" s="66">
        <f t="shared" si="1"/>
        <v>1</v>
      </c>
    </row>
    <row r="61" spans="1:5" x14ac:dyDescent="0.15">
      <c r="A61" s="66" t="s">
        <v>243</v>
      </c>
      <c r="B61" s="66" t="s">
        <v>244</v>
      </c>
      <c r="C61" s="66" t="s">
        <v>245</v>
      </c>
      <c r="D61" s="66" t="str">
        <f t="shared" si="0"/>
        <v>0060</v>
      </c>
      <c r="E61" s="66">
        <f t="shared" si="1"/>
        <v>1</v>
      </c>
    </row>
    <row r="62" spans="1:5" x14ac:dyDescent="0.15">
      <c r="A62" s="66" t="s">
        <v>246</v>
      </c>
      <c r="B62" s="66" t="s">
        <v>247</v>
      </c>
      <c r="C62" s="66" t="s">
        <v>86</v>
      </c>
      <c r="D62" s="66" t="str">
        <f t="shared" si="0"/>
        <v>0061</v>
      </c>
      <c r="E62" s="66">
        <f t="shared" si="1"/>
        <v>1</v>
      </c>
    </row>
    <row r="63" spans="1:5" x14ac:dyDescent="0.15">
      <c r="A63" s="66" t="s">
        <v>248</v>
      </c>
      <c r="B63" s="66" t="s">
        <v>249</v>
      </c>
      <c r="C63" s="66" t="s">
        <v>86</v>
      </c>
      <c r="D63" s="66" t="str">
        <f t="shared" si="0"/>
        <v>0062</v>
      </c>
      <c r="E63" s="66">
        <f t="shared" si="1"/>
        <v>1</v>
      </c>
    </row>
    <row r="64" spans="1:5" x14ac:dyDescent="0.15">
      <c r="A64" s="66" t="s">
        <v>250</v>
      </c>
      <c r="B64" s="66" t="s">
        <v>251</v>
      </c>
      <c r="C64" s="66" t="s">
        <v>86</v>
      </c>
      <c r="D64" s="66" t="str">
        <f t="shared" si="0"/>
        <v>0063</v>
      </c>
      <c r="E64" s="66">
        <f t="shared" si="1"/>
        <v>1</v>
      </c>
    </row>
    <row r="65" spans="1:5" x14ac:dyDescent="0.15">
      <c r="A65" s="66" t="s">
        <v>74</v>
      </c>
      <c r="B65" s="66" t="s">
        <v>252</v>
      </c>
      <c r="C65" s="66" t="s">
        <v>67</v>
      </c>
      <c r="D65" s="66" t="str">
        <f t="shared" si="0"/>
        <v>0064</v>
      </c>
      <c r="E65" s="66">
        <f t="shared" si="1"/>
        <v>1</v>
      </c>
    </row>
    <row r="66" spans="1:5" x14ac:dyDescent="0.15">
      <c r="A66" s="66" t="s">
        <v>253</v>
      </c>
      <c r="B66" s="66" t="s">
        <v>254</v>
      </c>
      <c r="C66" s="66" t="s">
        <v>86</v>
      </c>
      <c r="D66" s="66" t="str">
        <f t="shared" ref="D66:D129" si="2">A66</f>
        <v>0065</v>
      </c>
      <c r="E66" s="66">
        <f t="shared" ref="E66:E129" si="3">COUNTIFS(B:B,B66)</f>
        <v>1</v>
      </c>
    </row>
    <row r="67" spans="1:5" x14ac:dyDescent="0.15">
      <c r="A67" s="66" t="s">
        <v>255</v>
      </c>
      <c r="B67" s="66" t="s">
        <v>256</v>
      </c>
      <c r="C67" s="66" t="s">
        <v>86</v>
      </c>
      <c r="D67" s="66" t="str">
        <f t="shared" si="2"/>
        <v>0066</v>
      </c>
      <c r="E67" s="66">
        <f t="shared" si="3"/>
        <v>1</v>
      </c>
    </row>
    <row r="68" spans="1:5" x14ac:dyDescent="0.15">
      <c r="A68" s="66" t="s">
        <v>257</v>
      </c>
      <c r="B68" s="66" t="s">
        <v>258</v>
      </c>
      <c r="C68" s="66" t="s">
        <v>86</v>
      </c>
      <c r="D68" s="66" t="str">
        <f t="shared" si="2"/>
        <v>0067</v>
      </c>
      <c r="E68" s="66">
        <f t="shared" si="3"/>
        <v>1</v>
      </c>
    </row>
    <row r="69" spans="1:5" x14ac:dyDescent="0.15">
      <c r="A69" s="66" t="s">
        <v>259</v>
      </c>
      <c r="B69" s="66" t="s">
        <v>260</v>
      </c>
      <c r="C69" s="66" t="s">
        <v>86</v>
      </c>
      <c r="D69" s="66" t="str">
        <f t="shared" si="2"/>
        <v>0068</v>
      </c>
      <c r="E69" s="66">
        <f t="shared" si="3"/>
        <v>1</v>
      </c>
    </row>
    <row r="70" spans="1:5" x14ac:dyDescent="0.15">
      <c r="A70" s="66" t="s">
        <v>78</v>
      </c>
      <c r="B70" s="66" t="s">
        <v>261</v>
      </c>
      <c r="C70" s="66" t="s">
        <v>86</v>
      </c>
      <c r="D70" s="66" t="str">
        <f t="shared" si="2"/>
        <v>0069</v>
      </c>
      <c r="E70" s="66">
        <f t="shared" si="3"/>
        <v>1</v>
      </c>
    </row>
    <row r="71" spans="1:5" x14ac:dyDescent="0.15">
      <c r="A71" s="66" t="s">
        <v>262</v>
      </c>
      <c r="B71" s="66" t="s">
        <v>263</v>
      </c>
      <c r="C71" s="66" t="s">
        <v>86</v>
      </c>
      <c r="D71" s="66" t="str">
        <f t="shared" si="2"/>
        <v>0070</v>
      </c>
      <c r="E71" s="66">
        <f t="shared" si="3"/>
        <v>1</v>
      </c>
    </row>
    <row r="72" spans="1:5" x14ac:dyDescent="0.15">
      <c r="A72" s="66" t="s">
        <v>264</v>
      </c>
      <c r="B72" s="66" t="s">
        <v>265</v>
      </c>
      <c r="C72" s="66" t="s">
        <v>86</v>
      </c>
      <c r="D72" s="66" t="str">
        <f t="shared" si="2"/>
        <v>0071</v>
      </c>
      <c r="E72" s="66">
        <f t="shared" si="3"/>
        <v>1</v>
      </c>
    </row>
    <row r="73" spans="1:5" x14ac:dyDescent="0.15">
      <c r="A73" s="66" t="s">
        <v>266</v>
      </c>
      <c r="B73" s="66" t="s">
        <v>267</v>
      </c>
      <c r="C73" s="66" t="s">
        <v>268</v>
      </c>
      <c r="D73" s="66" t="str">
        <f t="shared" si="2"/>
        <v>0072</v>
      </c>
      <c r="E73" s="66">
        <f t="shared" si="3"/>
        <v>1</v>
      </c>
    </row>
    <row r="74" spans="1:5" x14ac:dyDescent="0.15">
      <c r="A74" s="66" t="s">
        <v>269</v>
      </c>
      <c r="B74" s="66" t="s">
        <v>270</v>
      </c>
      <c r="C74" s="66" t="s">
        <v>268</v>
      </c>
      <c r="D74" s="66" t="str">
        <f t="shared" si="2"/>
        <v>0073</v>
      </c>
      <c r="E74" s="66">
        <f t="shared" si="3"/>
        <v>1</v>
      </c>
    </row>
    <row r="75" spans="1:5" x14ac:dyDescent="0.15">
      <c r="A75" s="66" t="s">
        <v>271</v>
      </c>
      <c r="B75" s="66" t="s">
        <v>272</v>
      </c>
      <c r="C75" s="66" t="s">
        <v>268</v>
      </c>
      <c r="D75" s="66" t="str">
        <f t="shared" si="2"/>
        <v>0074</v>
      </c>
      <c r="E75" s="66">
        <f t="shared" si="3"/>
        <v>1</v>
      </c>
    </row>
    <row r="76" spans="1:5" x14ac:dyDescent="0.15">
      <c r="A76" s="66" t="s">
        <v>273</v>
      </c>
      <c r="B76" s="66" t="s">
        <v>274</v>
      </c>
      <c r="C76" s="66" t="s">
        <v>268</v>
      </c>
      <c r="D76" s="66" t="str">
        <f t="shared" si="2"/>
        <v>0075</v>
      </c>
      <c r="E76" s="66">
        <f t="shared" si="3"/>
        <v>1</v>
      </c>
    </row>
    <row r="77" spans="1:5" x14ac:dyDescent="0.15">
      <c r="A77" s="66" t="s">
        <v>275</v>
      </c>
      <c r="B77" s="66" t="s">
        <v>276</v>
      </c>
      <c r="C77" s="66" t="s">
        <v>277</v>
      </c>
      <c r="D77" s="66" t="str">
        <f t="shared" si="2"/>
        <v>0076</v>
      </c>
      <c r="E77" s="66">
        <f t="shared" si="3"/>
        <v>1</v>
      </c>
    </row>
    <row r="78" spans="1:5" x14ac:dyDescent="0.15">
      <c r="A78" s="66" t="s">
        <v>278</v>
      </c>
      <c r="B78" s="66" t="s">
        <v>279</v>
      </c>
      <c r="C78" s="66" t="s">
        <v>277</v>
      </c>
      <c r="D78" s="66" t="str">
        <f t="shared" si="2"/>
        <v>0077</v>
      </c>
      <c r="E78" s="66">
        <f t="shared" si="3"/>
        <v>1</v>
      </c>
    </row>
    <row r="79" spans="1:5" x14ac:dyDescent="0.15">
      <c r="A79" s="66" t="s">
        <v>280</v>
      </c>
      <c r="B79" s="66" t="s">
        <v>281</v>
      </c>
      <c r="C79" s="66" t="s">
        <v>86</v>
      </c>
      <c r="D79" s="66" t="str">
        <f t="shared" si="2"/>
        <v>0078</v>
      </c>
      <c r="E79" s="66">
        <f t="shared" si="3"/>
        <v>1</v>
      </c>
    </row>
    <row r="80" spans="1:5" x14ac:dyDescent="0.15">
      <c r="A80" s="66" t="s">
        <v>282</v>
      </c>
      <c r="B80" s="66" t="s">
        <v>283</v>
      </c>
      <c r="C80" s="66" t="s">
        <v>86</v>
      </c>
      <c r="D80" s="66" t="str">
        <f t="shared" si="2"/>
        <v>0079</v>
      </c>
      <c r="E80" s="66">
        <f t="shared" si="3"/>
        <v>1</v>
      </c>
    </row>
    <row r="81" spans="1:5" x14ac:dyDescent="0.15">
      <c r="A81" s="66" t="s">
        <v>284</v>
      </c>
      <c r="B81" s="66" t="s">
        <v>285</v>
      </c>
      <c r="C81" s="66" t="s">
        <v>140</v>
      </c>
      <c r="D81" s="66" t="str">
        <f t="shared" si="2"/>
        <v>0080</v>
      </c>
      <c r="E81" s="66">
        <f t="shared" si="3"/>
        <v>2</v>
      </c>
    </row>
    <row r="82" spans="1:5" x14ac:dyDescent="0.15">
      <c r="A82" s="66" t="s">
        <v>286</v>
      </c>
      <c r="B82" s="66" t="s">
        <v>287</v>
      </c>
      <c r="C82" s="66" t="s">
        <v>140</v>
      </c>
      <c r="D82" s="66" t="str">
        <f t="shared" si="2"/>
        <v>0081</v>
      </c>
      <c r="E82" s="66">
        <f t="shared" si="3"/>
        <v>1</v>
      </c>
    </row>
    <row r="83" spans="1:5" x14ac:dyDescent="0.15">
      <c r="A83" s="66" t="s">
        <v>288</v>
      </c>
      <c r="B83" s="66" t="s">
        <v>289</v>
      </c>
      <c r="C83" s="66" t="s">
        <v>140</v>
      </c>
      <c r="D83" s="66" t="str">
        <f t="shared" si="2"/>
        <v>0082</v>
      </c>
      <c r="E83" s="66">
        <f t="shared" si="3"/>
        <v>1</v>
      </c>
    </row>
    <row r="84" spans="1:5" x14ac:dyDescent="0.15">
      <c r="A84" s="66" t="s">
        <v>290</v>
      </c>
      <c r="B84" s="66" t="s">
        <v>291</v>
      </c>
      <c r="C84" s="66" t="s">
        <v>67</v>
      </c>
      <c r="D84" s="66" t="str">
        <f t="shared" si="2"/>
        <v>0083</v>
      </c>
      <c r="E84" s="66">
        <f t="shared" si="3"/>
        <v>1</v>
      </c>
    </row>
    <row r="85" spans="1:5" x14ac:dyDescent="0.15">
      <c r="A85" s="66" t="s">
        <v>292</v>
      </c>
      <c r="B85" s="66" t="s">
        <v>293</v>
      </c>
      <c r="C85" s="66" t="s">
        <v>140</v>
      </c>
      <c r="D85" s="66" t="str">
        <f t="shared" si="2"/>
        <v>0084</v>
      </c>
      <c r="E85" s="66">
        <f t="shared" si="3"/>
        <v>1</v>
      </c>
    </row>
    <row r="86" spans="1:5" x14ac:dyDescent="0.15">
      <c r="A86" s="66" t="s">
        <v>89</v>
      </c>
      <c r="B86" s="66" t="s">
        <v>294</v>
      </c>
      <c r="C86" s="66" t="s">
        <v>140</v>
      </c>
      <c r="D86" s="66" t="str">
        <f t="shared" si="2"/>
        <v>0085</v>
      </c>
      <c r="E86" s="66">
        <f t="shared" si="3"/>
        <v>1</v>
      </c>
    </row>
    <row r="87" spans="1:5" x14ac:dyDescent="0.15">
      <c r="A87" s="66" t="s">
        <v>295</v>
      </c>
      <c r="B87" s="66" t="s">
        <v>296</v>
      </c>
      <c r="C87" s="66" t="s">
        <v>140</v>
      </c>
      <c r="D87" s="66" t="str">
        <f t="shared" si="2"/>
        <v>0086</v>
      </c>
      <c r="E87" s="66">
        <f t="shared" si="3"/>
        <v>1</v>
      </c>
    </row>
    <row r="88" spans="1:5" x14ac:dyDescent="0.15">
      <c r="A88" s="66" t="s">
        <v>297</v>
      </c>
      <c r="B88" s="66" t="s">
        <v>298</v>
      </c>
      <c r="C88" s="66" t="s">
        <v>140</v>
      </c>
      <c r="D88" s="66" t="str">
        <f t="shared" si="2"/>
        <v>0087</v>
      </c>
      <c r="E88" s="66">
        <f t="shared" si="3"/>
        <v>1</v>
      </c>
    </row>
    <row r="89" spans="1:5" x14ac:dyDescent="0.15">
      <c r="A89" s="66" t="s">
        <v>299</v>
      </c>
      <c r="B89" s="66" t="s">
        <v>300</v>
      </c>
      <c r="C89" s="66" t="s">
        <v>140</v>
      </c>
      <c r="D89" s="66" t="str">
        <f t="shared" si="2"/>
        <v>0088</v>
      </c>
      <c r="E89" s="66">
        <f t="shared" si="3"/>
        <v>1</v>
      </c>
    </row>
    <row r="90" spans="1:5" x14ac:dyDescent="0.15">
      <c r="A90" s="66" t="s">
        <v>301</v>
      </c>
      <c r="B90" s="66" t="s">
        <v>302</v>
      </c>
      <c r="C90" s="66" t="s">
        <v>140</v>
      </c>
      <c r="D90" s="66" t="str">
        <f t="shared" si="2"/>
        <v>0089</v>
      </c>
      <c r="E90" s="66">
        <f t="shared" si="3"/>
        <v>1</v>
      </c>
    </row>
    <row r="91" spans="1:5" x14ac:dyDescent="0.15">
      <c r="A91" s="66" t="s">
        <v>303</v>
      </c>
      <c r="B91" s="66" t="s">
        <v>304</v>
      </c>
      <c r="C91" s="66" t="s">
        <v>140</v>
      </c>
      <c r="D91" s="66" t="str">
        <f t="shared" si="2"/>
        <v>0090</v>
      </c>
      <c r="E91" s="66">
        <f t="shared" si="3"/>
        <v>1</v>
      </c>
    </row>
    <row r="92" spans="1:5" x14ac:dyDescent="0.15">
      <c r="A92" s="66" t="s">
        <v>305</v>
      </c>
      <c r="B92" s="66" t="s">
        <v>306</v>
      </c>
      <c r="C92" s="66" t="s">
        <v>140</v>
      </c>
      <c r="D92" s="66" t="str">
        <f t="shared" si="2"/>
        <v>0091</v>
      </c>
      <c r="E92" s="66">
        <f t="shared" si="3"/>
        <v>1</v>
      </c>
    </row>
    <row r="93" spans="1:5" x14ac:dyDescent="0.15">
      <c r="A93" s="66" t="s">
        <v>307</v>
      </c>
      <c r="B93" s="66" t="s">
        <v>308</v>
      </c>
      <c r="C93" s="66" t="s">
        <v>140</v>
      </c>
      <c r="D93" s="66" t="str">
        <f t="shared" si="2"/>
        <v>0092</v>
      </c>
      <c r="E93" s="66">
        <f t="shared" si="3"/>
        <v>1</v>
      </c>
    </row>
    <row r="94" spans="1:5" x14ac:dyDescent="0.15">
      <c r="A94" s="66" t="s">
        <v>309</v>
      </c>
      <c r="B94" s="66" t="s">
        <v>310</v>
      </c>
      <c r="C94" s="66" t="s">
        <v>67</v>
      </c>
      <c r="D94" s="66" t="str">
        <f t="shared" si="2"/>
        <v>0093</v>
      </c>
      <c r="E94" s="66">
        <f t="shared" si="3"/>
        <v>1</v>
      </c>
    </row>
    <row r="95" spans="1:5" x14ac:dyDescent="0.15">
      <c r="A95" s="66" t="s">
        <v>311</v>
      </c>
      <c r="B95" s="66" t="s">
        <v>312</v>
      </c>
      <c r="C95" s="66" t="s">
        <v>131</v>
      </c>
      <c r="D95" s="66" t="str">
        <f t="shared" si="2"/>
        <v>0094</v>
      </c>
      <c r="E95" s="66">
        <f t="shared" si="3"/>
        <v>1</v>
      </c>
    </row>
    <row r="96" spans="1:5" x14ac:dyDescent="0.15">
      <c r="A96" s="66" t="s">
        <v>313</v>
      </c>
      <c r="B96" s="66" t="s">
        <v>314</v>
      </c>
      <c r="C96" s="66" t="s">
        <v>140</v>
      </c>
      <c r="D96" s="66" t="str">
        <f t="shared" si="2"/>
        <v>0095</v>
      </c>
      <c r="E96" s="66">
        <f t="shared" si="3"/>
        <v>1</v>
      </c>
    </row>
    <row r="97" spans="1:5" x14ac:dyDescent="0.15">
      <c r="A97" s="66" t="s">
        <v>315</v>
      </c>
      <c r="B97" s="66" t="s">
        <v>316</v>
      </c>
      <c r="C97" s="66" t="s">
        <v>131</v>
      </c>
      <c r="D97" s="66" t="str">
        <f t="shared" si="2"/>
        <v>0096</v>
      </c>
      <c r="E97" s="66">
        <f t="shared" si="3"/>
        <v>1</v>
      </c>
    </row>
    <row r="98" spans="1:5" x14ac:dyDescent="0.15">
      <c r="A98" s="66" t="s">
        <v>66</v>
      </c>
      <c r="B98" s="66" t="s">
        <v>317</v>
      </c>
      <c r="C98" s="66" t="s">
        <v>131</v>
      </c>
      <c r="D98" s="66" t="str">
        <f t="shared" si="2"/>
        <v>0097</v>
      </c>
      <c r="E98" s="66">
        <f t="shared" si="3"/>
        <v>1</v>
      </c>
    </row>
    <row r="99" spans="1:5" x14ac:dyDescent="0.15">
      <c r="A99" s="66" t="s">
        <v>318</v>
      </c>
      <c r="B99" s="66" t="s">
        <v>319</v>
      </c>
      <c r="C99" s="66" t="s">
        <v>131</v>
      </c>
      <c r="D99" s="66" t="str">
        <f t="shared" si="2"/>
        <v>0098</v>
      </c>
      <c r="E99" s="66">
        <f t="shared" si="3"/>
        <v>1</v>
      </c>
    </row>
    <row r="100" spans="1:5" x14ac:dyDescent="0.15">
      <c r="A100" s="66" t="s">
        <v>320</v>
      </c>
      <c r="B100" s="66" t="s">
        <v>321</v>
      </c>
      <c r="C100" s="66" t="s">
        <v>131</v>
      </c>
      <c r="D100" s="66" t="str">
        <f t="shared" si="2"/>
        <v>0099</v>
      </c>
      <c r="E100" s="66">
        <f t="shared" si="3"/>
        <v>1</v>
      </c>
    </row>
    <row r="101" spans="1:5" x14ac:dyDescent="0.15">
      <c r="A101" s="66" t="s">
        <v>322</v>
      </c>
      <c r="B101" s="66" t="s">
        <v>323</v>
      </c>
      <c r="C101" s="66" t="s">
        <v>131</v>
      </c>
      <c r="D101" s="66" t="str">
        <f t="shared" si="2"/>
        <v>0100</v>
      </c>
      <c r="E101" s="66">
        <f t="shared" si="3"/>
        <v>1</v>
      </c>
    </row>
    <row r="102" spans="1:5" x14ac:dyDescent="0.15">
      <c r="A102" s="66" t="s">
        <v>324</v>
      </c>
      <c r="B102" s="66" t="s">
        <v>325</v>
      </c>
      <c r="C102" s="66" t="s">
        <v>131</v>
      </c>
      <c r="D102" s="66" t="str">
        <f t="shared" si="2"/>
        <v>0101</v>
      </c>
      <c r="E102" s="66">
        <f t="shared" si="3"/>
        <v>1</v>
      </c>
    </row>
    <row r="103" spans="1:5" x14ac:dyDescent="0.15">
      <c r="A103" s="66" t="s">
        <v>326</v>
      </c>
      <c r="B103" s="66" t="s">
        <v>327</v>
      </c>
      <c r="C103" s="66" t="s">
        <v>131</v>
      </c>
      <c r="D103" s="66" t="str">
        <f t="shared" si="2"/>
        <v>0102</v>
      </c>
      <c r="E103" s="66">
        <f t="shared" si="3"/>
        <v>1</v>
      </c>
    </row>
    <row r="104" spans="1:5" x14ac:dyDescent="0.15">
      <c r="A104" s="66" t="s">
        <v>328</v>
      </c>
      <c r="B104" s="66" t="s">
        <v>329</v>
      </c>
      <c r="C104" s="66" t="s">
        <v>268</v>
      </c>
      <c r="D104" s="66" t="str">
        <f t="shared" si="2"/>
        <v>0103</v>
      </c>
      <c r="E104" s="66">
        <f t="shared" si="3"/>
        <v>1</v>
      </c>
    </row>
    <row r="105" spans="1:5" x14ac:dyDescent="0.15">
      <c r="A105" s="66" t="s">
        <v>330</v>
      </c>
      <c r="B105" s="66" t="s">
        <v>331</v>
      </c>
      <c r="C105" s="66" t="s">
        <v>131</v>
      </c>
      <c r="D105" s="66" t="str">
        <f t="shared" si="2"/>
        <v>0104</v>
      </c>
      <c r="E105" s="66">
        <f t="shared" si="3"/>
        <v>1</v>
      </c>
    </row>
    <row r="106" spans="1:5" x14ac:dyDescent="0.15">
      <c r="A106" s="66" t="s">
        <v>332</v>
      </c>
      <c r="B106" s="66" t="s">
        <v>333</v>
      </c>
      <c r="C106" s="66" t="s">
        <v>131</v>
      </c>
      <c r="D106" s="66" t="str">
        <f t="shared" si="2"/>
        <v>0105</v>
      </c>
      <c r="E106" s="66">
        <f t="shared" si="3"/>
        <v>1</v>
      </c>
    </row>
    <row r="107" spans="1:5" x14ac:dyDescent="0.15">
      <c r="A107" s="66" t="s">
        <v>334</v>
      </c>
      <c r="B107" s="66" t="s">
        <v>335</v>
      </c>
      <c r="C107" s="66" t="s">
        <v>131</v>
      </c>
      <c r="D107" s="66" t="str">
        <f t="shared" si="2"/>
        <v>0106</v>
      </c>
      <c r="E107" s="66">
        <f t="shared" si="3"/>
        <v>1</v>
      </c>
    </row>
    <row r="108" spans="1:5" x14ac:dyDescent="0.15">
      <c r="A108" s="66" t="s">
        <v>336</v>
      </c>
      <c r="B108" s="66" t="s">
        <v>337</v>
      </c>
      <c r="C108" s="66" t="s">
        <v>75</v>
      </c>
      <c r="D108" s="66" t="str">
        <f t="shared" si="2"/>
        <v>0107</v>
      </c>
      <c r="E108" s="66">
        <f t="shared" si="3"/>
        <v>1</v>
      </c>
    </row>
    <row r="109" spans="1:5" x14ac:dyDescent="0.15">
      <c r="A109" s="66" t="s">
        <v>338</v>
      </c>
      <c r="B109" s="66" t="s">
        <v>339</v>
      </c>
      <c r="C109" s="66" t="s">
        <v>340</v>
      </c>
      <c r="D109" s="66" t="str">
        <f t="shared" si="2"/>
        <v>0108</v>
      </c>
      <c r="E109" s="66">
        <f t="shared" si="3"/>
        <v>1</v>
      </c>
    </row>
    <row r="110" spans="1:5" x14ac:dyDescent="0.15">
      <c r="A110" s="66" t="s">
        <v>341</v>
      </c>
      <c r="B110" s="66" t="s">
        <v>342</v>
      </c>
      <c r="C110" s="66" t="s">
        <v>75</v>
      </c>
      <c r="D110" s="66" t="str">
        <f t="shared" si="2"/>
        <v>0109</v>
      </c>
      <c r="E110" s="66">
        <f t="shared" si="3"/>
        <v>1</v>
      </c>
    </row>
    <row r="111" spans="1:5" x14ac:dyDescent="0.15">
      <c r="A111" s="66" t="s">
        <v>343</v>
      </c>
      <c r="B111" s="66" t="s">
        <v>344</v>
      </c>
      <c r="C111" s="66" t="s">
        <v>340</v>
      </c>
      <c r="D111" s="66" t="str">
        <f t="shared" si="2"/>
        <v>0110</v>
      </c>
      <c r="E111" s="66">
        <f t="shared" si="3"/>
        <v>1</v>
      </c>
    </row>
    <row r="112" spans="1:5" x14ac:dyDescent="0.15">
      <c r="A112" s="66" t="s">
        <v>345</v>
      </c>
      <c r="B112" s="66" t="s">
        <v>346</v>
      </c>
      <c r="C112" s="66" t="s">
        <v>340</v>
      </c>
      <c r="D112" s="66" t="str">
        <f t="shared" si="2"/>
        <v>0111</v>
      </c>
      <c r="E112" s="66">
        <f t="shared" si="3"/>
        <v>1</v>
      </c>
    </row>
    <row r="113" spans="1:5" x14ac:dyDescent="0.15">
      <c r="A113" s="66" t="s">
        <v>347</v>
      </c>
      <c r="B113" s="66" t="s">
        <v>348</v>
      </c>
      <c r="C113" s="66" t="s">
        <v>71</v>
      </c>
      <c r="D113" s="66" t="str">
        <f t="shared" si="2"/>
        <v>0112</v>
      </c>
      <c r="E113" s="66">
        <f t="shared" si="3"/>
        <v>1</v>
      </c>
    </row>
    <row r="114" spans="1:5" x14ac:dyDescent="0.15">
      <c r="A114" s="66" t="s">
        <v>349</v>
      </c>
      <c r="B114" s="66" t="s">
        <v>350</v>
      </c>
      <c r="C114" s="66" t="s">
        <v>75</v>
      </c>
      <c r="D114" s="66" t="str">
        <f t="shared" si="2"/>
        <v>0113</v>
      </c>
      <c r="E114" s="66">
        <f t="shared" si="3"/>
        <v>1</v>
      </c>
    </row>
    <row r="115" spans="1:5" x14ac:dyDescent="0.15">
      <c r="A115" s="66" t="s">
        <v>351</v>
      </c>
      <c r="B115" s="66" t="s">
        <v>352</v>
      </c>
      <c r="C115" s="66" t="s">
        <v>340</v>
      </c>
      <c r="D115" s="66" t="str">
        <f t="shared" si="2"/>
        <v>0114</v>
      </c>
      <c r="E115" s="66">
        <f t="shared" si="3"/>
        <v>1</v>
      </c>
    </row>
    <row r="116" spans="1:5" x14ac:dyDescent="0.15">
      <c r="A116" s="66" t="s">
        <v>353</v>
      </c>
      <c r="B116" s="66" t="s">
        <v>354</v>
      </c>
      <c r="C116" s="66" t="s">
        <v>71</v>
      </c>
      <c r="D116" s="66" t="str">
        <f t="shared" si="2"/>
        <v>0115</v>
      </c>
      <c r="E116" s="66">
        <f t="shared" si="3"/>
        <v>1</v>
      </c>
    </row>
    <row r="117" spans="1:5" x14ac:dyDescent="0.15">
      <c r="A117" s="66" t="s">
        <v>355</v>
      </c>
      <c r="B117" s="66" t="s">
        <v>356</v>
      </c>
      <c r="C117" s="66" t="s">
        <v>71</v>
      </c>
      <c r="D117" s="66" t="str">
        <f t="shared" si="2"/>
        <v>0116</v>
      </c>
      <c r="E117" s="66">
        <f t="shared" si="3"/>
        <v>1</v>
      </c>
    </row>
    <row r="118" spans="1:5" x14ac:dyDescent="0.15">
      <c r="A118" s="66" t="s">
        <v>357</v>
      </c>
      <c r="B118" s="66" t="s">
        <v>358</v>
      </c>
      <c r="C118" s="66" t="s">
        <v>359</v>
      </c>
      <c r="D118" s="66" t="str">
        <f t="shared" si="2"/>
        <v>0117</v>
      </c>
      <c r="E118" s="66">
        <f t="shared" si="3"/>
        <v>1</v>
      </c>
    </row>
    <row r="119" spans="1:5" x14ac:dyDescent="0.15">
      <c r="A119" s="66" t="s">
        <v>360</v>
      </c>
      <c r="B119" s="66" t="s">
        <v>361</v>
      </c>
      <c r="C119" s="66" t="s">
        <v>75</v>
      </c>
      <c r="D119" s="66" t="str">
        <f t="shared" si="2"/>
        <v>0118</v>
      </c>
      <c r="E119" s="66">
        <f t="shared" si="3"/>
        <v>1</v>
      </c>
    </row>
    <row r="120" spans="1:5" x14ac:dyDescent="0.15">
      <c r="A120" s="66" t="s">
        <v>362</v>
      </c>
      <c r="B120" s="66" t="s">
        <v>363</v>
      </c>
      <c r="C120" s="66" t="s">
        <v>340</v>
      </c>
      <c r="D120" s="66" t="str">
        <f t="shared" si="2"/>
        <v>0119</v>
      </c>
      <c r="E120" s="66">
        <f t="shared" si="3"/>
        <v>1</v>
      </c>
    </row>
    <row r="121" spans="1:5" x14ac:dyDescent="0.15">
      <c r="A121" s="66" t="s">
        <v>364</v>
      </c>
      <c r="B121" s="66" t="s">
        <v>365</v>
      </c>
      <c r="C121" s="66" t="s">
        <v>71</v>
      </c>
      <c r="D121" s="66" t="str">
        <f t="shared" si="2"/>
        <v>0120</v>
      </c>
      <c r="E121" s="66">
        <f t="shared" si="3"/>
        <v>1</v>
      </c>
    </row>
    <row r="122" spans="1:5" x14ac:dyDescent="0.15">
      <c r="A122" s="66" t="s">
        <v>366</v>
      </c>
      <c r="B122" s="66" t="s">
        <v>367</v>
      </c>
      <c r="C122" s="66" t="s">
        <v>340</v>
      </c>
      <c r="D122" s="66" t="str">
        <f t="shared" si="2"/>
        <v>0121</v>
      </c>
      <c r="E122" s="66">
        <f t="shared" si="3"/>
        <v>1</v>
      </c>
    </row>
    <row r="123" spans="1:5" x14ac:dyDescent="0.15">
      <c r="A123" s="66" t="s">
        <v>368</v>
      </c>
      <c r="B123" s="66" t="s">
        <v>369</v>
      </c>
      <c r="C123" s="66" t="s">
        <v>370</v>
      </c>
      <c r="D123" s="66" t="str">
        <f t="shared" si="2"/>
        <v>0122</v>
      </c>
      <c r="E123" s="66">
        <f t="shared" si="3"/>
        <v>1</v>
      </c>
    </row>
    <row r="124" spans="1:5" x14ac:dyDescent="0.15">
      <c r="A124" s="66" t="s">
        <v>371</v>
      </c>
      <c r="B124" s="66" t="s">
        <v>372</v>
      </c>
      <c r="C124" s="66" t="s">
        <v>75</v>
      </c>
      <c r="D124" s="66" t="str">
        <f t="shared" si="2"/>
        <v>0123</v>
      </c>
      <c r="E124" s="66">
        <f t="shared" si="3"/>
        <v>2</v>
      </c>
    </row>
    <row r="125" spans="1:5" x14ac:dyDescent="0.15">
      <c r="A125" s="66" t="s">
        <v>373</v>
      </c>
      <c r="B125" s="66" t="s">
        <v>374</v>
      </c>
      <c r="C125" s="66" t="s">
        <v>75</v>
      </c>
      <c r="D125" s="66" t="str">
        <f t="shared" si="2"/>
        <v>0124</v>
      </c>
      <c r="E125" s="66">
        <f t="shared" si="3"/>
        <v>1</v>
      </c>
    </row>
    <row r="126" spans="1:5" x14ac:dyDescent="0.15">
      <c r="A126" s="66" t="s">
        <v>375</v>
      </c>
      <c r="B126" s="66" t="s">
        <v>376</v>
      </c>
      <c r="C126" s="66" t="s">
        <v>340</v>
      </c>
      <c r="D126" s="66" t="str">
        <f t="shared" si="2"/>
        <v>0125</v>
      </c>
      <c r="E126" s="66">
        <f t="shared" si="3"/>
        <v>1</v>
      </c>
    </row>
    <row r="127" spans="1:5" x14ac:dyDescent="0.15">
      <c r="A127" s="66" t="s">
        <v>377</v>
      </c>
      <c r="B127" s="66" t="s">
        <v>378</v>
      </c>
      <c r="C127" s="66" t="s">
        <v>340</v>
      </c>
      <c r="D127" s="66" t="str">
        <f t="shared" si="2"/>
        <v>0126</v>
      </c>
      <c r="E127" s="66">
        <f t="shared" si="3"/>
        <v>1</v>
      </c>
    </row>
    <row r="128" spans="1:5" x14ac:dyDescent="0.15">
      <c r="A128" s="66" t="s">
        <v>379</v>
      </c>
      <c r="B128" s="66" t="s">
        <v>380</v>
      </c>
      <c r="C128" s="66" t="s">
        <v>75</v>
      </c>
      <c r="D128" s="66" t="str">
        <f t="shared" si="2"/>
        <v>0127</v>
      </c>
      <c r="E128" s="66">
        <f t="shared" si="3"/>
        <v>1</v>
      </c>
    </row>
    <row r="129" spans="1:5" x14ac:dyDescent="0.15">
      <c r="A129" s="66" t="s">
        <v>381</v>
      </c>
      <c r="B129" s="66" t="s">
        <v>382</v>
      </c>
      <c r="C129" s="66" t="s">
        <v>75</v>
      </c>
      <c r="D129" s="66" t="str">
        <f t="shared" si="2"/>
        <v>0128</v>
      </c>
      <c r="E129" s="66">
        <f t="shared" si="3"/>
        <v>1</v>
      </c>
    </row>
    <row r="130" spans="1:5" x14ac:dyDescent="0.15">
      <c r="A130" s="66" t="s">
        <v>383</v>
      </c>
      <c r="B130" s="66" t="s">
        <v>384</v>
      </c>
      <c r="C130" s="66" t="s">
        <v>385</v>
      </c>
      <c r="D130" s="66" t="str">
        <f t="shared" ref="D130:D193" si="4">A130</f>
        <v>0129</v>
      </c>
      <c r="E130" s="66">
        <f t="shared" ref="E130:E193" si="5">COUNTIFS(B:B,B130)</f>
        <v>1</v>
      </c>
    </row>
    <row r="131" spans="1:5" x14ac:dyDescent="0.15">
      <c r="A131" s="66" t="s">
        <v>386</v>
      </c>
      <c r="B131" s="66" t="s">
        <v>387</v>
      </c>
      <c r="C131" s="66" t="s">
        <v>370</v>
      </c>
      <c r="D131" s="66" t="str">
        <f t="shared" si="4"/>
        <v>0130</v>
      </c>
      <c r="E131" s="66">
        <f t="shared" si="5"/>
        <v>1</v>
      </c>
    </row>
    <row r="132" spans="1:5" x14ac:dyDescent="0.15">
      <c r="A132" s="66" t="s">
        <v>388</v>
      </c>
      <c r="B132" s="66" t="s">
        <v>389</v>
      </c>
      <c r="C132" s="66" t="s">
        <v>75</v>
      </c>
      <c r="D132" s="66" t="str">
        <f t="shared" si="4"/>
        <v>0131</v>
      </c>
      <c r="E132" s="66">
        <f t="shared" si="5"/>
        <v>1</v>
      </c>
    </row>
    <row r="133" spans="1:5" x14ac:dyDescent="0.15">
      <c r="A133" s="66" t="s">
        <v>390</v>
      </c>
      <c r="B133" s="66" t="s">
        <v>391</v>
      </c>
      <c r="C133" s="66" t="s">
        <v>75</v>
      </c>
      <c r="D133" s="66" t="str">
        <f t="shared" si="4"/>
        <v>0132</v>
      </c>
      <c r="E133" s="66">
        <f t="shared" si="5"/>
        <v>1</v>
      </c>
    </row>
    <row r="134" spans="1:5" x14ac:dyDescent="0.15">
      <c r="A134" s="66" t="s">
        <v>392</v>
      </c>
      <c r="B134" s="66" t="s">
        <v>393</v>
      </c>
      <c r="C134" s="66" t="s">
        <v>340</v>
      </c>
      <c r="D134" s="66" t="str">
        <f t="shared" si="4"/>
        <v>0133</v>
      </c>
      <c r="E134" s="66">
        <f t="shared" si="5"/>
        <v>1</v>
      </c>
    </row>
    <row r="135" spans="1:5" x14ac:dyDescent="0.15">
      <c r="A135" s="66" t="s">
        <v>394</v>
      </c>
      <c r="B135" s="66" t="s">
        <v>395</v>
      </c>
      <c r="C135" s="66" t="s">
        <v>75</v>
      </c>
      <c r="D135" s="66" t="str">
        <f t="shared" si="4"/>
        <v>0134</v>
      </c>
      <c r="E135" s="66">
        <f t="shared" si="5"/>
        <v>1</v>
      </c>
    </row>
    <row r="136" spans="1:5" x14ac:dyDescent="0.15">
      <c r="A136" s="66" t="s">
        <v>396</v>
      </c>
      <c r="B136" s="66" t="s">
        <v>397</v>
      </c>
      <c r="C136" s="66" t="s">
        <v>75</v>
      </c>
      <c r="D136" s="66" t="str">
        <f t="shared" si="4"/>
        <v>0135</v>
      </c>
      <c r="E136" s="66">
        <f t="shared" si="5"/>
        <v>1</v>
      </c>
    </row>
    <row r="137" spans="1:5" x14ac:dyDescent="0.15">
      <c r="A137" s="66" t="s">
        <v>398</v>
      </c>
      <c r="B137" s="66" t="s">
        <v>399</v>
      </c>
      <c r="C137" s="66" t="s">
        <v>75</v>
      </c>
      <c r="D137" s="66" t="str">
        <f t="shared" si="4"/>
        <v>0136</v>
      </c>
      <c r="E137" s="66">
        <f t="shared" si="5"/>
        <v>1</v>
      </c>
    </row>
    <row r="138" spans="1:5" x14ac:dyDescent="0.15">
      <c r="A138" s="66" t="s">
        <v>400</v>
      </c>
      <c r="B138" s="66" t="s">
        <v>401</v>
      </c>
      <c r="C138" s="66" t="s">
        <v>75</v>
      </c>
      <c r="D138" s="66" t="str">
        <f t="shared" si="4"/>
        <v>0137</v>
      </c>
      <c r="E138" s="66">
        <f t="shared" si="5"/>
        <v>1</v>
      </c>
    </row>
    <row r="139" spans="1:5" x14ac:dyDescent="0.15">
      <c r="A139" s="66" t="s">
        <v>402</v>
      </c>
      <c r="B139" s="66" t="s">
        <v>403</v>
      </c>
      <c r="C139" s="66" t="s">
        <v>75</v>
      </c>
      <c r="D139" s="66" t="str">
        <f t="shared" si="4"/>
        <v>0138</v>
      </c>
      <c r="E139" s="66">
        <f t="shared" si="5"/>
        <v>1</v>
      </c>
    </row>
    <row r="140" spans="1:5" x14ac:dyDescent="0.15">
      <c r="A140" s="66" t="s">
        <v>404</v>
      </c>
      <c r="B140" s="66" t="s">
        <v>405</v>
      </c>
      <c r="C140" s="66" t="s">
        <v>75</v>
      </c>
      <c r="D140" s="66" t="str">
        <f t="shared" si="4"/>
        <v>0139</v>
      </c>
      <c r="E140" s="66">
        <f t="shared" si="5"/>
        <v>1</v>
      </c>
    </row>
    <row r="141" spans="1:5" x14ac:dyDescent="0.15">
      <c r="A141" s="66" t="s">
        <v>406</v>
      </c>
      <c r="B141" s="66" t="s">
        <v>407</v>
      </c>
      <c r="C141" s="66" t="s">
        <v>75</v>
      </c>
      <c r="D141" s="66" t="str">
        <f t="shared" si="4"/>
        <v>0140</v>
      </c>
      <c r="E141" s="66">
        <f t="shared" si="5"/>
        <v>1</v>
      </c>
    </row>
    <row r="142" spans="1:5" x14ac:dyDescent="0.15">
      <c r="A142" s="66" t="s">
        <v>408</v>
      </c>
      <c r="B142" s="66" t="s">
        <v>409</v>
      </c>
      <c r="C142" s="66" t="s">
        <v>75</v>
      </c>
      <c r="D142" s="66" t="str">
        <f t="shared" si="4"/>
        <v>0141</v>
      </c>
      <c r="E142" s="66">
        <f t="shared" si="5"/>
        <v>1</v>
      </c>
    </row>
    <row r="143" spans="1:5" x14ac:dyDescent="0.15">
      <c r="A143" s="66" t="s">
        <v>410</v>
      </c>
      <c r="B143" s="66" t="s">
        <v>411</v>
      </c>
      <c r="C143" s="66" t="s">
        <v>340</v>
      </c>
      <c r="D143" s="66" t="str">
        <f t="shared" si="4"/>
        <v>0142</v>
      </c>
      <c r="E143" s="66">
        <f t="shared" si="5"/>
        <v>4</v>
      </c>
    </row>
    <row r="144" spans="1:5" x14ac:dyDescent="0.15">
      <c r="A144" s="66" t="s">
        <v>412</v>
      </c>
      <c r="B144" s="66" t="s">
        <v>413</v>
      </c>
      <c r="C144" s="66" t="s">
        <v>340</v>
      </c>
      <c r="D144" s="66" t="str">
        <f t="shared" si="4"/>
        <v>0143</v>
      </c>
      <c r="E144" s="66">
        <f t="shared" si="5"/>
        <v>2</v>
      </c>
    </row>
    <row r="145" spans="1:5" x14ac:dyDescent="0.15">
      <c r="A145" s="66" t="s">
        <v>414</v>
      </c>
      <c r="B145" s="66" t="s">
        <v>415</v>
      </c>
      <c r="C145" s="66" t="s">
        <v>340</v>
      </c>
      <c r="D145" s="66" t="str">
        <f t="shared" si="4"/>
        <v>0144</v>
      </c>
      <c r="E145" s="66">
        <f t="shared" si="5"/>
        <v>1</v>
      </c>
    </row>
    <row r="146" spans="1:5" x14ac:dyDescent="0.15">
      <c r="A146" s="66" t="s">
        <v>416</v>
      </c>
      <c r="B146" s="66" t="s">
        <v>417</v>
      </c>
      <c r="C146" s="66" t="s">
        <v>71</v>
      </c>
      <c r="D146" s="66" t="str">
        <f t="shared" si="4"/>
        <v>0145</v>
      </c>
      <c r="E146" s="66">
        <f t="shared" si="5"/>
        <v>1</v>
      </c>
    </row>
    <row r="147" spans="1:5" x14ac:dyDescent="0.15">
      <c r="A147" s="66" t="s">
        <v>418</v>
      </c>
      <c r="B147" s="66" t="s">
        <v>419</v>
      </c>
      <c r="C147" s="66" t="s">
        <v>101</v>
      </c>
      <c r="D147" s="66" t="str">
        <f t="shared" si="4"/>
        <v>0146</v>
      </c>
      <c r="E147" s="66">
        <f t="shared" si="5"/>
        <v>1</v>
      </c>
    </row>
    <row r="148" spans="1:5" x14ac:dyDescent="0.15">
      <c r="A148" s="66" t="s">
        <v>420</v>
      </c>
      <c r="B148" s="66" t="s">
        <v>421</v>
      </c>
      <c r="C148" s="66" t="s">
        <v>385</v>
      </c>
      <c r="D148" s="66" t="str">
        <f t="shared" si="4"/>
        <v>0147</v>
      </c>
      <c r="E148" s="66">
        <f t="shared" si="5"/>
        <v>1</v>
      </c>
    </row>
    <row r="149" spans="1:5" x14ac:dyDescent="0.15">
      <c r="A149" s="66" t="s">
        <v>422</v>
      </c>
      <c r="B149" s="66" t="s">
        <v>423</v>
      </c>
      <c r="C149" s="66" t="s">
        <v>424</v>
      </c>
      <c r="D149" s="66" t="str">
        <f t="shared" si="4"/>
        <v>0148</v>
      </c>
      <c r="E149" s="66">
        <f t="shared" si="5"/>
        <v>1</v>
      </c>
    </row>
    <row r="150" spans="1:5" x14ac:dyDescent="0.15">
      <c r="A150" s="66" t="s">
        <v>425</v>
      </c>
      <c r="B150" s="66" t="s">
        <v>426</v>
      </c>
      <c r="C150" s="66" t="s">
        <v>245</v>
      </c>
      <c r="D150" s="66" t="str">
        <f t="shared" si="4"/>
        <v>0149</v>
      </c>
      <c r="E150" s="66">
        <f t="shared" si="5"/>
        <v>1</v>
      </c>
    </row>
    <row r="151" spans="1:5" x14ac:dyDescent="0.15">
      <c r="A151" s="66" t="s">
        <v>427</v>
      </c>
      <c r="B151" s="66" t="s">
        <v>428</v>
      </c>
      <c r="C151" s="66" t="s">
        <v>86</v>
      </c>
      <c r="D151" s="66" t="str">
        <f t="shared" si="4"/>
        <v>0150</v>
      </c>
      <c r="E151" s="66">
        <f t="shared" si="5"/>
        <v>1</v>
      </c>
    </row>
    <row r="152" spans="1:5" x14ac:dyDescent="0.15">
      <c r="A152" s="66" t="s">
        <v>429</v>
      </c>
      <c r="B152" s="66" t="s">
        <v>430</v>
      </c>
      <c r="C152" s="66" t="s">
        <v>268</v>
      </c>
      <c r="D152" s="66" t="str">
        <f t="shared" si="4"/>
        <v>0151</v>
      </c>
      <c r="E152" s="66">
        <f t="shared" si="5"/>
        <v>1</v>
      </c>
    </row>
    <row r="153" spans="1:5" x14ac:dyDescent="0.15">
      <c r="A153" s="66" t="s">
        <v>431</v>
      </c>
      <c r="B153" s="66" t="s">
        <v>432</v>
      </c>
      <c r="C153" s="66" t="s">
        <v>433</v>
      </c>
      <c r="D153" s="66" t="str">
        <f t="shared" si="4"/>
        <v>0152</v>
      </c>
      <c r="E153" s="66">
        <f t="shared" si="5"/>
        <v>1</v>
      </c>
    </row>
    <row r="154" spans="1:5" x14ac:dyDescent="0.15">
      <c r="A154" s="66" t="s">
        <v>434</v>
      </c>
      <c r="B154" s="66" t="s">
        <v>435</v>
      </c>
      <c r="C154" s="66" t="s">
        <v>436</v>
      </c>
      <c r="D154" s="66" t="str">
        <f t="shared" si="4"/>
        <v>0153</v>
      </c>
      <c r="E154" s="66">
        <f t="shared" si="5"/>
        <v>1</v>
      </c>
    </row>
    <row r="155" spans="1:5" x14ac:dyDescent="0.15">
      <c r="A155" s="66" t="s">
        <v>437</v>
      </c>
      <c r="B155" s="66" t="s">
        <v>438</v>
      </c>
      <c r="C155" s="66" t="s">
        <v>86</v>
      </c>
      <c r="D155" s="66" t="str">
        <f t="shared" si="4"/>
        <v>0154</v>
      </c>
      <c r="E155" s="66">
        <f t="shared" si="5"/>
        <v>1</v>
      </c>
    </row>
    <row r="156" spans="1:5" x14ac:dyDescent="0.15">
      <c r="A156" s="66" t="s">
        <v>439</v>
      </c>
      <c r="B156" s="66" t="s">
        <v>440</v>
      </c>
      <c r="C156" s="66" t="s">
        <v>86</v>
      </c>
      <c r="D156" s="66" t="str">
        <f t="shared" si="4"/>
        <v>0155</v>
      </c>
      <c r="E156" s="66">
        <f t="shared" si="5"/>
        <v>1</v>
      </c>
    </row>
    <row r="157" spans="1:5" x14ac:dyDescent="0.15">
      <c r="A157" s="66" t="s">
        <v>441</v>
      </c>
      <c r="B157" s="66" t="s">
        <v>442</v>
      </c>
      <c r="C157" s="66" t="s">
        <v>443</v>
      </c>
      <c r="D157" s="66" t="str">
        <f t="shared" si="4"/>
        <v>0156</v>
      </c>
      <c r="E157" s="66">
        <f t="shared" si="5"/>
        <v>1</v>
      </c>
    </row>
    <row r="158" spans="1:5" x14ac:dyDescent="0.15">
      <c r="A158" s="66" t="s">
        <v>444</v>
      </c>
      <c r="B158" s="66" t="s">
        <v>445</v>
      </c>
      <c r="C158" s="66" t="s">
        <v>385</v>
      </c>
      <c r="D158" s="66" t="str">
        <f t="shared" si="4"/>
        <v>0157</v>
      </c>
      <c r="E158" s="66">
        <f t="shared" si="5"/>
        <v>1</v>
      </c>
    </row>
    <row r="159" spans="1:5" x14ac:dyDescent="0.15">
      <c r="A159" s="66" t="s">
        <v>446</v>
      </c>
      <c r="B159" s="66" t="s">
        <v>447</v>
      </c>
      <c r="C159" s="66" t="s">
        <v>385</v>
      </c>
      <c r="D159" s="66" t="str">
        <f t="shared" si="4"/>
        <v>0158</v>
      </c>
      <c r="E159" s="66">
        <f t="shared" si="5"/>
        <v>1</v>
      </c>
    </row>
    <row r="160" spans="1:5" x14ac:dyDescent="0.15">
      <c r="A160" s="66" t="s">
        <v>448</v>
      </c>
      <c r="B160" s="66" t="s">
        <v>449</v>
      </c>
      <c r="C160" s="66" t="s">
        <v>385</v>
      </c>
      <c r="D160" s="66" t="str">
        <f t="shared" si="4"/>
        <v>0159</v>
      </c>
      <c r="E160" s="66">
        <f t="shared" si="5"/>
        <v>1</v>
      </c>
    </row>
    <row r="161" spans="1:5" x14ac:dyDescent="0.15">
      <c r="A161" s="66" t="s">
        <v>450</v>
      </c>
      <c r="B161" s="66" t="s">
        <v>451</v>
      </c>
      <c r="C161" s="66" t="s">
        <v>385</v>
      </c>
      <c r="D161" s="66" t="str">
        <f t="shared" si="4"/>
        <v>0160</v>
      </c>
      <c r="E161" s="66">
        <f t="shared" si="5"/>
        <v>1</v>
      </c>
    </row>
    <row r="162" spans="1:5" x14ac:dyDescent="0.15">
      <c r="A162" s="66" t="s">
        <v>452</v>
      </c>
      <c r="B162" s="66" t="s">
        <v>453</v>
      </c>
      <c r="C162" s="66" t="s">
        <v>385</v>
      </c>
      <c r="D162" s="66" t="str">
        <f t="shared" si="4"/>
        <v>0161</v>
      </c>
      <c r="E162" s="66">
        <f t="shared" si="5"/>
        <v>1</v>
      </c>
    </row>
    <row r="163" spans="1:5" x14ac:dyDescent="0.15">
      <c r="A163" s="66" t="s">
        <v>454</v>
      </c>
      <c r="B163" s="66" t="s">
        <v>455</v>
      </c>
      <c r="C163" s="66" t="s">
        <v>385</v>
      </c>
      <c r="D163" s="66" t="str">
        <f t="shared" si="4"/>
        <v>0162</v>
      </c>
      <c r="E163" s="66">
        <f t="shared" si="5"/>
        <v>1</v>
      </c>
    </row>
    <row r="164" spans="1:5" x14ac:dyDescent="0.15">
      <c r="A164" s="66" t="s">
        <v>456</v>
      </c>
      <c r="B164" s="66" t="s">
        <v>457</v>
      </c>
      <c r="C164" s="66" t="s">
        <v>458</v>
      </c>
      <c r="D164" s="66" t="str">
        <f t="shared" si="4"/>
        <v>0163</v>
      </c>
      <c r="E164" s="66">
        <f t="shared" si="5"/>
        <v>1</v>
      </c>
    </row>
    <row r="165" spans="1:5" x14ac:dyDescent="0.15">
      <c r="A165" s="66" t="s">
        <v>459</v>
      </c>
      <c r="B165" s="66" t="s">
        <v>460</v>
      </c>
      <c r="C165" s="66" t="s">
        <v>443</v>
      </c>
      <c r="D165" s="66" t="str">
        <f t="shared" si="4"/>
        <v>0164</v>
      </c>
      <c r="E165" s="66">
        <f t="shared" si="5"/>
        <v>1</v>
      </c>
    </row>
    <row r="166" spans="1:5" x14ac:dyDescent="0.15">
      <c r="A166" s="66" t="s">
        <v>461</v>
      </c>
      <c r="B166" s="66" t="s">
        <v>462</v>
      </c>
      <c r="C166" s="66" t="s">
        <v>268</v>
      </c>
      <c r="D166" s="66" t="str">
        <f t="shared" si="4"/>
        <v>0165</v>
      </c>
      <c r="E166" s="66">
        <f t="shared" si="5"/>
        <v>1</v>
      </c>
    </row>
    <row r="167" spans="1:5" x14ac:dyDescent="0.15">
      <c r="A167" s="66" t="s">
        <v>463</v>
      </c>
      <c r="B167" s="66" t="s">
        <v>464</v>
      </c>
      <c r="C167" s="66" t="s">
        <v>385</v>
      </c>
      <c r="D167" s="66" t="str">
        <f t="shared" si="4"/>
        <v>0166</v>
      </c>
      <c r="E167" s="66">
        <f t="shared" si="5"/>
        <v>1</v>
      </c>
    </row>
    <row r="168" spans="1:5" x14ac:dyDescent="0.15">
      <c r="A168" s="66" t="s">
        <v>465</v>
      </c>
      <c r="B168" s="66" t="s">
        <v>466</v>
      </c>
      <c r="C168" s="66" t="s">
        <v>467</v>
      </c>
      <c r="D168" s="66" t="str">
        <f t="shared" si="4"/>
        <v>0167</v>
      </c>
      <c r="E168" s="66">
        <f t="shared" si="5"/>
        <v>1</v>
      </c>
    </row>
    <row r="169" spans="1:5" x14ac:dyDescent="0.15">
      <c r="A169" s="66" t="s">
        <v>468</v>
      </c>
      <c r="B169" s="66" t="s">
        <v>469</v>
      </c>
      <c r="C169" s="66" t="s">
        <v>133</v>
      </c>
      <c r="D169" s="66" t="str">
        <f t="shared" si="4"/>
        <v>0168</v>
      </c>
      <c r="E169" s="66">
        <f t="shared" si="5"/>
        <v>1</v>
      </c>
    </row>
    <row r="170" spans="1:5" x14ac:dyDescent="0.15">
      <c r="A170" s="66" t="s">
        <v>470</v>
      </c>
      <c r="B170" s="66" t="s">
        <v>471</v>
      </c>
      <c r="C170" s="66" t="s">
        <v>436</v>
      </c>
      <c r="D170" s="66" t="str">
        <f t="shared" si="4"/>
        <v>0169</v>
      </c>
      <c r="E170" s="66">
        <f t="shared" si="5"/>
        <v>1</v>
      </c>
    </row>
    <row r="171" spans="1:5" x14ac:dyDescent="0.15">
      <c r="A171" s="66" t="s">
        <v>472</v>
      </c>
      <c r="B171" s="66" t="s">
        <v>473</v>
      </c>
      <c r="C171" s="66" t="s">
        <v>467</v>
      </c>
      <c r="D171" s="66" t="str">
        <f t="shared" si="4"/>
        <v>0170</v>
      </c>
      <c r="E171" s="66">
        <f t="shared" si="5"/>
        <v>1</v>
      </c>
    </row>
    <row r="172" spans="1:5" x14ac:dyDescent="0.15">
      <c r="A172" s="66" t="s">
        <v>474</v>
      </c>
      <c r="B172" s="66" t="s">
        <v>475</v>
      </c>
      <c r="C172" s="66" t="s">
        <v>467</v>
      </c>
      <c r="D172" s="66" t="str">
        <f t="shared" si="4"/>
        <v>0171</v>
      </c>
      <c r="E172" s="66">
        <f t="shared" si="5"/>
        <v>1</v>
      </c>
    </row>
    <row r="173" spans="1:5" x14ac:dyDescent="0.15">
      <c r="A173" s="66" t="s">
        <v>476</v>
      </c>
      <c r="B173" s="66" t="s">
        <v>477</v>
      </c>
      <c r="C173" s="66" t="s">
        <v>467</v>
      </c>
      <c r="D173" s="66" t="str">
        <f t="shared" si="4"/>
        <v>0172</v>
      </c>
      <c r="E173" s="66">
        <f t="shared" si="5"/>
        <v>1</v>
      </c>
    </row>
    <row r="174" spans="1:5" x14ac:dyDescent="0.15">
      <c r="A174" s="66" t="s">
        <v>478</v>
      </c>
      <c r="B174" s="66" t="s">
        <v>479</v>
      </c>
      <c r="C174" s="66" t="s">
        <v>467</v>
      </c>
      <c r="D174" s="66" t="str">
        <f t="shared" si="4"/>
        <v>0173</v>
      </c>
      <c r="E174" s="66">
        <f t="shared" si="5"/>
        <v>1</v>
      </c>
    </row>
    <row r="175" spans="1:5" x14ac:dyDescent="0.15">
      <c r="A175" s="66" t="s">
        <v>480</v>
      </c>
      <c r="B175" s="66" t="s">
        <v>481</v>
      </c>
      <c r="C175" s="66" t="s">
        <v>340</v>
      </c>
      <c r="D175" s="66" t="str">
        <f t="shared" si="4"/>
        <v>0174</v>
      </c>
      <c r="E175" s="66">
        <f t="shared" si="5"/>
        <v>1</v>
      </c>
    </row>
    <row r="176" spans="1:5" x14ac:dyDescent="0.15">
      <c r="A176" s="66" t="s">
        <v>482</v>
      </c>
      <c r="B176" s="66" t="s">
        <v>483</v>
      </c>
      <c r="C176" s="66" t="s">
        <v>75</v>
      </c>
      <c r="D176" s="66" t="str">
        <f t="shared" si="4"/>
        <v>0175</v>
      </c>
      <c r="E176" s="66">
        <f t="shared" si="5"/>
        <v>1</v>
      </c>
    </row>
    <row r="177" spans="1:5" x14ac:dyDescent="0.15">
      <c r="A177" s="66" t="s">
        <v>484</v>
      </c>
      <c r="B177" s="66" t="s">
        <v>485</v>
      </c>
      <c r="C177" s="66" t="s">
        <v>71</v>
      </c>
      <c r="D177" s="66" t="str">
        <f t="shared" si="4"/>
        <v>0176</v>
      </c>
      <c r="E177" s="66">
        <f t="shared" si="5"/>
        <v>1</v>
      </c>
    </row>
    <row r="178" spans="1:5" x14ac:dyDescent="0.15">
      <c r="A178" s="66" t="s">
        <v>486</v>
      </c>
      <c r="B178" s="66" t="s">
        <v>487</v>
      </c>
      <c r="C178" s="66" t="s">
        <v>268</v>
      </c>
      <c r="D178" s="66" t="str">
        <f t="shared" si="4"/>
        <v>0177</v>
      </c>
      <c r="E178" s="66">
        <f t="shared" si="5"/>
        <v>1</v>
      </c>
    </row>
    <row r="179" spans="1:5" x14ac:dyDescent="0.15">
      <c r="A179" s="66" t="s">
        <v>488</v>
      </c>
      <c r="B179" s="66" t="s">
        <v>489</v>
      </c>
      <c r="C179" s="66" t="s">
        <v>424</v>
      </c>
      <c r="D179" s="66" t="str">
        <f t="shared" si="4"/>
        <v>0178</v>
      </c>
      <c r="E179" s="66">
        <f t="shared" si="5"/>
        <v>1</v>
      </c>
    </row>
    <row r="180" spans="1:5" x14ac:dyDescent="0.15">
      <c r="A180" s="66" t="s">
        <v>490</v>
      </c>
      <c r="B180" s="66" t="s">
        <v>491</v>
      </c>
      <c r="C180" s="66" t="s">
        <v>71</v>
      </c>
      <c r="D180" s="66" t="str">
        <f t="shared" si="4"/>
        <v>0179</v>
      </c>
      <c r="E180" s="66">
        <f t="shared" si="5"/>
        <v>1</v>
      </c>
    </row>
    <row r="181" spans="1:5" x14ac:dyDescent="0.15">
      <c r="A181" s="66" t="s">
        <v>492</v>
      </c>
      <c r="B181" s="66" t="s">
        <v>493</v>
      </c>
      <c r="C181" s="66" t="s">
        <v>467</v>
      </c>
      <c r="D181" s="66" t="str">
        <f t="shared" si="4"/>
        <v>0180</v>
      </c>
      <c r="E181" s="66">
        <f t="shared" si="5"/>
        <v>1</v>
      </c>
    </row>
    <row r="182" spans="1:5" x14ac:dyDescent="0.15">
      <c r="A182" s="66" t="s">
        <v>494</v>
      </c>
      <c r="B182" s="66" t="s">
        <v>495</v>
      </c>
      <c r="C182" s="66" t="s">
        <v>86</v>
      </c>
      <c r="D182" s="66" t="str">
        <f t="shared" si="4"/>
        <v>0181</v>
      </c>
      <c r="E182" s="66">
        <f t="shared" si="5"/>
        <v>1</v>
      </c>
    </row>
    <row r="183" spans="1:5" x14ac:dyDescent="0.15">
      <c r="A183" s="66" t="s">
        <v>496</v>
      </c>
      <c r="B183" s="66" t="s">
        <v>497</v>
      </c>
      <c r="C183" s="66" t="s">
        <v>133</v>
      </c>
      <c r="D183" s="66" t="str">
        <f t="shared" si="4"/>
        <v>0182</v>
      </c>
      <c r="E183" s="66">
        <f t="shared" si="5"/>
        <v>1</v>
      </c>
    </row>
    <row r="184" spans="1:5" x14ac:dyDescent="0.15">
      <c r="A184" s="66" t="s">
        <v>498</v>
      </c>
      <c r="B184" s="66" t="s">
        <v>499</v>
      </c>
      <c r="C184" s="66" t="s">
        <v>245</v>
      </c>
      <c r="D184" s="66" t="str">
        <f t="shared" si="4"/>
        <v>0183</v>
      </c>
      <c r="E184" s="66">
        <f t="shared" si="5"/>
        <v>1</v>
      </c>
    </row>
    <row r="185" spans="1:5" x14ac:dyDescent="0.15">
      <c r="A185" s="66" t="s">
        <v>500</v>
      </c>
      <c r="B185" s="66" t="s">
        <v>501</v>
      </c>
      <c r="C185" s="66" t="s">
        <v>340</v>
      </c>
      <c r="D185" s="66" t="str">
        <f t="shared" si="4"/>
        <v>0184</v>
      </c>
      <c r="E185" s="66">
        <f t="shared" si="5"/>
        <v>1</v>
      </c>
    </row>
    <row r="186" spans="1:5" x14ac:dyDescent="0.15">
      <c r="A186" s="66" t="s">
        <v>502</v>
      </c>
      <c r="B186" s="66" t="s">
        <v>503</v>
      </c>
      <c r="C186" s="66" t="s">
        <v>133</v>
      </c>
      <c r="D186" s="66" t="str">
        <f t="shared" si="4"/>
        <v>0185</v>
      </c>
      <c r="E186" s="66">
        <f t="shared" si="5"/>
        <v>1</v>
      </c>
    </row>
    <row r="187" spans="1:5" x14ac:dyDescent="0.15">
      <c r="A187" s="66" t="s">
        <v>504</v>
      </c>
      <c r="B187" s="66" t="s">
        <v>505</v>
      </c>
      <c r="C187" s="66" t="s">
        <v>133</v>
      </c>
      <c r="D187" s="66" t="str">
        <f t="shared" si="4"/>
        <v>0186</v>
      </c>
      <c r="E187" s="66">
        <f t="shared" si="5"/>
        <v>1</v>
      </c>
    </row>
    <row r="188" spans="1:5" x14ac:dyDescent="0.15">
      <c r="A188" s="66" t="s">
        <v>506</v>
      </c>
      <c r="B188" s="66" t="s">
        <v>507</v>
      </c>
      <c r="C188" s="66" t="s">
        <v>433</v>
      </c>
      <c r="D188" s="66" t="str">
        <f t="shared" si="4"/>
        <v>0187</v>
      </c>
      <c r="E188" s="66">
        <f t="shared" si="5"/>
        <v>1</v>
      </c>
    </row>
    <row r="189" spans="1:5" x14ac:dyDescent="0.15">
      <c r="A189" s="66" t="s">
        <v>508</v>
      </c>
      <c r="B189" s="66" t="s">
        <v>509</v>
      </c>
      <c r="C189" s="66" t="s">
        <v>385</v>
      </c>
      <c r="D189" s="66" t="str">
        <f t="shared" si="4"/>
        <v>0188</v>
      </c>
      <c r="E189" s="66">
        <f t="shared" si="5"/>
        <v>1</v>
      </c>
    </row>
    <row r="190" spans="1:5" x14ac:dyDescent="0.15">
      <c r="A190" s="66" t="s">
        <v>510</v>
      </c>
      <c r="B190" s="66" t="s">
        <v>511</v>
      </c>
      <c r="C190" s="66" t="s">
        <v>436</v>
      </c>
      <c r="D190" s="66" t="str">
        <f t="shared" si="4"/>
        <v>0189</v>
      </c>
      <c r="E190" s="66">
        <f t="shared" si="5"/>
        <v>1</v>
      </c>
    </row>
    <row r="191" spans="1:5" x14ac:dyDescent="0.15">
      <c r="A191" s="66" t="s">
        <v>512</v>
      </c>
      <c r="B191" s="66" t="s">
        <v>513</v>
      </c>
      <c r="C191" s="66" t="s">
        <v>75</v>
      </c>
      <c r="D191" s="66" t="str">
        <f t="shared" si="4"/>
        <v>0190</v>
      </c>
      <c r="E191" s="66">
        <f t="shared" si="5"/>
        <v>1</v>
      </c>
    </row>
    <row r="192" spans="1:5" x14ac:dyDescent="0.15">
      <c r="A192" s="66" t="s">
        <v>514</v>
      </c>
      <c r="B192" s="66" t="s">
        <v>515</v>
      </c>
      <c r="C192" s="66" t="s">
        <v>75</v>
      </c>
      <c r="D192" s="66" t="str">
        <f t="shared" si="4"/>
        <v>0191</v>
      </c>
      <c r="E192" s="66">
        <f t="shared" si="5"/>
        <v>1</v>
      </c>
    </row>
    <row r="193" spans="1:5" x14ac:dyDescent="0.15">
      <c r="A193" s="66" t="s">
        <v>516</v>
      </c>
      <c r="B193" s="66" t="s">
        <v>517</v>
      </c>
      <c r="C193" s="66" t="s">
        <v>75</v>
      </c>
      <c r="D193" s="66" t="str">
        <f t="shared" si="4"/>
        <v>0192</v>
      </c>
      <c r="E193" s="66">
        <f t="shared" si="5"/>
        <v>1</v>
      </c>
    </row>
    <row r="194" spans="1:5" x14ac:dyDescent="0.15">
      <c r="A194" s="66" t="s">
        <v>518</v>
      </c>
      <c r="B194" s="66" t="s">
        <v>519</v>
      </c>
      <c r="C194" s="66" t="s">
        <v>75</v>
      </c>
      <c r="D194" s="66" t="str">
        <f t="shared" ref="D194:D257" si="6">A194</f>
        <v>0193</v>
      </c>
      <c r="E194" s="66">
        <f t="shared" ref="E194:E257" si="7">COUNTIFS(B:B,B194)</f>
        <v>1</v>
      </c>
    </row>
    <row r="195" spans="1:5" x14ac:dyDescent="0.15">
      <c r="A195" s="66" t="s">
        <v>520</v>
      </c>
      <c r="B195" s="66" t="s">
        <v>521</v>
      </c>
      <c r="C195" s="66" t="s">
        <v>86</v>
      </c>
      <c r="D195" s="66" t="str">
        <f t="shared" si="6"/>
        <v>0194</v>
      </c>
      <c r="E195" s="66">
        <f t="shared" si="7"/>
        <v>1</v>
      </c>
    </row>
    <row r="196" spans="1:5" x14ac:dyDescent="0.15">
      <c r="A196" s="66" t="s">
        <v>522</v>
      </c>
      <c r="B196" s="66" t="s">
        <v>523</v>
      </c>
      <c r="C196" s="66" t="s">
        <v>86</v>
      </c>
      <c r="D196" s="66" t="str">
        <f t="shared" si="6"/>
        <v>0195</v>
      </c>
      <c r="E196" s="66">
        <f t="shared" si="7"/>
        <v>1</v>
      </c>
    </row>
    <row r="197" spans="1:5" x14ac:dyDescent="0.15">
      <c r="A197" s="66" t="s">
        <v>524</v>
      </c>
      <c r="B197" s="66" t="s">
        <v>525</v>
      </c>
      <c r="C197" s="66" t="s">
        <v>67</v>
      </c>
      <c r="D197" s="66" t="str">
        <f t="shared" si="6"/>
        <v>0196</v>
      </c>
      <c r="E197" s="66">
        <f t="shared" si="7"/>
        <v>1</v>
      </c>
    </row>
    <row r="198" spans="1:5" x14ac:dyDescent="0.15">
      <c r="A198" s="66" t="s">
        <v>526</v>
      </c>
      <c r="B198" s="66" t="s">
        <v>527</v>
      </c>
      <c r="C198" s="66" t="s">
        <v>86</v>
      </c>
      <c r="D198" s="66" t="str">
        <f t="shared" si="6"/>
        <v>0197</v>
      </c>
      <c r="E198" s="66">
        <f t="shared" si="7"/>
        <v>1</v>
      </c>
    </row>
    <row r="199" spans="1:5" x14ac:dyDescent="0.15">
      <c r="A199" s="66" t="s">
        <v>528</v>
      </c>
      <c r="B199" s="66" t="s">
        <v>529</v>
      </c>
      <c r="C199" s="66" t="s">
        <v>67</v>
      </c>
      <c r="D199" s="66" t="str">
        <f t="shared" si="6"/>
        <v>0198</v>
      </c>
      <c r="E199" s="66">
        <f t="shared" si="7"/>
        <v>1</v>
      </c>
    </row>
    <row r="200" spans="1:5" x14ac:dyDescent="0.15">
      <c r="A200" s="66" t="s">
        <v>530</v>
      </c>
      <c r="B200" s="66" t="s">
        <v>531</v>
      </c>
      <c r="C200" s="66" t="s">
        <v>133</v>
      </c>
      <c r="D200" s="66" t="str">
        <f t="shared" si="6"/>
        <v>0199</v>
      </c>
      <c r="E200" s="66">
        <f t="shared" si="7"/>
        <v>1</v>
      </c>
    </row>
    <row r="201" spans="1:5" x14ac:dyDescent="0.15">
      <c r="A201" s="66" t="s">
        <v>532</v>
      </c>
      <c r="B201" s="66" t="s">
        <v>533</v>
      </c>
      <c r="C201" s="66" t="s">
        <v>133</v>
      </c>
      <c r="D201" s="66" t="str">
        <f t="shared" si="6"/>
        <v>0200</v>
      </c>
      <c r="E201" s="66">
        <f t="shared" si="7"/>
        <v>1</v>
      </c>
    </row>
    <row r="202" spans="1:5" x14ac:dyDescent="0.15">
      <c r="A202" s="66" t="s">
        <v>534</v>
      </c>
      <c r="B202" s="66" t="s">
        <v>535</v>
      </c>
      <c r="C202" s="66" t="s">
        <v>133</v>
      </c>
      <c r="D202" s="66" t="str">
        <f t="shared" si="6"/>
        <v>0201</v>
      </c>
      <c r="E202" s="66">
        <f t="shared" si="7"/>
        <v>1</v>
      </c>
    </row>
    <row r="203" spans="1:5" x14ac:dyDescent="0.15">
      <c r="A203" s="66" t="s">
        <v>536</v>
      </c>
      <c r="B203" s="66" t="s">
        <v>537</v>
      </c>
      <c r="C203" s="66" t="s">
        <v>131</v>
      </c>
      <c r="D203" s="66" t="str">
        <f t="shared" si="6"/>
        <v>0202</v>
      </c>
      <c r="E203" s="66">
        <f t="shared" si="7"/>
        <v>1</v>
      </c>
    </row>
    <row r="204" spans="1:5" x14ac:dyDescent="0.15">
      <c r="A204" s="66" t="s">
        <v>538</v>
      </c>
      <c r="B204" s="66" t="s">
        <v>539</v>
      </c>
      <c r="C204" s="66" t="s">
        <v>133</v>
      </c>
      <c r="D204" s="66" t="str">
        <f t="shared" si="6"/>
        <v>0203</v>
      </c>
      <c r="E204" s="66">
        <f t="shared" si="7"/>
        <v>1</v>
      </c>
    </row>
    <row r="205" spans="1:5" x14ac:dyDescent="0.15">
      <c r="A205" s="66" t="s">
        <v>540</v>
      </c>
      <c r="B205" s="66" t="s">
        <v>541</v>
      </c>
      <c r="C205" s="66" t="s">
        <v>277</v>
      </c>
      <c r="D205" s="66" t="str">
        <f t="shared" si="6"/>
        <v>0204</v>
      </c>
      <c r="E205" s="66">
        <f t="shared" si="7"/>
        <v>1</v>
      </c>
    </row>
    <row r="206" spans="1:5" x14ac:dyDescent="0.15">
      <c r="A206" s="66" t="s">
        <v>542</v>
      </c>
      <c r="B206" s="66" t="s">
        <v>543</v>
      </c>
      <c r="C206" s="66" t="s">
        <v>75</v>
      </c>
      <c r="D206" s="66" t="str">
        <f t="shared" si="6"/>
        <v>0205</v>
      </c>
      <c r="E206" s="66">
        <f t="shared" si="7"/>
        <v>2</v>
      </c>
    </row>
    <row r="207" spans="1:5" x14ac:dyDescent="0.15">
      <c r="A207" s="66" t="s">
        <v>544</v>
      </c>
      <c r="B207" s="66" t="s">
        <v>545</v>
      </c>
      <c r="C207" s="66" t="s">
        <v>458</v>
      </c>
      <c r="D207" s="66" t="str">
        <f t="shared" si="6"/>
        <v>0206</v>
      </c>
      <c r="E207" s="66">
        <f t="shared" si="7"/>
        <v>1</v>
      </c>
    </row>
    <row r="208" spans="1:5" x14ac:dyDescent="0.15">
      <c r="A208" s="66" t="s">
        <v>546</v>
      </c>
      <c r="B208" s="66" t="s">
        <v>547</v>
      </c>
      <c r="C208" s="66" t="s">
        <v>385</v>
      </c>
      <c r="D208" s="66" t="str">
        <f t="shared" si="6"/>
        <v>0207</v>
      </c>
      <c r="E208" s="66">
        <f t="shared" si="7"/>
        <v>1</v>
      </c>
    </row>
    <row r="209" spans="1:5" x14ac:dyDescent="0.15">
      <c r="A209" s="66" t="s">
        <v>548</v>
      </c>
      <c r="B209" s="66" t="s">
        <v>549</v>
      </c>
      <c r="C209" s="66" t="s">
        <v>424</v>
      </c>
      <c r="D209" s="66" t="str">
        <f t="shared" si="6"/>
        <v>0208</v>
      </c>
      <c r="E209" s="66">
        <f t="shared" si="7"/>
        <v>1</v>
      </c>
    </row>
    <row r="210" spans="1:5" x14ac:dyDescent="0.15">
      <c r="A210" s="66" t="s">
        <v>550</v>
      </c>
      <c r="B210" s="66" t="s">
        <v>551</v>
      </c>
      <c r="C210" s="66" t="s">
        <v>133</v>
      </c>
      <c r="D210" s="66" t="str">
        <f t="shared" si="6"/>
        <v>0209</v>
      </c>
      <c r="E210" s="66">
        <f t="shared" si="7"/>
        <v>1</v>
      </c>
    </row>
    <row r="211" spans="1:5" x14ac:dyDescent="0.15">
      <c r="A211" s="66" t="s">
        <v>552</v>
      </c>
      <c r="B211" s="66" t="s">
        <v>553</v>
      </c>
      <c r="C211" s="66" t="s">
        <v>131</v>
      </c>
      <c r="D211" s="66" t="str">
        <f t="shared" si="6"/>
        <v>0210</v>
      </c>
      <c r="E211" s="66">
        <f t="shared" si="7"/>
        <v>1</v>
      </c>
    </row>
    <row r="212" spans="1:5" x14ac:dyDescent="0.15">
      <c r="A212" s="66" t="s">
        <v>554</v>
      </c>
      <c r="B212" s="66" t="s">
        <v>555</v>
      </c>
      <c r="C212" s="66" t="s">
        <v>133</v>
      </c>
      <c r="D212" s="66" t="str">
        <f t="shared" si="6"/>
        <v>0211</v>
      </c>
      <c r="E212" s="66">
        <f t="shared" si="7"/>
        <v>1</v>
      </c>
    </row>
    <row r="213" spans="1:5" x14ac:dyDescent="0.15">
      <c r="A213" s="66" t="s">
        <v>556</v>
      </c>
      <c r="B213" s="66" t="s">
        <v>557</v>
      </c>
      <c r="C213" s="66" t="s">
        <v>340</v>
      </c>
      <c r="D213" s="66" t="str">
        <f t="shared" si="6"/>
        <v>0215</v>
      </c>
      <c r="E213" s="66">
        <f t="shared" si="7"/>
        <v>1</v>
      </c>
    </row>
    <row r="214" spans="1:5" x14ac:dyDescent="0.15">
      <c r="A214" s="66" t="s">
        <v>558</v>
      </c>
      <c r="B214" s="66" t="s">
        <v>559</v>
      </c>
      <c r="C214" s="66" t="s">
        <v>75</v>
      </c>
      <c r="D214" s="66" t="str">
        <f t="shared" si="6"/>
        <v>0216</v>
      </c>
      <c r="E214" s="66">
        <f t="shared" si="7"/>
        <v>1</v>
      </c>
    </row>
    <row r="215" spans="1:5" x14ac:dyDescent="0.15">
      <c r="A215" s="66" t="s">
        <v>560</v>
      </c>
      <c r="B215" s="66" t="s">
        <v>561</v>
      </c>
      <c r="C215" s="66" t="s">
        <v>133</v>
      </c>
      <c r="D215" s="66" t="str">
        <f t="shared" si="6"/>
        <v>0217</v>
      </c>
      <c r="E215" s="66">
        <f t="shared" si="7"/>
        <v>1</v>
      </c>
    </row>
    <row r="216" spans="1:5" x14ac:dyDescent="0.15">
      <c r="A216" s="66" t="s">
        <v>562</v>
      </c>
      <c r="B216" s="66" t="s">
        <v>563</v>
      </c>
      <c r="C216" s="66" t="s">
        <v>75</v>
      </c>
      <c r="D216" s="66" t="str">
        <f t="shared" si="6"/>
        <v>0218</v>
      </c>
      <c r="E216" s="66">
        <f t="shared" si="7"/>
        <v>1</v>
      </c>
    </row>
    <row r="217" spans="1:5" x14ac:dyDescent="0.15">
      <c r="A217" s="66" t="s">
        <v>564</v>
      </c>
      <c r="B217" s="66" t="s">
        <v>565</v>
      </c>
      <c r="C217" s="66" t="s">
        <v>133</v>
      </c>
      <c r="D217" s="66" t="str">
        <f t="shared" si="6"/>
        <v>0219</v>
      </c>
      <c r="E217" s="66">
        <f t="shared" si="7"/>
        <v>1</v>
      </c>
    </row>
    <row r="218" spans="1:5" x14ac:dyDescent="0.15">
      <c r="A218" s="66" t="s">
        <v>566</v>
      </c>
      <c r="B218" s="66" t="s">
        <v>567</v>
      </c>
      <c r="C218" s="66" t="s">
        <v>133</v>
      </c>
      <c r="D218" s="66" t="str">
        <f t="shared" si="6"/>
        <v>0220</v>
      </c>
      <c r="E218" s="66">
        <f t="shared" si="7"/>
        <v>1</v>
      </c>
    </row>
    <row r="219" spans="1:5" x14ac:dyDescent="0.15">
      <c r="A219" s="66" t="s">
        <v>568</v>
      </c>
      <c r="B219" s="66" t="s">
        <v>569</v>
      </c>
      <c r="C219" s="66" t="s">
        <v>133</v>
      </c>
      <c r="D219" s="66" t="str">
        <f t="shared" si="6"/>
        <v>0221</v>
      </c>
      <c r="E219" s="66">
        <f t="shared" si="7"/>
        <v>1</v>
      </c>
    </row>
    <row r="220" spans="1:5" x14ac:dyDescent="0.15">
      <c r="A220" s="66" t="s">
        <v>570</v>
      </c>
      <c r="B220" s="66" t="s">
        <v>571</v>
      </c>
      <c r="C220" s="66" t="s">
        <v>133</v>
      </c>
      <c r="D220" s="66" t="str">
        <f t="shared" si="6"/>
        <v>0222</v>
      </c>
      <c r="E220" s="66">
        <f t="shared" si="7"/>
        <v>2</v>
      </c>
    </row>
    <row r="221" spans="1:5" x14ac:dyDescent="0.15">
      <c r="A221" s="66" t="s">
        <v>572</v>
      </c>
      <c r="B221" s="66" t="s">
        <v>573</v>
      </c>
      <c r="C221" s="66" t="s">
        <v>86</v>
      </c>
      <c r="D221" s="66" t="str">
        <f t="shared" si="6"/>
        <v>0223</v>
      </c>
      <c r="E221" s="66">
        <f t="shared" si="7"/>
        <v>1</v>
      </c>
    </row>
    <row r="222" spans="1:5" x14ac:dyDescent="0.15">
      <c r="A222" s="66" t="s">
        <v>574</v>
      </c>
      <c r="B222" s="66" t="s">
        <v>575</v>
      </c>
      <c r="C222" s="66" t="s">
        <v>67</v>
      </c>
      <c r="D222" s="66" t="str">
        <f t="shared" si="6"/>
        <v>0224</v>
      </c>
      <c r="E222" s="66">
        <f t="shared" si="7"/>
        <v>1</v>
      </c>
    </row>
    <row r="223" spans="1:5" x14ac:dyDescent="0.15">
      <c r="A223" s="66" t="s">
        <v>576</v>
      </c>
      <c r="B223" s="66" t="s">
        <v>577</v>
      </c>
      <c r="C223" s="66" t="s">
        <v>86</v>
      </c>
      <c r="D223" s="66" t="str">
        <f t="shared" si="6"/>
        <v>0225</v>
      </c>
      <c r="E223" s="66">
        <f t="shared" si="7"/>
        <v>1</v>
      </c>
    </row>
    <row r="224" spans="1:5" x14ac:dyDescent="0.15">
      <c r="A224" s="66" t="s">
        <v>578</v>
      </c>
      <c r="B224" s="66" t="s">
        <v>579</v>
      </c>
      <c r="C224" s="66" t="s">
        <v>385</v>
      </c>
      <c r="D224" s="66" t="str">
        <f t="shared" si="6"/>
        <v>0226</v>
      </c>
      <c r="E224" s="66">
        <f t="shared" si="7"/>
        <v>1</v>
      </c>
    </row>
    <row r="225" spans="1:5" x14ac:dyDescent="0.15">
      <c r="A225" s="66" t="s">
        <v>580</v>
      </c>
      <c r="B225" s="66" t="s">
        <v>581</v>
      </c>
      <c r="C225" s="66" t="s">
        <v>140</v>
      </c>
      <c r="D225" s="66" t="str">
        <f t="shared" si="6"/>
        <v>0227</v>
      </c>
      <c r="E225" s="66">
        <f t="shared" si="7"/>
        <v>1</v>
      </c>
    </row>
    <row r="226" spans="1:5" x14ac:dyDescent="0.15">
      <c r="A226" s="66" t="s">
        <v>582</v>
      </c>
      <c r="B226" s="66" t="s">
        <v>583</v>
      </c>
      <c r="C226" s="66" t="s">
        <v>75</v>
      </c>
      <c r="D226" s="66" t="str">
        <f t="shared" si="6"/>
        <v>0228</v>
      </c>
      <c r="E226" s="66">
        <f t="shared" si="7"/>
        <v>1</v>
      </c>
    </row>
    <row r="227" spans="1:5" x14ac:dyDescent="0.15">
      <c r="A227" s="66" t="s">
        <v>584</v>
      </c>
      <c r="B227" s="66" t="s">
        <v>585</v>
      </c>
      <c r="C227" s="66" t="s">
        <v>75</v>
      </c>
      <c r="D227" s="66" t="str">
        <f t="shared" si="6"/>
        <v>0229</v>
      </c>
      <c r="E227" s="66">
        <f t="shared" si="7"/>
        <v>1</v>
      </c>
    </row>
    <row r="228" spans="1:5" x14ac:dyDescent="0.15">
      <c r="A228" s="66" t="s">
        <v>586</v>
      </c>
      <c r="B228" s="66" t="s">
        <v>587</v>
      </c>
      <c r="C228" s="66" t="s">
        <v>588</v>
      </c>
      <c r="D228" s="66" t="str">
        <f t="shared" si="6"/>
        <v>0230</v>
      </c>
      <c r="E228" s="66">
        <f t="shared" si="7"/>
        <v>1</v>
      </c>
    </row>
    <row r="229" spans="1:5" x14ac:dyDescent="0.15">
      <c r="A229" s="66" t="s">
        <v>589</v>
      </c>
      <c r="B229" s="66" t="s">
        <v>590</v>
      </c>
      <c r="C229" s="66" t="s">
        <v>140</v>
      </c>
      <c r="D229" s="66" t="str">
        <f t="shared" si="6"/>
        <v>0231</v>
      </c>
      <c r="E229" s="66">
        <f t="shared" si="7"/>
        <v>1</v>
      </c>
    </row>
    <row r="230" spans="1:5" x14ac:dyDescent="0.15">
      <c r="A230" s="66" t="s">
        <v>591</v>
      </c>
      <c r="B230" s="66" t="s">
        <v>592</v>
      </c>
      <c r="C230" s="66" t="s">
        <v>133</v>
      </c>
      <c r="D230" s="66" t="str">
        <f t="shared" si="6"/>
        <v>0232</v>
      </c>
      <c r="E230" s="66">
        <f t="shared" si="7"/>
        <v>1</v>
      </c>
    </row>
    <row r="231" spans="1:5" x14ac:dyDescent="0.15">
      <c r="A231" s="66" t="s">
        <v>593</v>
      </c>
      <c r="B231" s="66" t="s">
        <v>594</v>
      </c>
      <c r="C231" s="66" t="s">
        <v>75</v>
      </c>
      <c r="D231" s="66" t="str">
        <f t="shared" si="6"/>
        <v>0233</v>
      </c>
      <c r="E231" s="66">
        <f t="shared" si="7"/>
        <v>1</v>
      </c>
    </row>
    <row r="232" spans="1:5" x14ac:dyDescent="0.15">
      <c r="A232" s="66" t="s">
        <v>595</v>
      </c>
      <c r="B232" s="66" t="s">
        <v>596</v>
      </c>
      <c r="C232" s="66" t="s">
        <v>86</v>
      </c>
      <c r="D232" s="66" t="str">
        <f t="shared" si="6"/>
        <v>0234</v>
      </c>
      <c r="E232" s="66">
        <f t="shared" si="7"/>
        <v>1</v>
      </c>
    </row>
    <row r="233" spans="1:5" x14ac:dyDescent="0.15">
      <c r="A233" s="66" t="s">
        <v>597</v>
      </c>
      <c r="B233" s="66" t="s">
        <v>598</v>
      </c>
      <c r="C233" s="66" t="s">
        <v>140</v>
      </c>
      <c r="D233" s="66" t="str">
        <f t="shared" si="6"/>
        <v>0235</v>
      </c>
      <c r="E233" s="66">
        <f t="shared" si="7"/>
        <v>1</v>
      </c>
    </row>
    <row r="234" spans="1:5" x14ac:dyDescent="0.15">
      <c r="A234" s="66" t="s">
        <v>599</v>
      </c>
      <c r="B234" s="66" t="s">
        <v>600</v>
      </c>
      <c r="C234" s="66" t="s">
        <v>140</v>
      </c>
      <c r="D234" s="66" t="str">
        <f t="shared" si="6"/>
        <v>0236</v>
      </c>
      <c r="E234" s="66">
        <f t="shared" si="7"/>
        <v>1</v>
      </c>
    </row>
    <row r="235" spans="1:5" x14ac:dyDescent="0.15">
      <c r="A235" s="66" t="s">
        <v>601</v>
      </c>
      <c r="B235" s="66" t="s">
        <v>602</v>
      </c>
      <c r="C235" s="66" t="s">
        <v>140</v>
      </c>
      <c r="D235" s="66" t="str">
        <f t="shared" si="6"/>
        <v>0237</v>
      </c>
      <c r="E235" s="66">
        <f t="shared" si="7"/>
        <v>1</v>
      </c>
    </row>
    <row r="236" spans="1:5" x14ac:dyDescent="0.15">
      <c r="A236" s="66" t="s">
        <v>603</v>
      </c>
      <c r="B236" s="66" t="s">
        <v>604</v>
      </c>
      <c r="C236" s="66" t="s">
        <v>140</v>
      </c>
      <c r="D236" s="66" t="str">
        <f t="shared" si="6"/>
        <v>0238</v>
      </c>
      <c r="E236" s="66">
        <f t="shared" si="7"/>
        <v>1</v>
      </c>
    </row>
    <row r="237" spans="1:5" x14ac:dyDescent="0.15">
      <c r="A237" s="66" t="s">
        <v>605</v>
      </c>
      <c r="B237" s="66" t="s">
        <v>606</v>
      </c>
      <c r="C237" s="66" t="s">
        <v>140</v>
      </c>
      <c r="D237" s="66" t="str">
        <f t="shared" si="6"/>
        <v>0239</v>
      </c>
      <c r="E237" s="66">
        <f t="shared" si="7"/>
        <v>1</v>
      </c>
    </row>
    <row r="238" spans="1:5" x14ac:dyDescent="0.15">
      <c r="A238" s="66" t="s">
        <v>607</v>
      </c>
      <c r="B238" s="66" t="s">
        <v>608</v>
      </c>
      <c r="C238" s="66" t="s">
        <v>140</v>
      </c>
      <c r="D238" s="66" t="str">
        <f t="shared" si="6"/>
        <v>0240</v>
      </c>
      <c r="E238" s="66">
        <f t="shared" si="7"/>
        <v>1</v>
      </c>
    </row>
    <row r="239" spans="1:5" x14ac:dyDescent="0.15">
      <c r="A239" s="66" t="s">
        <v>609</v>
      </c>
      <c r="B239" s="66" t="s">
        <v>610</v>
      </c>
      <c r="C239" s="66" t="s">
        <v>140</v>
      </c>
      <c r="D239" s="66" t="str">
        <f t="shared" si="6"/>
        <v>0241</v>
      </c>
      <c r="E239" s="66">
        <f t="shared" si="7"/>
        <v>1</v>
      </c>
    </row>
    <row r="240" spans="1:5" x14ac:dyDescent="0.15">
      <c r="A240" s="66" t="s">
        <v>611</v>
      </c>
      <c r="B240" s="66" t="s">
        <v>612</v>
      </c>
      <c r="C240" s="66" t="s">
        <v>140</v>
      </c>
      <c r="D240" s="66" t="str">
        <f t="shared" si="6"/>
        <v>0242</v>
      </c>
      <c r="E240" s="66">
        <f t="shared" si="7"/>
        <v>1</v>
      </c>
    </row>
    <row r="241" spans="1:5" x14ac:dyDescent="0.15">
      <c r="A241" s="66" t="s">
        <v>613</v>
      </c>
      <c r="B241" s="66" t="s">
        <v>614</v>
      </c>
      <c r="C241" s="66" t="s">
        <v>140</v>
      </c>
      <c r="D241" s="66" t="str">
        <f t="shared" si="6"/>
        <v>0243</v>
      </c>
      <c r="E241" s="66">
        <f t="shared" si="7"/>
        <v>1</v>
      </c>
    </row>
    <row r="242" spans="1:5" x14ac:dyDescent="0.15">
      <c r="A242" s="66" t="s">
        <v>615</v>
      </c>
      <c r="B242" s="66" t="s">
        <v>616</v>
      </c>
      <c r="C242" s="66" t="s">
        <v>140</v>
      </c>
      <c r="D242" s="66" t="str">
        <f t="shared" si="6"/>
        <v>0244</v>
      </c>
      <c r="E242" s="66">
        <f t="shared" si="7"/>
        <v>1</v>
      </c>
    </row>
    <row r="243" spans="1:5" x14ac:dyDescent="0.15">
      <c r="A243" s="66" t="s">
        <v>617</v>
      </c>
      <c r="B243" s="66" t="s">
        <v>618</v>
      </c>
      <c r="C243" s="66" t="s">
        <v>140</v>
      </c>
      <c r="D243" s="66" t="str">
        <f t="shared" si="6"/>
        <v>0245</v>
      </c>
      <c r="E243" s="66">
        <f t="shared" si="7"/>
        <v>1</v>
      </c>
    </row>
    <row r="244" spans="1:5" x14ac:dyDescent="0.15">
      <c r="A244" s="66" t="s">
        <v>619</v>
      </c>
      <c r="B244" s="66" t="s">
        <v>620</v>
      </c>
      <c r="C244" s="66" t="s">
        <v>140</v>
      </c>
      <c r="D244" s="66" t="str">
        <f t="shared" si="6"/>
        <v>0246</v>
      </c>
      <c r="E244" s="66">
        <f t="shared" si="7"/>
        <v>1</v>
      </c>
    </row>
    <row r="245" spans="1:5" x14ac:dyDescent="0.15">
      <c r="A245" s="66" t="s">
        <v>621</v>
      </c>
      <c r="B245" s="66" t="s">
        <v>622</v>
      </c>
      <c r="C245" s="66" t="s">
        <v>140</v>
      </c>
      <c r="D245" s="66" t="str">
        <f t="shared" si="6"/>
        <v>0247</v>
      </c>
      <c r="E245" s="66">
        <f t="shared" si="7"/>
        <v>1</v>
      </c>
    </row>
    <row r="246" spans="1:5" x14ac:dyDescent="0.15">
      <c r="A246" s="66" t="s">
        <v>623</v>
      </c>
      <c r="B246" s="66" t="s">
        <v>624</v>
      </c>
      <c r="C246" s="66" t="s">
        <v>140</v>
      </c>
      <c r="D246" s="66" t="str">
        <f t="shared" si="6"/>
        <v>0248</v>
      </c>
      <c r="E246" s="66">
        <f t="shared" si="7"/>
        <v>1</v>
      </c>
    </row>
    <row r="247" spans="1:5" x14ac:dyDescent="0.15">
      <c r="A247" s="66" t="s">
        <v>625</v>
      </c>
      <c r="B247" s="66" t="s">
        <v>626</v>
      </c>
      <c r="C247" s="66" t="s">
        <v>140</v>
      </c>
      <c r="D247" s="66" t="str">
        <f t="shared" si="6"/>
        <v>0249</v>
      </c>
      <c r="E247" s="66">
        <f t="shared" si="7"/>
        <v>1</v>
      </c>
    </row>
    <row r="248" spans="1:5" x14ac:dyDescent="0.15">
      <c r="A248" s="66" t="s">
        <v>627</v>
      </c>
      <c r="B248" s="66" t="s">
        <v>628</v>
      </c>
      <c r="C248" s="66" t="s">
        <v>140</v>
      </c>
      <c r="D248" s="66" t="str">
        <f t="shared" si="6"/>
        <v>0250</v>
      </c>
      <c r="E248" s="66">
        <f t="shared" si="7"/>
        <v>1</v>
      </c>
    </row>
    <row r="249" spans="1:5" x14ac:dyDescent="0.15">
      <c r="A249" s="66" t="s">
        <v>629</v>
      </c>
      <c r="B249" s="66" t="s">
        <v>630</v>
      </c>
      <c r="C249" s="66" t="s">
        <v>140</v>
      </c>
      <c r="D249" s="66" t="str">
        <f t="shared" si="6"/>
        <v>0251</v>
      </c>
      <c r="E249" s="66">
        <f t="shared" si="7"/>
        <v>1</v>
      </c>
    </row>
    <row r="250" spans="1:5" x14ac:dyDescent="0.15">
      <c r="A250" s="66" t="s">
        <v>631</v>
      </c>
      <c r="B250" s="66" t="s">
        <v>632</v>
      </c>
      <c r="C250" s="66" t="s">
        <v>140</v>
      </c>
      <c r="D250" s="66" t="str">
        <f t="shared" si="6"/>
        <v>0252</v>
      </c>
      <c r="E250" s="66">
        <f t="shared" si="7"/>
        <v>1</v>
      </c>
    </row>
    <row r="251" spans="1:5" x14ac:dyDescent="0.15">
      <c r="A251" s="66" t="s">
        <v>633</v>
      </c>
      <c r="B251" s="66" t="s">
        <v>634</v>
      </c>
      <c r="C251" s="66" t="s">
        <v>140</v>
      </c>
      <c r="D251" s="66" t="str">
        <f t="shared" si="6"/>
        <v>0253</v>
      </c>
      <c r="E251" s="66">
        <f t="shared" si="7"/>
        <v>1</v>
      </c>
    </row>
    <row r="252" spans="1:5" x14ac:dyDescent="0.15">
      <c r="A252" s="66" t="s">
        <v>635</v>
      </c>
      <c r="B252" s="66" t="s">
        <v>636</v>
      </c>
      <c r="C252" s="66" t="s">
        <v>140</v>
      </c>
      <c r="D252" s="66" t="str">
        <f t="shared" si="6"/>
        <v>0254</v>
      </c>
      <c r="E252" s="66">
        <f t="shared" si="7"/>
        <v>1</v>
      </c>
    </row>
    <row r="253" spans="1:5" x14ac:dyDescent="0.15">
      <c r="A253" s="66" t="s">
        <v>637</v>
      </c>
      <c r="B253" s="66" t="s">
        <v>638</v>
      </c>
      <c r="C253" s="66" t="s">
        <v>140</v>
      </c>
      <c r="D253" s="66" t="str">
        <f t="shared" si="6"/>
        <v>0255</v>
      </c>
      <c r="E253" s="66">
        <f t="shared" si="7"/>
        <v>1</v>
      </c>
    </row>
    <row r="254" spans="1:5" x14ac:dyDescent="0.15">
      <c r="A254" s="66" t="s">
        <v>639</v>
      </c>
      <c r="B254" s="66" t="s">
        <v>640</v>
      </c>
      <c r="C254" s="66" t="s">
        <v>140</v>
      </c>
      <c r="D254" s="66" t="str">
        <f t="shared" si="6"/>
        <v>0256</v>
      </c>
      <c r="E254" s="66">
        <f t="shared" si="7"/>
        <v>1</v>
      </c>
    </row>
    <row r="255" spans="1:5" x14ac:dyDescent="0.15">
      <c r="A255" s="66" t="s">
        <v>641</v>
      </c>
      <c r="B255" s="66" t="s">
        <v>642</v>
      </c>
      <c r="C255" s="66" t="s">
        <v>140</v>
      </c>
      <c r="D255" s="66" t="str">
        <f t="shared" si="6"/>
        <v>0257</v>
      </c>
      <c r="E255" s="66">
        <f t="shared" si="7"/>
        <v>1</v>
      </c>
    </row>
    <row r="256" spans="1:5" x14ac:dyDescent="0.15">
      <c r="A256" s="66" t="s">
        <v>643</v>
      </c>
      <c r="B256" s="66" t="s">
        <v>644</v>
      </c>
      <c r="C256" s="66" t="s">
        <v>133</v>
      </c>
      <c r="D256" s="66" t="str">
        <f t="shared" si="6"/>
        <v>0258</v>
      </c>
      <c r="E256" s="66">
        <f t="shared" si="7"/>
        <v>1</v>
      </c>
    </row>
    <row r="257" spans="1:5" x14ac:dyDescent="0.15">
      <c r="A257" s="66" t="s">
        <v>645</v>
      </c>
      <c r="B257" s="66" t="s">
        <v>646</v>
      </c>
      <c r="C257" s="66" t="s">
        <v>133</v>
      </c>
      <c r="D257" s="66" t="str">
        <f t="shared" si="6"/>
        <v>0259</v>
      </c>
      <c r="E257" s="66">
        <f t="shared" si="7"/>
        <v>1</v>
      </c>
    </row>
    <row r="258" spans="1:5" x14ac:dyDescent="0.15">
      <c r="A258" s="66" t="s">
        <v>647</v>
      </c>
      <c r="B258" s="66" t="s">
        <v>648</v>
      </c>
      <c r="C258" s="66" t="s">
        <v>133</v>
      </c>
      <c r="D258" s="66" t="str">
        <f t="shared" ref="D258:D321" si="8">A258</f>
        <v>0260</v>
      </c>
      <c r="E258" s="66">
        <f t="shared" ref="E258:E321" si="9">COUNTIFS(B:B,B258)</f>
        <v>1</v>
      </c>
    </row>
    <row r="259" spans="1:5" x14ac:dyDescent="0.15">
      <c r="A259" s="66" t="s">
        <v>649</v>
      </c>
      <c r="B259" s="66" t="s">
        <v>650</v>
      </c>
      <c r="C259" s="66" t="s">
        <v>133</v>
      </c>
      <c r="D259" s="66" t="str">
        <f t="shared" si="8"/>
        <v>0261</v>
      </c>
      <c r="E259" s="66">
        <f t="shared" si="9"/>
        <v>1</v>
      </c>
    </row>
    <row r="260" spans="1:5" x14ac:dyDescent="0.15">
      <c r="A260" s="66" t="s">
        <v>651</v>
      </c>
      <c r="B260" s="66" t="s">
        <v>652</v>
      </c>
      <c r="C260" s="66" t="s">
        <v>340</v>
      </c>
      <c r="D260" s="66" t="str">
        <f t="shared" si="8"/>
        <v>0262</v>
      </c>
      <c r="E260" s="66">
        <f t="shared" si="9"/>
        <v>1</v>
      </c>
    </row>
    <row r="261" spans="1:5" x14ac:dyDescent="0.15">
      <c r="A261" s="66" t="s">
        <v>653</v>
      </c>
      <c r="B261" s="66" t="s">
        <v>654</v>
      </c>
      <c r="C261" s="66" t="s">
        <v>75</v>
      </c>
      <c r="D261" s="66" t="str">
        <f t="shared" si="8"/>
        <v>0263</v>
      </c>
      <c r="E261" s="66">
        <f t="shared" si="9"/>
        <v>1</v>
      </c>
    </row>
    <row r="262" spans="1:5" x14ac:dyDescent="0.15">
      <c r="A262" s="66" t="s">
        <v>655</v>
      </c>
      <c r="B262" s="66" t="s">
        <v>656</v>
      </c>
      <c r="C262" s="66" t="s">
        <v>340</v>
      </c>
      <c r="D262" s="66" t="str">
        <f t="shared" si="8"/>
        <v>0264</v>
      </c>
      <c r="E262" s="66">
        <f t="shared" si="9"/>
        <v>1</v>
      </c>
    </row>
    <row r="263" spans="1:5" x14ac:dyDescent="0.15">
      <c r="A263" s="66" t="s">
        <v>657</v>
      </c>
      <c r="B263" s="66" t="s">
        <v>658</v>
      </c>
      <c r="C263" s="66" t="s">
        <v>140</v>
      </c>
      <c r="D263" s="66" t="str">
        <f t="shared" si="8"/>
        <v>0265</v>
      </c>
      <c r="E263" s="66">
        <f t="shared" si="9"/>
        <v>1</v>
      </c>
    </row>
    <row r="264" spans="1:5" x14ac:dyDescent="0.15">
      <c r="A264" s="66" t="s">
        <v>659</v>
      </c>
      <c r="B264" s="66" t="s">
        <v>660</v>
      </c>
      <c r="C264" s="66" t="s">
        <v>140</v>
      </c>
      <c r="D264" s="66" t="str">
        <f t="shared" si="8"/>
        <v>0266</v>
      </c>
      <c r="E264" s="66">
        <f t="shared" si="9"/>
        <v>1</v>
      </c>
    </row>
    <row r="265" spans="1:5" x14ac:dyDescent="0.15">
      <c r="A265" s="66" t="s">
        <v>661</v>
      </c>
      <c r="B265" s="66" t="s">
        <v>662</v>
      </c>
      <c r="C265" s="66" t="s">
        <v>75</v>
      </c>
      <c r="D265" s="66" t="str">
        <f t="shared" si="8"/>
        <v>0267</v>
      </c>
      <c r="E265" s="66">
        <f t="shared" si="9"/>
        <v>1</v>
      </c>
    </row>
    <row r="266" spans="1:5" x14ac:dyDescent="0.15">
      <c r="A266" s="66" t="s">
        <v>663</v>
      </c>
      <c r="B266" s="66" t="s">
        <v>664</v>
      </c>
      <c r="C266" s="66" t="s">
        <v>433</v>
      </c>
      <c r="D266" s="66" t="str">
        <f t="shared" si="8"/>
        <v>0268</v>
      </c>
      <c r="E266" s="66">
        <f t="shared" si="9"/>
        <v>1</v>
      </c>
    </row>
    <row r="267" spans="1:5" x14ac:dyDescent="0.15">
      <c r="A267" s="66" t="s">
        <v>665</v>
      </c>
      <c r="B267" s="66" t="s">
        <v>666</v>
      </c>
      <c r="C267" s="66" t="s">
        <v>131</v>
      </c>
      <c r="D267" s="66" t="str">
        <f t="shared" si="8"/>
        <v>0269</v>
      </c>
      <c r="E267" s="66">
        <f t="shared" si="9"/>
        <v>1</v>
      </c>
    </row>
    <row r="268" spans="1:5" x14ac:dyDescent="0.15">
      <c r="A268" s="66" t="s">
        <v>667</v>
      </c>
      <c r="B268" s="66" t="s">
        <v>668</v>
      </c>
      <c r="C268" s="66" t="s">
        <v>86</v>
      </c>
      <c r="D268" s="66" t="str">
        <f t="shared" si="8"/>
        <v>0270</v>
      </c>
      <c r="E268" s="66">
        <f t="shared" si="9"/>
        <v>1</v>
      </c>
    </row>
    <row r="269" spans="1:5" x14ac:dyDescent="0.15">
      <c r="A269" s="66" t="s">
        <v>669</v>
      </c>
      <c r="B269" s="66" t="s">
        <v>670</v>
      </c>
      <c r="C269" s="66" t="s">
        <v>86</v>
      </c>
      <c r="D269" s="66" t="str">
        <f t="shared" si="8"/>
        <v>0271</v>
      </c>
      <c r="E269" s="66">
        <f t="shared" si="9"/>
        <v>1</v>
      </c>
    </row>
    <row r="270" spans="1:5" x14ac:dyDescent="0.15">
      <c r="A270" s="66" t="s">
        <v>671</v>
      </c>
      <c r="B270" s="66" t="s">
        <v>672</v>
      </c>
      <c r="C270" s="66" t="s">
        <v>86</v>
      </c>
      <c r="D270" s="66" t="str">
        <f t="shared" si="8"/>
        <v>0272</v>
      </c>
      <c r="E270" s="66">
        <f t="shared" si="9"/>
        <v>1</v>
      </c>
    </row>
    <row r="271" spans="1:5" x14ac:dyDescent="0.15">
      <c r="A271" s="66" t="s">
        <v>673</v>
      </c>
      <c r="B271" s="66" t="s">
        <v>674</v>
      </c>
      <c r="C271" s="66" t="s">
        <v>86</v>
      </c>
      <c r="D271" s="66" t="str">
        <f t="shared" si="8"/>
        <v>0273</v>
      </c>
      <c r="E271" s="66">
        <f t="shared" si="9"/>
        <v>1</v>
      </c>
    </row>
    <row r="272" spans="1:5" x14ac:dyDescent="0.15">
      <c r="A272" s="66" t="s">
        <v>675</v>
      </c>
      <c r="B272" s="66" t="s">
        <v>676</v>
      </c>
      <c r="C272" s="66" t="s">
        <v>133</v>
      </c>
      <c r="D272" s="66" t="str">
        <f t="shared" si="8"/>
        <v>0274</v>
      </c>
      <c r="E272" s="66">
        <f t="shared" si="9"/>
        <v>1</v>
      </c>
    </row>
    <row r="273" spans="1:5" x14ac:dyDescent="0.15">
      <c r="A273" s="66" t="s">
        <v>677</v>
      </c>
      <c r="B273" s="66" t="s">
        <v>678</v>
      </c>
      <c r="C273" s="66" t="s">
        <v>140</v>
      </c>
      <c r="D273" s="66" t="str">
        <f t="shared" si="8"/>
        <v>0275</v>
      </c>
      <c r="E273" s="66">
        <f t="shared" si="9"/>
        <v>1</v>
      </c>
    </row>
    <row r="274" spans="1:5" x14ac:dyDescent="0.15">
      <c r="A274" s="66" t="s">
        <v>679</v>
      </c>
      <c r="B274" s="66" t="s">
        <v>680</v>
      </c>
      <c r="C274" s="66" t="s">
        <v>75</v>
      </c>
      <c r="D274" s="66" t="str">
        <f t="shared" si="8"/>
        <v>0276</v>
      </c>
      <c r="E274" s="66">
        <f t="shared" si="9"/>
        <v>1</v>
      </c>
    </row>
    <row r="275" spans="1:5" x14ac:dyDescent="0.15">
      <c r="A275" s="66" t="s">
        <v>681</v>
      </c>
      <c r="B275" s="66" t="s">
        <v>682</v>
      </c>
      <c r="C275" s="66" t="s">
        <v>75</v>
      </c>
      <c r="D275" s="66" t="str">
        <f t="shared" si="8"/>
        <v>0277</v>
      </c>
      <c r="E275" s="66">
        <f t="shared" si="9"/>
        <v>1</v>
      </c>
    </row>
    <row r="276" spans="1:5" x14ac:dyDescent="0.15">
      <c r="A276" s="66" t="s">
        <v>683</v>
      </c>
      <c r="B276" s="66" t="s">
        <v>684</v>
      </c>
      <c r="C276" s="66" t="s">
        <v>75</v>
      </c>
      <c r="D276" s="66" t="str">
        <f t="shared" si="8"/>
        <v>0278</v>
      </c>
      <c r="E276" s="66">
        <f t="shared" si="9"/>
        <v>1</v>
      </c>
    </row>
    <row r="277" spans="1:5" x14ac:dyDescent="0.15">
      <c r="A277" s="66" t="s">
        <v>685</v>
      </c>
      <c r="B277" s="66" t="s">
        <v>686</v>
      </c>
      <c r="C277" s="66" t="s">
        <v>75</v>
      </c>
      <c r="D277" s="66" t="str">
        <f t="shared" si="8"/>
        <v>0279</v>
      </c>
      <c r="E277" s="66">
        <f t="shared" si="9"/>
        <v>1</v>
      </c>
    </row>
    <row r="278" spans="1:5" x14ac:dyDescent="0.15">
      <c r="A278" s="66" t="s">
        <v>687</v>
      </c>
      <c r="B278" s="66" t="s">
        <v>688</v>
      </c>
      <c r="C278" s="66" t="s">
        <v>75</v>
      </c>
      <c r="D278" s="66" t="str">
        <f t="shared" si="8"/>
        <v>0280</v>
      </c>
      <c r="E278" s="66">
        <f t="shared" si="9"/>
        <v>1</v>
      </c>
    </row>
    <row r="279" spans="1:5" x14ac:dyDescent="0.15">
      <c r="A279" s="66" t="s">
        <v>689</v>
      </c>
      <c r="B279" s="66" t="s">
        <v>690</v>
      </c>
      <c r="C279" s="66" t="s">
        <v>71</v>
      </c>
      <c r="D279" s="66" t="str">
        <f t="shared" si="8"/>
        <v>0281</v>
      </c>
      <c r="E279" s="66">
        <f t="shared" si="9"/>
        <v>1</v>
      </c>
    </row>
    <row r="280" spans="1:5" x14ac:dyDescent="0.15">
      <c r="A280" s="66" t="s">
        <v>691</v>
      </c>
      <c r="B280" s="66" t="s">
        <v>692</v>
      </c>
      <c r="C280" s="66" t="s">
        <v>71</v>
      </c>
      <c r="D280" s="66" t="str">
        <f t="shared" si="8"/>
        <v>0282</v>
      </c>
      <c r="E280" s="66">
        <f t="shared" si="9"/>
        <v>1</v>
      </c>
    </row>
    <row r="281" spans="1:5" x14ac:dyDescent="0.15">
      <c r="A281" s="66" t="s">
        <v>693</v>
      </c>
      <c r="B281" s="66" t="s">
        <v>694</v>
      </c>
      <c r="C281" s="66" t="s">
        <v>75</v>
      </c>
      <c r="D281" s="66" t="str">
        <f t="shared" si="8"/>
        <v>0283</v>
      </c>
      <c r="E281" s="66">
        <f t="shared" si="9"/>
        <v>1</v>
      </c>
    </row>
    <row r="282" spans="1:5" x14ac:dyDescent="0.15">
      <c r="A282" s="66" t="s">
        <v>695</v>
      </c>
      <c r="B282" s="66" t="s">
        <v>696</v>
      </c>
      <c r="C282" s="66" t="s">
        <v>75</v>
      </c>
      <c r="D282" s="66" t="str">
        <f t="shared" si="8"/>
        <v>0284</v>
      </c>
      <c r="E282" s="66">
        <f t="shared" si="9"/>
        <v>1</v>
      </c>
    </row>
    <row r="283" spans="1:5" x14ac:dyDescent="0.15">
      <c r="A283" s="66" t="s">
        <v>697</v>
      </c>
      <c r="B283" s="66" t="s">
        <v>698</v>
      </c>
      <c r="C283" s="66" t="s">
        <v>75</v>
      </c>
      <c r="D283" s="66" t="str">
        <f t="shared" si="8"/>
        <v>0285</v>
      </c>
      <c r="E283" s="66">
        <f t="shared" si="9"/>
        <v>1</v>
      </c>
    </row>
    <row r="284" spans="1:5" x14ac:dyDescent="0.15">
      <c r="A284" s="66" t="s">
        <v>699</v>
      </c>
      <c r="B284" s="66" t="s">
        <v>700</v>
      </c>
      <c r="C284" s="66" t="s">
        <v>75</v>
      </c>
      <c r="D284" s="66" t="str">
        <f t="shared" si="8"/>
        <v>0286</v>
      </c>
      <c r="E284" s="66">
        <f t="shared" si="9"/>
        <v>1</v>
      </c>
    </row>
    <row r="285" spans="1:5" x14ac:dyDescent="0.15">
      <c r="A285" s="66" t="s">
        <v>701</v>
      </c>
      <c r="B285" s="66" t="s">
        <v>702</v>
      </c>
      <c r="C285" s="66" t="s">
        <v>140</v>
      </c>
      <c r="D285" s="66" t="str">
        <f t="shared" si="8"/>
        <v>0287</v>
      </c>
      <c r="E285" s="66">
        <f t="shared" si="9"/>
        <v>1</v>
      </c>
    </row>
    <row r="286" spans="1:5" x14ac:dyDescent="0.15">
      <c r="A286" s="66" t="s">
        <v>703</v>
      </c>
      <c r="B286" s="66" t="s">
        <v>704</v>
      </c>
      <c r="C286" s="66" t="s">
        <v>140</v>
      </c>
      <c r="D286" s="66" t="str">
        <f t="shared" si="8"/>
        <v>0288</v>
      </c>
      <c r="E286" s="66">
        <f t="shared" si="9"/>
        <v>1</v>
      </c>
    </row>
    <row r="287" spans="1:5" x14ac:dyDescent="0.15">
      <c r="A287" s="66" t="s">
        <v>705</v>
      </c>
      <c r="B287" s="66" t="s">
        <v>706</v>
      </c>
      <c r="C287" s="66" t="s">
        <v>133</v>
      </c>
      <c r="D287" s="66" t="str">
        <f t="shared" si="8"/>
        <v>0289</v>
      </c>
      <c r="E287" s="66">
        <f t="shared" si="9"/>
        <v>1</v>
      </c>
    </row>
    <row r="288" spans="1:5" x14ac:dyDescent="0.15">
      <c r="A288" s="66" t="s">
        <v>707</v>
      </c>
      <c r="B288" s="66" t="s">
        <v>708</v>
      </c>
      <c r="C288" s="66" t="s">
        <v>133</v>
      </c>
      <c r="D288" s="66" t="str">
        <f t="shared" si="8"/>
        <v>0290</v>
      </c>
      <c r="E288" s="66">
        <f t="shared" si="9"/>
        <v>1</v>
      </c>
    </row>
    <row r="289" spans="1:5" x14ac:dyDescent="0.15">
      <c r="A289" s="66" t="s">
        <v>709</v>
      </c>
      <c r="B289" s="66" t="s">
        <v>710</v>
      </c>
      <c r="C289" s="66" t="s">
        <v>133</v>
      </c>
      <c r="D289" s="66" t="str">
        <f t="shared" si="8"/>
        <v>0291</v>
      </c>
      <c r="E289" s="66">
        <f t="shared" si="9"/>
        <v>1</v>
      </c>
    </row>
    <row r="290" spans="1:5" x14ac:dyDescent="0.15">
      <c r="A290" s="66" t="s">
        <v>711</v>
      </c>
      <c r="B290" s="66" t="s">
        <v>712</v>
      </c>
      <c r="C290" s="66" t="s">
        <v>133</v>
      </c>
      <c r="D290" s="66" t="str">
        <f t="shared" si="8"/>
        <v>0292</v>
      </c>
      <c r="E290" s="66">
        <f t="shared" si="9"/>
        <v>1</v>
      </c>
    </row>
    <row r="291" spans="1:5" x14ac:dyDescent="0.15">
      <c r="A291" s="66" t="s">
        <v>713</v>
      </c>
      <c r="B291" s="66" t="s">
        <v>714</v>
      </c>
      <c r="C291" s="66" t="s">
        <v>133</v>
      </c>
      <c r="D291" s="66" t="str">
        <f t="shared" si="8"/>
        <v>0293</v>
      </c>
      <c r="E291" s="66">
        <f t="shared" si="9"/>
        <v>1</v>
      </c>
    </row>
    <row r="292" spans="1:5" x14ac:dyDescent="0.15">
      <c r="A292" s="66" t="s">
        <v>715</v>
      </c>
      <c r="B292" s="66" t="s">
        <v>716</v>
      </c>
      <c r="C292" s="66" t="s">
        <v>75</v>
      </c>
      <c r="D292" s="66" t="str">
        <f t="shared" si="8"/>
        <v>0294</v>
      </c>
      <c r="E292" s="66">
        <f t="shared" si="9"/>
        <v>1</v>
      </c>
    </row>
    <row r="293" spans="1:5" x14ac:dyDescent="0.15">
      <c r="A293" s="66" t="s">
        <v>717</v>
      </c>
      <c r="B293" s="66" t="s">
        <v>718</v>
      </c>
      <c r="C293" s="66" t="s">
        <v>140</v>
      </c>
      <c r="D293" s="66" t="str">
        <f t="shared" si="8"/>
        <v>0295</v>
      </c>
      <c r="E293" s="66">
        <f t="shared" si="9"/>
        <v>1</v>
      </c>
    </row>
    <row r="294" spans="1:5" x14ac:dyDescent="0.15">
      <c r="A294" s="66" t="s">
        <v>719</v>
      </c>
      <c r="B294" s="66" t="s">
        <v>720</v>
      </c>
      <c r="C294" s="66" t="s">
        <v>133</v>
      </c>
      <c r="D294" s="66" t="str">
        <f t="shared" si="8"/>
        <v>0296</v>
      </c>
      <c r="E294" s="66">
        <f t="shared" si="9"/>
        <v>1</v>
      </c>
    </row>
    <row r="295" spans="1:5" x14ac:dyDescent="0.15">
      <c r="A295" s="66" t="s">
        <v>721</v>
      </c>
      <c r="B295" s="66" t="s">
        <v>722</v>
      </c>
      <c r="C295" s="66" t="s">
        <v>385</v>
      </c>
      <c r="D295" s="66" t="str">
        <f t="shared" si="8"/>
        <v>0297</v>
      </c>
      <c r="E295" s="66">
        <f t="shared" si="9"/>
        <v>1</v>
      </c>
    </row>
    <row r="296" spans="1:5" x14ac:dyDescent="0.15">
      <c r="A296" s="66" t="s">
        <v>723</v>
      </c>
      <c r="B296" s="66" t="s">
        <v>724</v>
      </c>
      <c r="C296" s="66" t="s">
        <v>75</v>
      </c>
      <c r="D296" s="66" t="str">
        <f t="shared" si="8"/>
        <v>0298</v>
      </c>
      <c r="E296" s="66">
        <f t="shared" si="9"/>
        <v>1</v>
      </c>
    </row>
    <row r="297" spans="1:5" x14ac:dyDescent="0.15">
      <c r="A297" s="66" t="s">
        <v>725</v>
      </c>
      <c r="B297" s="66" t="s">
        <v>726</v>
      </c>
      <c r="C297" s="66" t="s">
        <v>133</v>
      </c>
      <c r="D297" s="66" t="str">
        <f t="shared" si="8"/>
        <v>0299</v>
      </c>
      <c r="E297" s="66">
        <f t="shared" si="9"/>
        <v>2</v>
      </c>
    </row>
    <row r="298" spans="1:5" x14ac:dyDescent="0.15">
      <c r="A298" s="66" t="s">
        <v>727</v>
      </c>
      <c r="B298" s="66" t="s">
        <v>728</v>
      </c>
      <c r="C298" s="66" t="s">
        <v>385</v>
      </c>
      <c r="D298" s="66" t="str">
        <f t="shared" si="8"/>
        <v>0300</v>
      </c>
      <c r="E298" s="66">
        <f t="shared" si="9"/>
        <v>1</v>
      </c>
    </row>
    <row r="299" spans="1:5" x14ac:dyDescent="0.15">
      <c r="A299" s="66" t="s">
        <v>729</v>
      </c>
      <c r="B299" s="66" t="s">
        <v>730</v>
      </c>
      <c r="C299" s="66" t="s">
        <v>385</v>
      </c>
      <c r="D299" s="66" t="str">
        <f t="shared" si="8"/>
        <v>0302</v>
      </c>
      <c r="E299" s="66">
        <f t="shared" si="9"/>
        <v>1</v>
      </c>
    </row>
    <row r="300" spans="1:5" x14ac:dyDescent="0.15">
      <c r="A300" s="66" t="s">
        <v>731</v>
      </c>
      <c r="B300" s="66" t="s">
        <v>732</v>
      </c>
      <c r="C300" s="66" t="s">
        <v>86</v>
      </c>
      <c r="D300" s="66" t="str">
        <f t="shared" si="8"/>
        <v>0303</v>
      </c>
      <c r="E300" s="66">
        <f t="shared" si="9"/>
        <v>1</v>
      </c>
    </row>
    <row r="301" spans="1:5" x14ac:dyDescent="0.15">
      <c r="A301" s="66" t="s">
        <v>733</v>
      </c>
      <c r="B301" s="66" t="s">
        <v>734</v>
      </c>
      <c r="C301" s="66" t="s">
        <v>86</v>
      </c>
      <c r="D301" s="66" t="str">
        <f t="shared" si="8"/>
        <v>0304</v>
      </c>
      <c r="E301" s="66">
        <f t="shared" si="9"/>
        <v>1</v>
      </c>
    </row>
    <row r="302" spans="1:5" x14ac:dyDescent="0.15">
      <c r="A302" s="66" t="s">
        <v>735</v>
      </c>
      <c r="B302" s="66" t="s">
        <v>736</v>
      </c>
      <c r="C302" s="66" t="s">
        <v>86</v>
      </c>
      <c r="D302" s="66" t="str">
        <f t="shared" si="8"/>
        <v>0305</v>
      </c>
      <c r="E302" s="66">
        <f t="shared" si="9"/>
        <v>1</v>
      </c>
    </row>
    <row r="303" spans="1:5" x14ac:dyDescent="0.15">
      <c r="A303" s="66" t="s">
        <v>737</v>
      </c>
      <c r="B303" s="66" t="s">
        <v>738</v>
      </c>
      <c r="C303" s="66" t="s">
        <v>86</v>
      </c>
      <c r="D303" s="66" t="str">
        <f t="shared" si="8"/>
        <v>0306</v>
      </c>
      <c r="E303" s="66">
        <f t="shared" si="9"/>
        <v>1</v>
      </c>
    </row>
    <row r="304" spans="1:5" x14ac:dyDescent="0.15">
      <c r="A304" s="66" t="s">
        <v>739</v>
      </c>
      <c r="B304" s="66" t="s">
        <v>740</v>
      </c>
      <c r="C304" s="66" t="s">
        <v>133</v>
      </c>
      <c r="D304" s="66" t="str">
        <f t="shared" si="8"/>
        <v>0307</v>
      </c>
      <c r="E304" s="66">
        <f t="shared" si="9"/>
        <v>1</v>
      </c>
    </row>
    <row r="305" spans="1:5" x14ac:dyDescent="0.15">
      <c r="A305" s="66" t="s">
        <v>741</v>
      </c>
      <c r="B305" s="66" t="s">
        <v>742</v>
      </c>
      <c r="C305" s="66" t="s">
        <v>71</v>
      </c>
      <c r="D305" s="66" t="str">
        <f t="shared" si="8"/>
        <v>0308</v>
      </c>
      <c r="E305" s="66">
        <f t="shared" si="9"/>
        <v>1</v>
      </c>
    </row>
    <row r="306" spans="1:5" x14ac:dyDescent="0.15">
      <c r="A306" s="66" t="s">
        <v>743</v>
      </c>
      <c r="B306" s="66" t="s">
        <v>744</v>
      </c>
      <c r="C306" s="66" t="s">
        <v>131</v>
      </c>
      <c r="D306" s="66" t="str">
        <f t="shared" si="8"/>
        <v>0309</v>
      </c>
      <c r="E306" s="66">
        <f t="shared" si="9"/>
        <v>1</v>
      </c>
    </row>
    <row r="307" spans="1:5" x14ac:dyDescent="0.15">
      <c r="A307" s="66" t="s">
        <v>745</v>
      </c>
      <c r="B307" s="66" t="s">
        <v>746</v>
      </c>
      <c r="C307" s="66" t="s">
        <v>133</v>
      </c>
      <c r="D307" s="66" t="str">
        <f t="shared" si="8"/>
        <v>0310</v>
      </c>
      <c r="E307" s="66">
        <f t="shared" si="9"/>
        <v>1</v>
      </c>
    </row>
    <row r="308" spans="1:5" x14ac:dyDescent="0.15">
      <c r="A308" s="66" t="s">
        <v>747</v>
      </c>
      <c r="B308" s="66" t="s">
        <v>748</v>
      </c>
      <c r="C308" s="66" t="s">
        <v>133</v>
      </c>
      <c r="D308" s="66" t="str">
        <f t="shared" si="8"/>
        <v>0311</v>
      </c>
      <c r="E308" s="66">
        <f t="shared" si="9"/>
        <v>1</v>
      </c>
    </row>
    <row r="309" spans="1:5" x14ac:dyDescent="0.15">
      <c r="A309" s="66" t="s">
        <v>749</v>
      </c>
      <c r="B309" s="66" t="s">
        <v>750</v>
      </c>
      <c r="C309" s="66" t="s">
        <v>133</v>
      </c>
      <c r="D309" s="66" t="str">
        <f t="shared" si="8"/>
        <v>0312</v>
      </c>
      <c r="E309" s="66">
        <f t="shared" si="9"/>
        <v>1</v>
      </c>
    </row>
    <row r="310" spans="1:5" x14ac:dyDescent="0.15">
      <c r="A310" s="66" t="s">
        <v>751</v>
      </c>
      <c r="B310" s="66" t="s">
        <v>752</v>
      </c>
      <c r="C310" s="66" t="s">
        <v>133</v>
      </c>
      <c r="D310" s="66" t="str">
        <f t="shared" si="8"/>
        <v>0313</v>
      </c>
      <c r="E310" s="66">
        <f t="shared" si="9"/>
        <v>1</v>
      </c>
    </row>
    <row r="311" spans="1:5" x14ac:dyDescent="0.15">
      <c r="A311" s="66" t="s">
        <v>753</v>
      </c>
      <c r="B311" s="66" t="s">
        <v>754</v>
      </c>
      <c r="C311" s="66" t="s">
        <v>140</v>
      </c>
      <c r="D311" s="66" t="str">
        <f t="shared" si="8"/>
        <v>0314</v>
      </c>
      <c r="E311" s="66">
        <f t="shared" si="9"/>
        <v>1</v>
      </c>
    </row>
    <row r="312" spans="1:5" x14ac:dyDescent="0.15">
      <c r="A312" s="66" t="s">
        <v>755</v>
      </c>
      <c r="B312" s="66" t="s">
        <v>756</v>
      </c>
      <c r="C312" s="66" t="s">
        <v>140</v>
      </c>
      <c r="D312" s="66" t="str">
        <f t="shared" si="8"/>
        <v>0315</v>
      </c>
      <c r="E312" s="66">
        <f t="shared" si="9"/>
        <v>1</v>
      </c>
    </row>
    <row r="313" spans="1:5" x14ac:dyDescent="0.15">
      <c r="A313" s="66" t="s">
        <v>757</v>
      </c>
      <c r="B313" s="66" t="s">
        <v>758</v>
      </c>
      <c r="C313" s="66" t="s">
        <v>140</v>
      </c>
      <c r="D313" s="66" t="str">
        <f t="shared" si="8"/>
        <v>0316</v>
      </c>
      <c r="E313" s="66">
        <f t="shared" si="9"/>
        <v>1</v>
      </c>
    </row>
    <row r="314" spans="1:5" x14ac:dyDescent="0.15">
      <c r="A314" s="66" t="s">
        <v>759</v>
      </c>
      <c r="B314" s="66" t="s">
        <v>760</v>
      </c>
      <c r="C314" s="66" t="s">
        <v>340</v>
      </c>
      <c r="D314" s="66" t="str">
        <f t="shared" si="8"/>
        <v>0317</v>
      </c>
      <c r="E314" s="66">
        <f t="shared" si="9"/>
        <v>1</v>
      </c>
    </row>
    <row r="315" spans="1:5" x14ac:dyDescent="0.15">
      <c r="A315" s="66" t="s">
        <v>761</v>
      </c>
      <c r="B315" s="66" t="s">
        <v>762</v>
      </c>
      <c r="C315" s="66" t="s">
        <v>340</v>
      </c>
      <c r="D315" s="66" t="str">
        <f t="shared" si="8"/>
        <v>0318</v>
      </c>
      <c r="E315" s="66">
        <f t="shared" si="9"/>
        <v>1</v>
      </c>
    </row>
    <row r="316" spans="1:5" x14ac:dyDescent="0.15">
      <c r="A316" s="66" t="s">
        <v>763</v>
      </c>
      <c r="B316" s="66" t="s">
        <v>764</v>
      </c>
      <c r="C316" s="66" t="s">
        <v>340</v>
      </c>
      <c r="D316" s="66" t="str">
        <f t="shared" si="8"/>
        <v>0319</v>
      </c>
      <c r="E316" s="66">
        <f t="shared" si="9"/>
        <v>1</v>
      </c>
    </row>
    <row r="317" spans="1:5" x14ac:dyDescent="0.15">
      <c r="A317" s="66" t="s">
        <v>765</v>
      </c>
      <c r="B317" s="66" t="s">
        <v>766</v>
      </c>
      <c r="C317" s="66" t="s">
        <v>75</v>
      </c>
      <c r="D317" s="66" t="str">
        <f t="shared" si="8"/>
        <v>0320</v>
      </c>
      <c r="E317" s="66">
        <f t="shared" si="9"/>
        <v>1</v>
      </c>
    </row>
    <row r="318" spans="1:5" x14ac:dyDescent="0.15">
      <c r="A318" s="66" t="s">
        <v>767</v>
      </c>
      <c r="B318" s="66" t="s">
        <v>768</v>
      </c>
      <c r="C318" s="66" t="s">
        <v>140</v>
      </c>
      <c r="D318" s="66" t="str">
        <f t="shared" si="8"/>
        <v>0321</v>
      </c>
      <c r="E318" s="66">
        <f t="shared" si="9"/>
        <v>1</v>
      </c>
    </row>
    <row r="319" spans="1:5" x14ac:dyDescent="0.15">
      <c r="A319" s="66" t="s">
        <v>769</v>
      </c>
      <c r="B319" s="66" t="s">
        <v>770</v>
      </c>
      <c r="C319" s="66" t="s">
        <v>133</v>
      </c>
      <c r="D319" s="66" t="str">
        <f t="shared" si="8"/>
        <v>0322</v>
      </c>
      <c r="E319" s="66">
        <f t="shared" si="9"/>
        <v>1</v>
      </c>
    </row>
    <row r="320" spans="1:5" x14ac:dyDescent="0.15">
      <c r="A320" s="66" t="s">
        <v>771</v>
      </c>
      <c r="B320" s="66" t="s">
        <v>772</v>
      </c>
      <c r="C320" s="66" t="s">
        <v>133</v>
      </c>
      <c r="D320" s="66" t="str">
        <f t="shared" si="8"/>
        <v>0323</v>
      </c>
      <c r="E320" s="66">
        <f t="shared" si="9"/>
        <v>1</v>
      </c>
    </row>
    <row r="321" spans="1:5" x14ac:dyDescent="0.15">
      <c r="A321" s="66" t="s">
        <v>773</v>
      </c>
      <c r="B321" s="66" t="s">
        <v>774</v>
      </c>
      <c r="C321" s="66" t="s">
        <v>133</v>
      </c>
      <c r="D321" s="66" t="str">
        <f t="shared" si="8"/>
        <v>0324</v>
      </c>
      <c r="E321" s="66">
        <f t="shared" si="9"/>
        <v>1</v>
      </c>
    </row>
    <row r="322" spans="1:5" x14ac:dyDescent="0.15">
      <c r="A322" s="66" t="s">
        <v>775</v>
      </c>
      <c r="B322" s="66" t="s">
        <v>776</v>
      </c>
      <c r="C322" s="66" t="s">
        <v>86</v>
      </c>
      <c r="D322" s="66" t="str">
        <f t="shared" ref="D322:D385" si="10">A322</f>
        <v>0325</v>
      </c>
      <c r="E322" s="66">
        <f t="shared" ref="E322:E385" si="11">COUNTIFS(B:B,B322)</f>
        <v>1</v>
      </c>
    </row>
    <row r="323" spans="1:5" x14ac:dyDescent="0.15">
      <c r="A323" s="66" t="s">
        <v>777</v>
      </c>
      <c r="B323" s="66" t="s">
        <v>778</v>
      </c>
      <c r="C323" s="66" t="s">
        <v>86</v>
      </c>
      <c r="D323" s="66" t="str">
        <f t="shared" si="10"/>
        <v>0326</v>
      </c>
      <c r="E323" s="66">
        <f t="shared" si="11"/>
        <v>1</v>
      </c>
    </row>
    <row r="324" spans="1:5" x14ac:dyDescent="0.15">
      <c r="A324" s="66" t="s">
        <v>779</v>
      </c>
      <c r="B324" s="66" t="s">
        <v>780</v>
      </c>
      <c r="C324" s="66" t="s">
        <v>86</v>
      </c>
      <c r="D324" s="66" t="str">
        <f t="shared" si="10"/>
        <v>0327</v>
      </c>
      <c r="E324" s="66">
        <f t="shared" si="11"/>
        <v>1</v>
      </c>
    </row>
    <row r="325" spans="1:5" x14ac:dyDescent="0.15">
      <c r="A325" s="66" t="s">
        <v>781</v>
      </c>
      <c r="B325" s="66" t="s">
        <v>782</v>
      </c>
      <c r="C325" s="66" t="s">
        <v>86</v>
      </c>
      <c r="D325" s="66" t="str">
        <f t="shared" si="10"/>
        <v>0328</v>
      </c>
      <c r="E325" s="66">
        <f t="shared" si="11"/>
        <v>1</v>
      </c>
    </row>
    <row r="326" spans="1:5" x14ac:dyDescent="0.15">
      <c r="A326" s="66" t="s">
        <v>783</v>
      </c>
      <c r="B326" s="66" t="s">
        <v>784</v>
      </c>
      <c r="C326" s="66" t="s">
        <v>86</v>
      </c>
      <c r="D326" s="66" t="str">
        <f t="shared" si="10"/>
        <v>0329</v>
      </c>
      <c r="E326" s="66">
        <f t="shared" si="11"/>
        <v>1</v>
      </c>
    </row>
    <row r="327" spans="1:5" x14ac:dyDescent="0.15">
      <c r="A327" s="66" t="s">
        <v>785</v>
      </c>
      <c r="B327" s="66" t="s">
        <v>786</v>
      </c>
      <c r="C327" s="66" t="s">
        <v>86</v>
      </c>
      <c r="D327" s="66" t="str">
        <f t="shared" si="10"/>
        <v>0330</v>
      </c>
      <c r="E327" s="66">
        <f t="shared" si="11"/>
        <v>1</v>
      </c>
    </row>
    <row r="328" spans="1:5" x14ac:dyDescent="0.15">
      <c r="A328" s="66" t="s">
        <v>787</v>
      </c>
      <c r="B328" s="66" t="s">
        <v>788</v>
      </c>
      <c r="C328" s="66" t="s">
        <v>277</v>
      </c>
      <c r="D328" s="66" t="str">
        <f t="shared" si="10"/>
        <v>0331</v>
      </c>
      <c r="E328" s="66">
        <f t="shared" si="11"/>
        <v>1</v>
      </c>
    </row>
    <row r="329" spans="1:5" x14ac:dyDescent="0.15">
      <c r="A329" s="66" t="s">
        <v>789</v>
      </c>
      <c r="B329" s="66" t="s">
        <v>790</v>
      </c>
      <c r="C329" s="66" t="s">
        <v>277</v>
      </c>
      <c r="D329" s="66" t="str">
        <f t="shared" si="10"/>
        <v>0332</v>
      </c>
      <c r="E329" s="66">
        <f t="shared" si="11"/>
        <v>1</v>
      </c>
    </row>
    <row r="330" spans="1:5" x14ac:dyDescent="0.15">
      <c r="A330" s="66" t="s">
        <v>791</v>
      </c>
      <c r="B330" s="66" t="s">
        <v>792</v>
      </c>
      <c r="C330" s="66" t="s">
        <v>86</v>
      </c>
      <c r="D330" s="66" t="str">
        <f t="shared" si="10"/>
        <v>0333</v>
      </c>
      <c r="E330" s="66">
        <f t="shared" si="11"/>
        <v>1</v>
      </c>
    </row>
    <row r="331" spans="1:5" x14ac:dyDescent="0.15">
      <c r="A331" s="66" t="s">
        <v>793</v>
      </c>
      <c r="B331" s="66" t="s">
        <v>794</v>
      </c>
      <c r="C331" s="66" t="s">
        <v>140</v>
      </c>
      <c r="D331" s="66" t="str">
        <f t="shared" si="10"/>
        <v>0334</v>
      </c>
      <c r="E331" s="66">
        <f t="shared" si="11"/>
        <v>1</v>
      </c>
    </row>
    <row r="332" spans="1:5" x14ac:dyDescent="0.15">
      <c r="A332" s="66" t="s">
        <v>795</v>
      </c>
      <c r="B332" s="66" t="s">
        <v>796</v>
      </c>
      <c r="C332" s="66" t="s">
        <v>140</v>
      </c>
      <c r="D332" s="66" t="str">
        <f t="shared" si="10"/>
        <v>0335</v>
      </c>
      <c r="E332" s="66">
        <f t="shared" si="11"/>
        <v>1</v>
      </c>
    </row>
    <row r="333" spans="1:5" x14ac:dyDescent="0.15">
      <c r="A333" s="66" t="s">
        <v>797</v>
      </c>
      <c r="B333" s="66" t="s">
        <v>798</v>
      </c>
      <c r="C333" s="66" t="s">
        <v>133</v>
      </c>
      <c r="D333" s="66" t="str">
        <f t="shared" si="10"/>
        <v>0336</v>
      </c>
      <c r="E333" s="66">
        <f t="shared" si="11"/>
        <v>1</v>
      </c>
    </row>
    <row r="334" spans="1:5" x14ac:dyDescent="0.15">
      <c r="A334" s="66" t="s">
        <v>799</v>
      </c>
      <c r="B334" s="66" t="s">
        <v>800</v>
      </c>
      <c r="C334" s="66" t="s">
        <v>133</v>
      </c>
      <c r="D334" s="66" t="str">
        <f t="shared" si="10"/>
        <v>0337</v>
      </c>
      <c r="E334" s="66">
        <f t="shared" si="11"/>
        <v>1</v>
      </c>
    </row>
    <row r="335" spans="1:5" x14ac:dyDescent="0.15">
      <c r="A335" s="66" t="s">
        <v>801</v>
      </c>
      <c r="B335" s="66" t="s">
        <v>802</v>
      </c>
      <c r="C335" s="66" t="s">
        <v>133</v>
      </c>
      <c r="D335" s="66" t="str">
        <f t="shared" si="10"/>
        <v>0338</v>
      </c>
      <c r="E335" s="66">
        <f t="shared" si="11"/>
        <v>1</v>
      </c>
    </row>
    <row r="336" spans="1:5" x14ac:dyDescent="0.15">
      <c r="A336" s="66" t="s">
        <v>803</v>
      </c>
      <c r="B336" s="66" t="s">
        <v>804</v>
      </c>
      <c r="C336" s="66" t="s">
        <v>86</v>
      </c>
      <c r="D336" s="66" t="str">
        <f t="shared" si="10"/>
        <v>0339</v>
      </c>
      <c r="E336" s="66">
        <f t="shared" si="11"/>
        <v>1</v>
      </c>
    </row>
    <row r="337" spans="1:5" x14ac:dyDescent="0.15">
      <c r="A337" s="66" t="s">
        <v>805</v>
      </c>
      <c r="B337" s="66" t="s">
        <v>806</v>
      </c>
      <c r="C337" s="66" t="s">
        <v>86</v>
      </c>
      <c r="D337" s="66" t="str">
        <f t="shared" si="10"/>
        <v>0340</v>
      </c>
      <c r="E337" s="66">
        <f t="shared" si="11"/>
        <v>1</v>
      </c>
    </row>
    <row r="338" spans="1:5" x14ac:dyDescent="0.15">
      <c r="A338" s="66" t="s">
        <v>807</v>
      </c>
      <c r="B338" s="66" t="s">
        <v>808</v>
      </c>
      <c r="C338" s="66" t="s">
        <v>245</v>
      </c>
      <c r="D338" s="66" t="str">
        <f t="shared" si="10"/>
        <v>0341</v>
      </c>
      <c r="E338" s="66">
        <f t="shared" si="11"/>
        <v>1</v>
      </c>
    </row>
    <row r="339" spans="1:5" x14ac:dyDescent="0.15">
      <c r="A339" s="66" t="s">
        <v>809</v>
      </c>
      <c r="B339" s="66" t="s">
        <v>810</v>
      </c>
      <c r="C339" s="66" t="s">
        <v>131</v>
      </c>
      <c r="D339" s="66" t="str">
        <f t="shared" si="10"/>
        <v>0342</v>
      </c>
      <c r="E339" s="66">
        <f t="shared" si="11"/>
        <v>1</v>
      </c>
    </row>
    <row r="340" spans="1:5" x14ac:dyDescent="0.15">
      <c r="A340" s="66" t="s">
        <v>811</v>
      </c>
      <c r="B340" s="66" t="s">
        <v>812</v>
      </c>
      <c r="C340" s="66" t="s">
        <v>813</v>
      </c>
      <c r="D340" s="66" t="str">
        <f t="shared" si="10"/>
        <v>0343</v>
      </c>
      <c r="E340" s="66">
        <f t="shared" si="11"/>
        <v>1</v>
      </c>
    </row>
    <row r="341" spans="1:5" x14ac:dyDescent="0.15">
      <c r="A341" s="66" t="s">
        <v>814</v>
      </c>
      <c r="B341" s="66" t="s">
        <v>815</v>
      </c>
      <c r="C341" s="66" t="s">
        <v>133</v>
      </c>
      <c r="D341" s="66" t="str">
        <f t="shared" si="10"/>
        <v>0344</v>
      </c>
      <c r="E341" s="66">
        <f t="shared" si="11"/>
        <v>1</v>
      </c>
    </row>
    <row r="342" spans="1:5" x14ac:dyDescent="0.15">
      <c r="A342" s="66" t="s">
        <v>816</v>
      </c>
      <c r="B342" s="66" t="s">
        <v>817</v>
      </c>
      <c r="C342" s="66" t="s">
        <v>133</v>
      </c>
      <c r="D342" s="66" t="str">
        <f t="shared" si="10"/>
        <v>0345</v>
      </c>
      <c r="E342" s="66">
        <f t="shared" si="11"/>
        <v>1</v>
      </c>
    </row>
    <row r="343" spans="1:5" x14ac:dyDescent="0.15">
      <c r="A343" s="66" t="s">
        <v>818</v>
      </c>
      <c r="B343" s="66" t="s">
        <v>819</v>
      </c>
      <c r="C343" s="66" t="s">
        <v>133</v>
      </c>
      <c r="D343" s="66" t="str">
        <f t="shared" si="10"/>
        <v>0346</v>
      </c>
      <c r="E343" s="66">
        <f t="shared" si="11"/>
        <v>1</v>
      </c>
    </row>
    <row r="344" spans="1:5" x14ac:dyDescent="0.15">
      <c r="A344" s="66" t="s">
        <v>820</v>
      </c>
      <c r="B344" s="66" t="s">
        <v>821</v>
      </c>
      <c r="C344" s="66" t="s">
        <v>131</v>
      </c>
      <c r="D344" s="66" t="str">
        <f t="shared" si="10"/>
        <v>0347</v>
      </c>
      <c r="E344" s="66">
        <f t="shared" si="11"/>
        <v>1</v>
      </c>
    </row>
    <row r="345" spans="1:5" x14ac:dyDescent="0.15">
      <c r="A345" s="66" t="s">
        <v>822</v>
      </c>
      <c r="B345" s="66" t="s">
        <v>823</v>
      </c>
      <c r="C345" s="66" t="s">
        <v>86</v>
      </c>
      <c r="D345" s="66" t="str">
        <f t="shared" si="10"/>
        <v>0348</v>
      </c>
      <c r="E345" s="66">
        <f t="shared" si="11"/>
        <v>1</v>
      </c>
    </row>
    <row r="346" spans="1:5" x14ac:dyDescent="0.15">
      <c r="A346" s="66" t="s">
        <v>824</v>
      </c>
      <c r="B346" s="66" t="s">
        <v>825</v>
      </c>
      <c r="C346" s="66" t="s">
        <v>133</v>
      </c>
      <c r="D346" s="66" t="str">
        <f t="shared" si="10"/>
        <v>0349</v>
      </c>
      <c r="E346" s="66">
        <f t="shared" si="11"/>
        <v>1</v>
      </c>
    </row>
    <row r="347" spans="1:5" x14ac:dyDescent="0.15">
      <c r="A347" s="66" t="s">
        <v>826</v>
      </c>
      <c r="B347" s="66" t="s">
        <v>827</v>
      </c>
      <c r="C347" s="66" t="s">
        <v>86</v>
      </c>
      <c r="D347" s="66" t="str">
        <f t="shared" si="10"/>
        <v>0350</v>
      </c>
      <c r="E347" s="66">
        <f t="shared" si="11"/>
        <v>1</v>
      </c>
    </row>
    <row r="348" spans="1:5" x14ac:dyDescent="0.15">
      <c r="A348" s="66" t="s">
        <v>828</v>
      </c>
      <c r="B348" s="66" t="s">
        <v>829</v>
      </c>
      <c r="C348" s="66" t="s">
        <v>86</v>
      </c>
      <c r="D348" s="66" t="str">
        <f t="shared" si="10"/>
        <v>0351</v>
      </c>
      <c r="E348" s="66">
        <f t="shared" si="11"/>
        <v>1</v>
      </c>
    </row>
    <row r="349" spans="1:5" x14ac:dyDescent="0.15">
      <c r="A349" s="66" t="s">
        <v>830</v>
      </c>
      <c r="B349" s="66" t="s">
        <v>831</v>
      </c>
      <c r="C349" s="66" t="s">
        <v>140</v>
      </c>
      <c r="D349" s="66" t="str">
        <f t="shared" si="10"/>
        <v>0352</v>
      </c>
      <c r="E349" s="66">
        <f t="shared" si="11"/>
        <v>1</v>
      </c>
    </row>
    <row r="350" spans="1:5" x14ac:dyDescent="0.15">
      <c r="A350" s="66" t="s">
        <v>832</v>
      </c>
      <c r="B350" s="66" t="s">
        <v>833</v>
      </c>
      <c r="C350" s="66" t="s">
        <v>133</v>
      </c>
      <c r="D350" s="66" t="str">
        <f t="shared" si="10"/>
        <v>0353</v>
      </c>
      <c r="E350" s="66">
        <f t="shared" si="11"/>
        <v>1</v>
      </c>
    </row>
    <row r="351" spans="1:5" x14ac:dyDescent="0.15">
      <c r="A351" s="66" t="s">
        <v>834</v>
      </c>
      <c r="B351" s="66" t="s">
        <v>835</v>
      </c>
      <c r="C351" s="66" t="s">
        <v>86</v>
      </c>
      <c r="D351" s="66" t="str">
        <f t="shared" si="10"/>
        <v>0354</v>
      </c>
      <c r="E351" s="66">
        <f t="shared" si="11"/>
        <v>1</v>
      </c>
    </row>
    <row r="352" spans="1:5" x14ac:dyDescent="0.15">
      <c r="A352" s="66" t="s">
        <v>836</v>
      </c>
      <c r="B352" s="66" t="s">
        <v>837</v>
      </c>
      <c r="C352" s="66" t="s">
        <v>133</v>
      </c>
      <c r="D352" s="66" t="str">
        <f t="shared" si="10"/>
        <v>0355</v>
      </c>
      <c r="E352" s="66">
        <f t="shared" si="11"/>
        <v>1</v>
      </c>
    </row>
    <row r="353" spans="1:5" x14ac:dyDescent="0.15">
      <c r="A353" s="66" t="s">
        <v>838</v>
      </c>
      <c r="B353" s="66" t="s">
        <v>839</v>
      </c>
      <c r="C353" s="66" t="s">
        <v>86</v>
      </c>
      <c r="D353" s="66" t="str">
        <f t="shared" si="10"/>
        <v>0356</v>
      </c>
      <c r="E353" s="66">
        <f t="shared" si="11"/>
        <v>1</v>
      </c>
    </row>
    <row r="354" spans="1:5" x14ac:dyDescent="0.15">
      <c r="A354" s="66" t="s">
        <v>840</v>
      </c>
      <c r="B354" s="66" t="s">
        <v>841</v>
      </c>
      <c r="C354" s="66" t="s">
        <v>424</v>
      </c>
      <c r="D354" s="66" t="str">
        <f t="shared" si="10"/>
        <v>0357</v>
      </c>
      <c r="E354" s="66">
        <f t="shared" si="11"/>
        <v>1</v>
      </c>
    </row>
    <row r="355" spans="1:5" x14ac:dyDescent="0.15">
      <c r="A355" s="66" t="s">
        <v>842</v>
      </c>
      <c r="B355" s="66" t="s">
        <v>843</v>
      </c>
      <c r="C355" s="66" t="s">
        <v>424</v>
      </c>
      <c r="D355" s="66" t="str">
        <f t="shared" si="10"/>
        <v>0358</v>
      </c>
      <c r="E355" s="66">
        <f t="shared" si="11"/>
        <v>1</v>
      </c>
    </row>
    <row r="356" spans="1:5" x14ac:dyDescent="0.15">
      <c r="A356" s="66" t="s">
        <v>844</v>
      </c>
      <c r="B356" s="66" t="s">
        <v>845</v>
      </c>
      <c r="C356" s="66" t="s">
        <v>86</v>
      </c>
      <c r="D356" s="66" t="str">
        <f t="shared" si="10"/>
        <v>0359</v>
      </c>
      <c r="E356" s="66">
        <f t="shared" si="11"/>
        <v>1</v>
      </c>
    </row>
    <row r="357" spans="1:5" x14ac:dyDescent="0.15">
      <c r="A357" s="66" t="s">
        <v>846</v>
      </c>
      <c r="B357" s="66" t="s">
        <v>847</v>
      </c>
      <c r="C357" s="66" t="s">
        <v>86</v>
      </c>
      <c r="D357" s="66" t="str">
        <f t="shared" si="10"/>
        <v>0360</v>
      </c>
      <c r="E357" s="66">
        <f t="shared" si="11"/>
        <v>1</v>
      </c>
    </row>
    <row r="358" spans="1:5" x14ac:dyDescent="0.15">
      <c r="A358" s="66" t="s">
        <v>848</v>
      </c>
      <c r="B358" s="66" t="s">
        <v>849</v>
      </c>
      <c r="C358" s="66" t="s">
        <v>133</v>
      </c>
      <c r="D358" s="66" t="str">
        <f t="shared" si="10"/>
        <v>0361</v>
      </c>
      <c r="E358" s="66">
        <f t="shared" si="11"/>
        <v>1</v>
      </c>
    </row>
    <row r="359" spans="1:5" x14ac:dyDescent="0.15">
      <c r="A359" s="66" t="s">
        <v>850</v>
      </c>
      <c r="B359" s="66" t="s">
        <v>851</v>
      </c>
      <c r="C359" s="66" t="s">
        <v>86</v>
      </c>
      <c r="D359" s="66" t="str">
        <f t="shared" si="10"/>
        <v>0362</v>
      </c>
      <c r="E359" s="66">
        <f t="shared" si="11"/>
        <v>1</v>
      </c>
    </row>
    <row r="360" spans="1:5" x14ac:dyDescent="0.15">
      <c r="A360" s="66" t="s">
        <v>852</v>
      </c>
      <c r="B360" s="66" t="s">
        <v>853</v>
      </c>
      <c r="C360" s="66" t="s">
        <v>86</v>
      </c>
      <c r="D360" s="66" t="str">
        <f t="shared" si="10"/>
        <v>0363</v>
      </c>
      <c r="E360" s="66">
        <f t="shared" si="11"/>
        <v>1</v>
      </c>
    </row>
    <row r="361" spans="1:5" x14ac:dyDescent="0.15">
      <c r="A361" s="66" t="s">
        <v>854</v>
      </c>
      <c r="B361" s="66" t="s">
        <v>855</v>
      </c>
      <c r="C361" s="66" t="s">
        <v>86</v>
      </c>
      <c r="D361" s="66" t="str">
        <f t="shared" si="10"/>
        <v>0364</v>
      </c>
      <c r="E361" s="66">
        <f t="shared" si="11"/>
        <v>1</v>
      </c>
    </row>
    <row r="362" spans="1:5" x14ac:dyDescent="0.15">
      <c r="A362" s="66" t="s">
        <v>856</v>
      </c>
      <c r="B362" s="66" t="s">
        <v>857</v>
      </c>
      <c r="C362" s="66" t="s">
        <v>277</v>
      </c>
      <c r="D362" s="66" t="str">
        <f t="shared" si="10"/>
        <v>0365</v>
      </c>
      <c r="E362" s="66">
        <f t="shared" si="11"/>
        <v>1</v>
      </c>
    </row>
    <row r="363" spans="1:5" x14ac:dyDescent="0.15">
      <c r="A363" s="66" t="s">
        <v>858</v>
      </c>
      <c r="B363" s="66" t="s">
        <v>859</v>
      </c>
      <c r="C363" s="66" t="s">
        <v>133</v>
      </c>
      <c r="D363" s="66" t="str">
        <f t="shared" si="10"/>
        <v>0366</v>
      </c>
      <c r="E363" s="66">
        <f t="shared" si="11"/>
        <v>1</v>
      </c>
    </row>
    <row r="364" spans="1:5" x14ac:dyDescent="0.15">
      <c r="A364" s="66" t="s">
        <v>860</v>
      </c>
      <c r="B364" s="66" t="s">
        <v>861</v>
      </c>
      <c r="C364" s="66" t="s">
        <v>133</v>
      </c>
      <c r="D364" s="66" t="str">
        <f t="shared" si="10"/>
        <v>0367</v>
      </c>
      <c r="E364" s="66">
        <f t="shared" si="11"/>
        <v>1</v>
      </c>
    </row>
    <row r="365" spans="1:5" x14ac:dyDescent="0.15">
      <c r="A365" s="66" t="s">
        <v>862</v>
      </c>
      <c r="B365" s="66" t="s">
        <v>863</v>
      </c>
      <c r="C365" s="66" t="s">
        <v>86</v>
      </c>
      <c r="D365" s="66" t="str">
        <f t="shared" si="10"/>
        <v>0368</v>
      </c>
      <c r="E365" s="66">
        <f t="shared" si="11"/>
        <v>1</v>
      </c>
    </row>
    <row r="366" spans="1:5" x14ac:dyDescent="0.15">
      <c r="A366" s="66" t="s">
        <v>864</v>
      </c>
      <c r="B366" s="66" t="s">
        <v>865</v>
      </c>
      <c r="C366" s="66" t="s">
        <v>75</v>
      </c>
      <c r="D366" s="66" t="str">
        <f t="shared" si="10"/>
        <v>0369</v>
      </c>
      <c r="E366" s="66">
        <f t="shared" si="11"/>
        <v>1</v>
      </c>
    </row>
    <row r="367" spans="1:5" x14ac:dyDescent="0.15">
      <c r="A367" s="66" t="s">
        <v>866</v>
      </c>
      <c r="B367" s="66" t="s">
        <v>867</v>
      </c>
      <c r="C367" s="66" t="s">
        <v>340</v>
      </c>
      <c r="D367" s="66" t="str">
        <f t="shared" si="10"/>
        <v>0370</v>
      </c>
      <c r="E367" s="66">
        <f t="shared" si="11"/>
        <v>1</v>
      </c>
    </row>
    <row r="368" spans="1:5" x14ac:dyDescent="0.15">
      <c r="A368" s="66" t="s">
        <v>868</v>
      </c>
      <c r="B368" s="66" t="s">
        <v>869</v>
      </c>
      <c r="C368" s="66" t="s">
        <v>75</v>
      </c>
      <c r="D368" s="66" t="str">
        <f t="shared" si="10"/>
        <v>0371</v>
      </c>
      <c r="E368" s="66">
        <f t="shared" si="11"/>
        <v>1</v>
      </c>
    </row>
    <row r="369" spans="1:5" x14ac:dyDescent="0.15">
      <c r="A369" s="66" t="s">
        <v>870</v>
      </c>
      <c r="B369" s="66" t="s">
        <v>871</v>
      </c>
      <c r="C369" s="66" t="s">
        <v>813</v>
      </c>
      <c r="D369" s="66" t="str">
        <f t="shared" si="10"/>
        <v>0372</v>
      </c>
      <c r="E369" s="66">
        <f t="shared" si="11"/>
        <v>1</v>
      </c>
    </row>
    <row r="370" spans="1:5" x14ac:dyDescent="0.15">
      <c r="A370" s="66" t="s">
        <v>872</v>
      </c>
      <c r="B370" s="66" t="s">
        <v>873</v>
      </c>
      <c r="C370" s="66" t="s">
        <v>874</v>
      </c>
      <c r="D370" s="66" t="str">
        <f t="shared" si="10"/>
        <v>0373</v>
      </c>
      <c r="E370" s="66">
        <f t="shared" si="11"/>
        <v>1</v>
      </c>
    </row>
    <row r="371" spans="1:5" x14ac:dyDescent="0.15">
      <c r="A371" s="66" t="s">
        <v>875</v>
      </c>
      <c r="B371" s="66" t="s">
        <v>876</v>
      </c>
      <c r="C371" s="66" t="s">
        <v>75</v>
      </c>
      <c r="D371" s="66" t="str">
        <f t="shared" si="10"/>
        <v>0374</v>
      </c>
      <c r="E371" s="66">
        <f t="shared" si="11"/>
        <v>1</v>
      </c>
    </row>
    <row r="372" spans="1:5" x14ac:dyDescent="0.15">
      <c r="A372" s="66" t="s">
        <v>877</v>
      </c>
      <c r="B372" s="66" t="s">
        <v>878</v>
      </c>
      <c r="C372" s="66" t="s">
        <v>874</v>
      </c>
      <c r="D372" s="66" t="str">
        <f t="shared" si="10"/>
        <v>0375</v>
      </c>
      <c r="E372" s="66">
        <f t="shared" si="11"/>
        <v>1</v>
      </c>
    </row>
    <row r="373" spans="1:5" x14ac:dyDescent="0.15">
      <c r="A373" s="66" t="s">
        <v>879</v>
      </c>
      <c r="B373" s="66" t="s">
        <v>880</v>
      </c>
      <c r="C373" s="66" t="s">
        <v>75</v>
      </c>
      <c r="D373" s="66" t="str">
        <f t="shared" si="10"/>
        <v>0376</v>
      </c>
      <c r="E373" s="66">
        <f t="shared" si="11"/>
        <v>2</v>
      </c>
    </row>
    <row r="374" spans="1:5" x14ac:dyDescent="0.15">
      <c r="A374" s="66" t="s">
        <v>881</v>
      </c>
      <c r="B374" s="66" t="s">
        <v>882</v>
      </c>
      <c r="C374" s="66" t="s">
        <v>75</v>
      </c>
      <c r="D374" s="66" t="str">
        <f t="shared" si="10"/>
        <v>0377</v>
      </c>
      <c r="E374" s="66">
        <f t="shared" si="11"/>
        <v>1</v>
      </c>
    </row>
    <row r="375" spans="1:5" x14ac:dyDescent="0.15">
      <c r="A375" s="66" t="s">
        <v>883</v>
      </c>
      <c r="B375" s="66" t="s">
        <v>884</v>
      </c>
      <c r="C375" s="66" t="s">
        <v>86</v>
      </c>
      <c r="D375" s="66" t="str">
        <f t="shared" si="10"/>
        <v>0378</v>
      </c>
      <c r="E375" s="66">
        <f t="shared" si="11"/>
        <v>1</v>
      </c>
    </row>
    <row r="376" spans="1:5" x14ac:dyDescent="0.15">
      <c r="A376" s="66" t="s">
        <v>885</v>
      </c>
      <c r="B376" s="66" t="s">
        <v>886</v>
      </c>
      <c r="C376" s="66" t="s">
        <v>131</v>
      </c>
      <c r="D376" s="66" t="str">
        <f t="shared" si="10"/>
        <v>0379</v>
      </c>
      <c r="E376" s="66">
        <f t="shared" si="11"/>
        <v>1</v>
      </c>
    </row>
    <row r="377" spans="1:5" x14ac:dyDescent="0.15">
      <c r="A377" s="66" t="s">
        <v>96</v>
      </c>
      <c r="B377" s="66" t="s">
        <v>98</v>
      </c>
      <c r="C377" s="66" t="s">
        <v>86</v>
      </c>
      <c r="D377" s="66" t="str">
        <f t="shared" si="10"/>
        <v>0380</v>
      </c>
      <c r="E377" s="66">
        <f t="shared" si="11"/>
        <v>1</v>
      </c>
    </row>
    <row r="378" spans="1:5" x14ac:dyDescent="0.15">
      <c r="A378" s="66" t="s">
        <v>887</v>
      </c>
      <c r="B378" s="66" t="s">
        <v>888</v>
      </c>
      <c r="C378" s="66" t="s">
        <v>75</v>
      </c>
      <c r="D378" s="66" t="str">
        <f t="shared" si="10"/>
        <v>0381</v>
      </c>
      <c r="E378" s="66">
        <f t="shared" si="11"/>
        <v>1</v>
      </c>
    </row>
    <row r="379" spans="1:5" x14ac:dyDescent="0.15">
      <c r="A379" s="66" t="s">
        <v>889</v>
      </c>
      <c r="B379" s="66" t="s">
        <v>890</v>
      </c>
      <c r="C379" s="66" t="s">
        <v>75</v>
      </c>
      <c r="D379" s="66" t="str">
        <f t="shared" si="10"/>
        <v>0382</v>
      </c>
      <c r="E379" s="66">
        <f t="shared" si="11"/>
        <v>1</v>
      </c>
    </row>
    <row r="380" spans="1:5" x14ac:dyDescent="0.15">
      <c r="A380" s="66" t="s">
        <v>891</v>
      </c>
      <c r="B380" s="66" t="s">
        <v>892</v>
      </c>
      <c r="C380" s="66" t="s">
        <v>75</v>
      </c>
      <c r="D380" s="66" t="str">
        <f t="shared" si="10"/>
        <v>0383</v>
      </c>
      <c r="E380" s="66">
        <f t="shared" si="11"/>
        <v>1</v>
      </c>
    </row>
    <row r="381" spans="1:5" x14ac:dyDescent="0.15">
      <c r="A381" s="66" t="s">
        <v>893</v>
      </c>
      <c r="B381" s="66" t="s">
        <v>894</v>
      </c>
      <c r="C381" s="66" t="s">
        <v>71</v>
      </c>
      <c r="D381" s="66" t="str">
        <f t="shared" si="10"/>
        <v>0384</v>
      </c>
      <c r="E381" s="66">
        <f t="shared" si="11"/>
        <v>1</v>
      </c>
    </row>
    <row r="382" spans="1:5" x14ac:dyDescent="0.15">
      <c r="A382" s="66" t="s">
        <v>895</v>
      </c>
      <c r="B382" s="66" t="s">
        <v>896</v>
      </c>
      <c r="C382" s="66" t="s">
        <v>71</v>
      </c>
      <c r="D382" s="66" t="str">
        <f t="shared" si="10"/>
        <v>0385</v>
      </c>
      <c r="E382" s="66">
        <f t="shared" si="11"/>
        <v>1</v>
      </c>
    </row>
    <row r="383" spans="1:5" x14ac:dyDescent="0.15">
      <c r="A383" s="66" t="s">
        <v>897</v>
      </c>
      <c r="B383" s="66" t="s">
        <v>898</v>
      </c>
      <c r="C383" s="66" t="s">
        <v>71</v>
      </c>
      <c r="D383" s="66" t="str">
        <f t="shared" si="10"/>
        <v>0386</v>
      </c>
      <c r="E383" s="66">
        <f t="shared" si="11"/>
        <v>1</v>
      </c>
    </row>
    <row r="384" spans="1:5" x14ac:dyDescent="0.15">
      <c r="A384" s="66" t="s">
        <v>899</v>
      </c>
      <c r="B384" s="66" t="s">
        <v>900</v>
      </c>
      <c r="C384" s="66" t="s">
        <v>86</v>
      </c>
      <c r="D384" s="66" t="str">
        <f t="shared" si="10"/>
        <v>0387</v>
      </c>
      <c r="E384" s="66">
        <f t="shared" si="11"/>
        <v>1</v>
      </c>
    </row>
    <row r="385" spans="1:5" x14ac:dyDescent="0.15">
      <c r="A385" s="66" t="s">
        <v>901</v>
      </c>
      <c r="B385" s="66" t="s">
        <v>902</v>
      </c>
      <c r="C385" s="66" t="s">
        <v>75</v>
      </c>
      <c r="D385" s="66" t="str">
        <f t="shared" si="10"/>
        <v>0388</v>
      </c>
      <c r="E385" s="66">
        <f t="shared" si="11"/>
        <v>1</v>
      </c>
    </row>
    <row r="386" spans="1:5" x14ac:dyDescent="0.15">
      <c r="A386" s="66" t="s">
        <v>903</v>
      </c>
      <c r="B386" s="66" t="s">
        <v>904</v>
      </c>
      <c r="C386" s="66" t="s">
        <v>101</v>
      </c>
      <c r="D386" s="66" t="str">
        <f t="shared" ref="D386:D449" si="12">A386</f>
        <v>0389</v>
      </c>
      <c r="E386" s="66">
        <f t="shared" ref="E386:E449" si="13">COUNTIFS(B:B,B386)</f>
        <v>1</v>
      </c>
    </row>
    <row r="387" spans="1:5" x14ac:dyDescent="0.15">
      <c r="A387" s="66" t="s">
        <v>905</v>
      </c>
      <c r="B387" s="66" t="s">
        <v>906</v>
      </c>
      <c r="C387" s="66" t="s">
        <v>86</v>
      </c>
      <c r="D387" s="66" t="str">
        <f t="shared" si="12"/>
        <v>0390</v>
      </c>
      <c r="E387" s="66">
        <f t="shared" si="13"/>
        <v>1</v>
      </c>
    </row>
    <row r="388" spans="1:5" x14ac:dyDescent="0.15">
      <c r="A388" s="66" t="s">
        <v>907</v>
      </c>
      <c r="B388" s="66" t="s">
        <v>908</v>
      </c>
      <c r="C388" s="66" t="s">
        <v>86</v>
      </c>
      <c r="D388" s="66" t="str">
        <f t="shared" si="12"/>
        <v>0391</v>
      </c>
      <c r="E388" s="66">
        <f t="shared" si="13"/>
        <v>1</v>
      </c>
    </row>
    <row r="389" spans="1:5" x14ac:dyDescent="0.15">
      <c r="A389" s="66" t="s">
        <v>909</v>
      </c>
      <c r="B389" s="66" t="s">
        <v>910</v>
      </c>
      <c r="C389" s="66" t="s">
        <v>133</v>
      </c>
      <c r="D389" s="66" t="str">
        <f t="shared" si="12"/>
        <v>0392</v>
      </c>
      <c r="E389" s="66">
        <f t="shared" si="13"/>
        <v>1</v>
      </c>
    </row>
    <row r="390" spans="1:5" x14ac:dyDescent="0.15">
      <c r="A390" s="66" t="s">
        <v>911</v>
      </c>
      <c r="B390" s="66" t="s">
        <v>912</v>
      </c>
      <c r="C390" s="66" t="s">
        <v>424</v>
      </c>
      <c r="D390" s="66" t="str">
        <f t="shared" si="12"/>
        <v>0393</v>
      </c>
      <c r="E390" s="66">
        <f t="shared" si="13"/>
        <v>1</v>
      </c>
    </row>
    <row r="391" spans="1:5" x14ac:dyDescent="0.15">
      <c r="A391" s="66" t="s">
        <v>913</v>
      </c>
      <c r="B391" s="66" t="s">
        <v>914</v>
      </c>
      <c r="C391" s="66" t="s">
        <v>140</v>
      </c>
      <c r="D391" s="66" t="str">
        <f t="shared" si="12"/>
        <v>0394</v>
      </c>
      <c r="E391" s="66">
        <f t="shared" si="13"/>
        <v>1</v>
      </c>
    </row>
    <row r="392" spans="1:5" x14ac:dyDescent="0.15">
      <c r="A392" s="66" t="s">
        <v>915</v>
      </c>
      <c r="B392" s="66" t="s">
        <v>916</v>
      </c>
      <c r="C392" s="66" t="s">
        <v>340</v>
      </c>
      <c r="D392" s="66" t="str">
        <f t="shared" si="12"/>
        <v>0395</v>
      </c>
      <c r="E392" s="66">
        <f t="shared" si="13"/>
        <v>1</v>
      </c>
    </row>
    <row r="393" spans="1:5" x14ac:dyDescent="0.15">
      <c r="A393" s="66" t="s">
        <v>917</v>
      </c>
      <c r="B393" s="66" t="s">
        <v>918</v>
      </c>
      <c r="C393" s="66" t="s">
        <v>71</v>
      </c>
      <c r="D393" s="66" t="str">
        <f t="shared" si="12"/>
        <v>0396</v>
      </c>
      <c r="E393" s="66">
        <f t="shared" si="13"/>
        <v>1</v>
      </c>
    </row>
    <row r="394" spans="1:5" x14ac:dyDescent="0.15">
      <c r="A394" s="66" t="s">
        <v>919</v>
      </c>
      <c r="B394" s="66" t="s">
        <v>920</v>
      </c>
      <c r="C394" s="66" t="s">
        <v>385</v>
      </c>
      <c r="D394" s="66" t="str">
        <f t="shared" si="12"/>
        <v>0397</v>
      </c>
      <c r="E394" s="66">
        <f t="shared" si="13"/>
        <v>1</v>
      </c>
    </row>
    <row r="395" spans="1:5" x14ac:dyDescent="0.15">
      <c r="A395" s="66" t="s">
        <v>921</v>
      </c>
      <c r="B395" s="66" t="s">
        <v>922</v>
      </c>
      <c r="C395" s="66" t="s">
        <v>385</v>
      </c>
      <c r="D395" s="66" t="str">
        <f t="shared" si="12"/>
        <v>0398</v>
      </c>
      <c r="E395" s="66">
        <f t="shared" si="13"/>
        <v>1</v>
      </c>
    </row>
    <row r="396" spans="1:5" x14ac:dyDescent="0.15">
      <c r="A396" s="66" t="s">
        <v>923</v>
      </c>
      <c r="B396" s="66" t="s">
        <v>924</v>
      </c>
      <c r="C396" s="66" t="s">
        <v>385</v>
      </c>
      <c r="D396" s="66" t="str">
        <f t="shared" si="12"/>
        <v>0399</v>
      </c>
      <c r="E396" s="66">
        <f t="shared" si="13"/>
        <v>1</v>
      </c>
    </row>
    <row r="397" spans="1:5" x14ac:dyDescent="0.15">
      <c r="A397" s="66" t="s">
        <v>925</v>
      </c>
      <c r="B397" s="66" t="s">
        <v>926</v>
      </c>
      <c r="C397" s="66" t="s">
        <v>71</v>
      </c>
      <c r="D397" s="66" t="str">
        <f t="shared" si="12"/>
        <v>0400</v>
      </c>
      <c r="E397" s="66">
        <f t="shared" si="13"/>
        <v>1</v>
      </c>
    </row>
    <row r="398" spans="1:5" x14ac:dyDescent="0.15">
      <c r="A398" s="66" t="s">
        <v>927</v>
      </c>
      <c r="B398" s="66" t="s">
        <v>928</v>
      </c>
      <c r="C398" s="66" t="s">
        <v>86</v>
      </c>
      <c r="D398" s="66" t="str">
        <f t="shared" si="12"/>
        <v>0401</v>
      </c>
      <c r="E398" s="66">
        <f t="shared" si="13"/>
        <v>1</v>
      </c>
    </row>
    <row r="399" spans="1:5" x14ac:dyDescent="0.15">
      <c r="A399" s="66" t="s">
        <v>929</v>
      </c>
      <c r="B399" s="66" t="s">
        <v>930</v>
      </c>
      <c r="C399" s="66" t="s">
        <v>71</v>
      </c>
      <c r="D399" s="66" t="str">
        <f t="shared" si="12"/>
        <v>0402</v>
      </c>
      <c r="E399" s="66">
        <f t="shared" si="13"/>
        <v>1</v>
      </c>
    </row>
    <row r="400" spans="1:5" x14ac:dyDescent="0.15">
      <c r="A400" s="66" t="s">
        <v>931</v>
      </c>
      <c r="B400" s="66" t="s">
        <v>932</v>
      </c>
      <c r="C400" s="66" t="s">
        <v>133</v>
      </c>
      <c r="D400" s="66" t="str">
        <f t="shared" si="12"/>
        <v>0403</v>
      </c>
      <c r="E400" s="66">
        <f t="shared" si="13"/>
        <v>1</v>
      </c>
    </row>
    <row r="401" spans="1:5" x14ac:dyDescent="0.15">
      <c r="A401" s="66" t="s">
        <v>933</v>
      </c>
      <c r="B401" s="66" t="s">
        <v>934</v>
      </c>
      <c r="C401" s="66" t="s">
        <v>133</v>
      </c>
      <c r="D401" s="66" t="str">
        <f t="shared" si="12"/>
        <v>0404</v>
      </c>
      <c r="E401" s="66">
        <f t="shared" si="13"/>
        <v>1</v>
      </c>
    </row>
    <row r="402" spans="1:5" x14ac:dyDescent="0.15">
      <c r="A402" s="66" t="s">
        <v>935</v>
      </c>
      <c r="B402" s="66" t="s">
        <v>936</v>
      </c>
      <c r="C402" s="66" t="s">
        <v>140</v>
      </c>
      <c r="D402" s="66" t="str">
        <f t="shared" si="12"/>
        <v>0405</v>
      </c>
      <c r="E402" s="66">
        <f t="shared" si="13"/>
        <v>1</v>
      </c>
    </row>
    <row r="403" spans="1:5" x14ac:dyDescent="0.15">
      <c r="A403" s="66" t="s">
        <v>937</v>
      </c>
      <c r="B403" s="66" t="s">
        <v>938</v>
      </c>
      <c r="C403" s="66" t="s">
        <v>133</v>
      </c>
      <c r="D403" s="66" t="str">
        <f t="shared" si="12"/>
        <v>0406</v>
      </c>
      <c r="E403" s="66">
        <f t="shared" si="13"/>
        <v>1</v>
      </c>
    </row>
    <row r="404" spans="1:5" x14ac:dyDescent="0.15">
      <c r="A404" s="66" t="s">
        <v>939</v>
      </c>
      <c r="B404" s="66" t="s">
        <v>940</v>
      </c>
      <c r="C404" s="66" t="s">
        <v>424</v>
      </c>
      <c r="D404" s="66" t="str">
        <f t="shared" si="12"/>
        <v>0407</v>
      </c>
      <c r="E404" s="66">
        <f t="shared" si="13"/>
        <v>1</v>
      </c>
    </row>
    <row r="405" spans="1:5" x14ac:dyDescent="0.15">
      <c r="A405" s="66" t="s">
        <v>941</v>
      </c>
      <c r="B405" s="66" t="s">
        <v>942</v>
      </c>
      <c r="C405" s="66" t="s">
        <v>86</v>
      </c>
      <c r="D405" s="66" t="str">
        <f t="shared" si="12"/>
        <v>0408</v>
      </c>
      <c r="E405" s="66">
        <f t="shared" si="13"/>
        <v>1</v>
      </c>
    </row>
    <row r="406" spans="1:5" x14ac:dyDescent="0.15">
      <c r="A406" s="66" t="s">
        <v>943</v>
      </c>
      <c r="B406" s="66" t="s">
        <v>944</v>
      </c>
      <c r="C406" s="66" t="s">
        <v>140</v>
      </c>
      <c r="D406" s="66" t="str">
        <f t="shared" si="12"/>
        <v>0409</v>
      </c>
      <c r="E406" s="66">
        <f t="shared" si="13"/>
        <v>1</v>
      </c>
    </row>
    <row r="407" spans="1:5" x14ac:dyDescent="0.15">
      <c r="A407" s="66" t="s">
        <v>945</v>
      </c>
      <c r="B407" s="66" t="s">
        <v>946</v>
      </c>
      <c r="C407" s="66" t="s">
        <v>86</v>
      </c>
      <c r="D407" s="66" t="str">
        <f t="shared" si="12"/>
        <v>0410</v>
      </c>
      <c r="E407" s="66">
        <f t="shared" si="13"/>
        <v>2</v>
      </c>
    </row>
    <row r="408" spans="1:5" x14ac:dyDescent="0.15">
      <c r="A408" s="66" t="s">
        <v>947</v>
      </c>
      <c r="B408" s="66" t="s">
        <v>948</v>
      </c>
      <c r="C408" s="66" t="s">
        <v>71</v>
      </c>
      <c r="D408" s="66" t="str">
        <f t="shared" si="12"/>
        <v>0411</v>
      </c>
      <c r="E408" s="66">
        <f t="shared" si="13"/>
        <v>1</v>
      </c>
    </row>
    <row r="409" spans="1:5" x14ac:dyDescent="0.15">
      <c r="A409" s="66" t="s">
        <v>949</v>
      </c>
      <c r="B409" s="66" t="s">
        <v>950</v>
      </c>
      <c r="C409" s="66" t="s">
        <v>71</v>
      </c>
      <c r="D409" s="66" t="str">
        <f t="shared" si="12"/>
        <v>0412</v>
      </c>
      <c r="E409" s="66">
        <f t="shared" si="13"/>
        <v>1</v>
      </c>
    </row>
    <row r="410" spans="1:5" x14ac:dyDescent="0.15">
      <c r="A410" s="66" t="s">
        <v>951</v>
      </c>
      <c r="B410" s="66" t="s">
        <v>952</v>
      </c>
      <c r="C410" s="66" t="s">
        <v>71</v>
      </c>
      <c r="D410" s="66" t="str">
        <f t="shared" si="12"/>
        <v>0413</v>
      </c>
      <c r="E410" s="66">
        <f t="shared" si="13"/>
        <v>1</v>
      </c>
    </row>
    <row r="411" spans="1:5" x14ac:dyDescent="0.15">
      <c r="A411" s="66" t="s">
        <v>953</v>
      </c>
      <c r="B411" s="66" t="s">
        <v>954</v>
      </c>
      <c r="C411" s="66" t="s">
        <v>277</v>
      </c>
      <c r="D411" s="66" t="str">
        <f t="shared" si="12"/>
        <v>0414</v>
      </c>
      <c r="E411" s="66">
        <f t="shared" si="13"/>
        <v>1</v>
      </c>
    </row>
    <row r="412" spans="1:5" x14ac:dyDescent="0.15">
      <c r="A412" s="66" t="s">
        <v>955</v>
      </c>
      <c r="B412" s="66" t="s">
        <v>956</v>
      </c>
      <c r="C412" s="66" t="s">
        <v>268</v>
      </c>
      <c r="D412" s="66" t="str">
        <f t="shared" si="12"/>
        <v>0415</v>
      </c>
      <c r="E412" s="66">
        <f t="shared" si="13"/>
        <v>1</v>
      </c>
    </row>
    <row r="413" spans="1:5" x14ac:dyDescent="0.15">
      <c r="A413" s="66" t="s">
        <v>957</v>
      </c>
      <c r="B413" s="66" t="s">
        <v>958</v>
      </c>
      <c r="C413" s="66" t="s">
        <v>86</v>
      </c>
      <c r="D413" s="66" t="str">
        <f t="shared" si="12"/>
        <v>0416</v>
      </c>
      <c r="E413" s="66">
        <f t="shared" si="13"/>
        <v>1</v>
      </c>
    </row>
    <row r="414" spans="1:5" x14ac:dyDescent="0.15">
      <c r="A414" s="66" t="s">
        <v>959</v>
      </c>
      <c r="B414" s="66" t="s">
        <v>960</v>
      </c>
      <c r="C414" s="66" t="s">
        <v>86</v>
      </c>
      <c r="D414" s="66" t="str">
        <f t="shared" si="12"/>
        <v>0417</v>
      </c>
      <c r="E414" s="66">
        <f t="shared" si="13"/>
        <v>1</v>
      </c>
    </row>
    <row r="415" spans="1:5" x14ac:dyDescent="0.15">
      <c r="A415" s="66" t="s">
        <v>961</v>
      </c>
      <c r="B415" s="66" t="s">
        <v>962</v>
      </c>
      <c r="C415" s="66" t="s">
        <v>86</v>
      </c>
      <c r="D415" s="66" t="str">
        <f t="shared" si="12"/>
        <v>0418</v>
      </c>
      <c r="E415" s="66">
        <f t="shared" si="13"/>
        <v>1</v>
      </c>
    </row>
    <row r="416" spans="1:5" x14ac:dyDescent="0.15">
      <c r="A416" s="66" t="s">
        <v>963</v>
      </c>
      <c r="B416" s="66" t="s">
        <v>964</v>
      </c>
      <c r="C416" s="66" t="s">
        <v>86</v>
      </c>
      <c r="D416" s="66" t="str">
        <f t="shared" si="12"/>
        <v>0419</v>
      </c>
      <c r="E416" s="66">
        <f t="shared" si="13"/>
        <v>1</v>
      </c>
    </row>
    <row r="417" spans="1:5" x14ac:dyDescent="0.15">
      <c r="A417" s="66" t="s">
        <v>965</v>
      </c>
      <c r="B417" s="66" t="s">
        <v>966</v>
      </c>
      <c r="C417" s="66" t="s">
        <v>140</v>
      </c>
      <c r="D417" s="66" t="str">
        <f t="shared" si="12"/>
        <v>0420</v>
      </c>
      <c r="E417" s="66">
        <f t="shared" si="13"/>
        <v>1</v>
      </c>
    </row>
    <row r="418" spans="1:5" x14ac:dyDescent="0.15">
      <c r="A418" s="66" t="s">
        <v>967</v>
      </c>
      <c r="B418" s="66" t="s">
        <v>968</v>
      </c>
      <c r="C418" s="66" t="s">
        <v>133</v>
      </c>
      <c r="D418" s="66" t="str">
        <f t="shared" si="12"/>
        <v>0421</v>
      </c>
      <c r="E418" s="66">
        <f t="shared" si="13"/>
        <v>1</v>
      </c>
    </row>
    <row r="419" spans="1:5" x14ac:dyDescent="0.15">
      <c r="A419" s="66" t="s">
        <v>969</v>
      </c>
      <c r="B419" s="66" t="s">
        <v>970</v>
      </c>
      <c r="C419" s="66" t="s">
        <v>71</v>
      </c>
      <c r="D419" s="66" t="str">
        <f t="shared" si="12"/>
        <v>0422</v>
      </c>
      <c r="E419" s="66">
        <f t="shared" si="13"/>
        <v>1</v>
      </c>
    </row>
    <row r="420" spans="1:5" x14ac:dyDescent="0.15">
      <c r="A420" s="66" t="s">
        <v>971</v>
      </c>
      <c r="B420" s="66" t="s">
        <v>972</v>
      </c>
      <c r="C420" s="66" t="s">
        <v>140</v>
      </c>
      <c r="D420" s="66" t="str">
        <f t="shared" si="12"/>
        <v>0423</v>
      </c>
      <c r="E420" s="66">
        <f t="shared" si="13"/>
        <v>1</v>
      </c>
    </row>
    <row r="421" spans="1:5" x14ac:dyDescent="0.15">
      <c r="A421" s="66" t="s">
        <v>973</v>
      </c>
      <c r="B421" s="66" t="s">
        <v>974</v>
      </c>
      <c r="C421" s="66" t="s">
        <v>140</v>
      </c>
      <c r="D421" s="66" t="str">
        <f t="shared" si="12"/>
        <v>0424</v>
      </c>
      <c r="E421" s="66">
        <f t="shared" si="13"/>
        <v>1</v>
      </c>
    </row>
    <row r="422" spans="1:5" x14ac:dyDescent="0.15">
      <c r="A422" s="66" t="s">
        <v>975</v>
      </c>
      <c r="B422" s="66" t="s">
        <v>976</v>
      </c>
      <c r="C422" s="66" t="s">
        <v>86</v>
      </c>
      <c r="D422" s="66" t="str">
        <f t="shared" si="12"/>
        <v>0425</v>
      </c>
      <c r="E422" s="66">
        <f t="shared" si="13"/>
        <v>1</v>
      </c>
    </row>
    <row r="423" spans="1:5" x14ac:dyDescent="0.15">
      <c r="A423" s="66" t="s">
        <v>977</v>
      </c>
      <c r="B423" s="66" t="s">
        <v>978</v>
      </c>
      <c r="C423" s="66" t="s">
        <v>86</v>
      </c>
      <c r="D423" s="66" t="str">
        <f t="shared" si="12"/>
        <v>0426</v>
      </c>
      <c r="E423" s="66">
        <f t="shared" si="13"/>
        <v>1</v>
      </c>
    </row>
    <row r="424" spans="1:5" x14ac:dyDescent="0.15">
      <c r="A424" s="66" t="s">
        <v>979</v>
      </c>
      <c r="B424" s="66" t="s">
        <v>980</v>
      </c>
      <c r="C424" s="66" t="s">
        <v>133</v>
      </c>
      <c r="D424" s="66" t="str">
        <f t="shared" si="12"/>
        <v>0427</v>
      </c>
      <c r="E424" s="66">
        <f t="shared" si="13"/>
        <v>1</v>
      </c>
    </row>
    <row r="425" spans="1:5" x14ac:dyDescent="0.15">
      <c r="A425" s="66" t="s">
        <v>981</v>
      </c>
      <c r="B425" s="66" t="s">
        <v>982</v>
      </c>
      <c r="C425" s="66" t="s">
        <v>424</v>
      </c>
      <c r="D425" s="66" t="str">
        <f t="shared" si="12"/>
        <v>0428</v>
      </c>
      <c r="E425" s="66">
        <f t="shared" si="13"/>
        <v>1</v>
      </c>
    </row>
    <row r="426" spans="1:5" x14ac:dyDescent="0.15">
      <c r="A426" s="66" t="s">
        <v>983</v>
      </c>
      <c r="B426" s="66" t="s">
        <v>984</v>
      </c>
      <c r="C426" s="66" t="s">
        <v>86</v>
      </c>
      <c r="D426" s="66" t="str">
        <f t="shared" si="12"/>
        <v>0429</v>
      </c>
      <c r="E426" s="66">
        <f t="shared" si="13"/>
        <v>1</v>
      </c>
    </row>
    <row r="427" spans="1:5" x14ac:dyDescent="0.15">
      <c r="A427" s="66" t="s">
        <v>985</v>
      </c>
      <c r="B427" s="66" t="s">
        <v>986</v>
      </c>
      <c r="C427" s="66" t="s">
        <v>86</v>
      </c>
      <c r="D427" s="66" t="str">
        <f t="shared" si="12"/>
        <v>0430</v>
      </c>
      <c r="E427" s="66">
        <f t="shared" si="13"/>
        <v>1</v>
      </c>
    </row>
    <row r="428" spans="1:5" x14ac:dyDescent="0.15">
      <c r="A428" s="66" t="s">
        <v>987</v>
      </c>
      <c r="B428" s="66" t="s">
        <v>988</v>
      </c>
      <c r="C428" s="66" t="s">
        <v>86</v>
      </c>
      <c r="D428" s="66" t="str">
        <f t="shared" si="12"/>
        <v>0431</v>
      </c>
      <c r="E428" s="66">
        <f t="shared" si="13"/>
        <v>1</v>
      </c>
    </row>
    <row r="429" spans="1:5" x14ac:dyDescent="0.15">
      <c r="A429" s="66" t="s">
        <v>989</v>
      </c>
      <c r="B429" s="66" t="s">
        <v>990</v>
      </c>
      <c r="C429" s="66" t="s">
        <v>86</v>
      </c>
      <c r="D429" s="66" t="str">
        <f t="shared" si="12"/>
        <v>0432</v>
      </c>
      <c r="E429" s="66">
        <f t="shared" si="13"/>
        <v>1</v>
      </c>
    </row>
    <row r="430" spans="1:5" x14ac:dyDescent="0.15">
      <c r="A430" s="66" t="s">
        <v>991</v>
      </c>
      <c r="B430" s="66" t="s">
        <v>992</v>
      </c>
      <c r="C430" s="66" t="s">
        <v>140</v>
      </c>
      <c r="D430" s="66" t="str">
        <f t="shared" si="12"/>
        <v>0433</v>
      </c>
      <c r="E430" s="66">
        <f t="shared" si="13"/>
        <v>1</v>
      </c>
    </row>
    <row r="431" spans="1:5" x14ac:dyDescent="0.15">
      <c r="A431" s="66" t="s">
        <v>993</v>
      </c>
      <c r="B431" s="66" t="s">
        <v>994</v>
      </c>
      <c r="C431" s="66" t="s">
        <v>140</v>
      </c>
      <c r="D431" s="66" t="str">
        <f t="shared" si="12"/>
        <v>0434</v>
      </c>
      <c r="E431" s="66">
        <f t="shared" si="13"/>
        <v>1</v>
      </c>
    </row>
    <row r="432" spans="1:5" x14ac:dyDescent="0.15">
      <c r="A432" s="66" t="s">
        <v>995</v>
      </c>
      <c r="B432" s="66" t="s">
        <v>996</v>
      </c>
      <c r="C432" s="66" t="s">
        <v>140</v>
      </c>
      <c r="D432" s="66" t="str">
        <f t="shared" si="12"/>
        <v>0435</v>
      </c>
      <c r="E432" s="66">
        <f t="shared" si="13"/>
        <v>1</v>
      </c>
    </row>
    <row r="433" spans="1:5" x14ac:dyDescent="0.15">
      <c r="A433" s="66" t="s">
        <v>997</v>
      </c>
      <c r="B433" s="66" t="s">
        <v>998</v>
      </c>
      <c r="C433" s="66" t="s">
        <v>140</v>
      </c>
      <c r="D433" s="66" t="str">
        <f t="shared" si="12"/>
        <v>0436</v>
      </c>
      <c r="E433" s="66">
        <f t="shared" si="13"/>
        <v>1</v>
      </c>
    </row>
    <row r="434" spans="1:5" x14ac:dyDescent="0.15">
      <c r="A434" s="66" t="s">
        <v>999</v>
      </c>
      <c r="B434" s="66" t="s">
        <v>1000</v>
      </c>
      <c r="C434" s="66" t="s">
        <v>133</v>
      </c>
      <c r="D434" s="66" t="str">
        <f t="shared" si="12"/>
        <v>0437</v>
      </c>
      <c r="E434" s="66">
        <f t="shared" si="13"/>
        <v>1</v>
      </c>
    </row>
    <row r="435" spans="1:5" x14ac:dyDescent="0.15">
      <c r="A435" s="66" t="s">
        <v>1001</v>
      </c>
      <c r="B435" s="66" t="s">
        <v>1002</v>
      </c>
      <c r="C435" s="66" t="s">
        <v>71</v>
      </c>
      <c r="D435" s="66" t="str">
        <f t="shared" si="12"/>
        <v>0438</v>
      </c>
      <c r="E435" s="66">
        <f t="shared" si="13"/>
        <v>1</v>
      </c>
    </row>
    <row r="436" spans="1:5" x14ac:dyDescent="0.15">
      <c r="A436" s="66" t="s">
        <v>1003</v>
      </c>
      <c r="B436" s="66" t="s">
        <v>1004</v>
      </c>
      <c r="C436" s="66" t="s">
        <v>71</v>
      </c>
      <c r="D436" s="66" t="str">
        <f t="shared" si="12"/>
        <v>0439</v>
      </c>
      <c r="E436" s="66">
        <f t="shared" si="13"/>
        <v>1</v>
      </c>
    </row>
    <row r="437" spans="1:5" x14ac:dyDescent="0.15">
      <c r="A437" s="66" t="s">
        <v>1005</v>
      </c>
      <c r="B437" s="66" t="s">
        <v>1006</v>
      </c>
      <c r="C437" s="66" t="s">
        <v>140</v>
      </c>
      <c r="D437" s="66" t="str">
        <f t="shared" si="12"/>
        <v>0440</v>
      </c>
      <c r="E437" s="66">
        <f t="shared" si="13"/>
        <v>1</v>
      </c>
    </row>
    <row r="438" spans="1:5" x14ac:dyDescent="0.15">
      <c r="A438" s="66" t="s">
        <v>1007</v>
      </c>
      <c r="B438" s="66" t="s">
        <v>1008</v>
      </c>
      <c r="C438" s="66" t="s">
        <v>133</v>
      </c>
      <c r="D438" s="66" t="str">
        <f t="shared" si="12"/>
        <v>0441</v>
      </c>
      <c r="E438" s="66">
        <f t="shared" si="13"/>
        <v>1</v>
      </c>
    </row>
    <row r="439" spans="1:5" x14ac:dyDescent="0.15">
      <c r="A439" s="66" t="s">
        <v>1009</v>
      </c>
      <c r="B439" s="66" t="s">
        <v>1010</v>
      </c>
      <c r="C439" s="66" t="s">
        <v>71</v>
      </c>
      <c r="D439" s="66" t="str">
        <f t="shared" si="12"/>
        <v>0442</v>
      </c>
      <c r="E439" s="66">
        <f t="shared" si="13"/>
        <v>1</v>
      </c>
    </row>
    <row r="440" spans="1:5" x14ac:dyDescent="0.15">
      <c r="A440" s="66" t="s">
        <v>1011</v>
      </c>
      <c r="B440" s="66" t="s">
        <v>1012</v>
      </c>
      <c r="C440" s="66" t="s">
        <v>86</v>
      </c>
      <c r="D440" s="66" t="str">
        <f t="shared" si="12"/>
        <v>0443</v>
      </c>
      <c r="E440" s="66">
        <f t="shared" si="13"/>
        <v>1</v>
      </c>
    </row>
    <row r="441" spans="1:5" x14ac:dyDescent="0.15">
      <c r="A441" s="66" t="s">
        <v>1013</v>
      </c>
      <c r="B441" s="66" t="s">
        <v>1014</v>
      </c>
      <c r="C441" s="66" t="s">
        <v>133</v>
      </c>
      <c r="D441" s="66" t="str">
        <f t="shared" si="12"/>
        <v>0444</v>
      </c>
      <c r="E441" s="66">
        <f t="shared" si="13"/>
        <v>1</v>
      </c>
    </row>
    <row r="442" spans="1:5" x14ac:dyDescent="0.15">
      <c r="A442" s="66" t="s">
        <v>1015</v>
      </c>
      <c r="B442" s="66" t="s">
        <v>1016</v>
      </c>
      <c r="C442" s="66" t="s">
        <v>385</v>
      </c>
      <c r="D442" s="66" t="str">
        <f t="shared" si="12"/>
        <v>0446</v>
      </c>
      <c r="E442" s="66">
        <f t="shared" si="13"/>
        <v>1</v>
      </c>
    </row>
    <row r="443" spans="1:5" x14ac:dyDescent="0.15">
      <c r="A443" s="66" t="s">
        <v>1017</v>
      </c>
      <c r="B443" s="66" t="s">
        <v>1018</v>
      </c>
      <c r="C443" s="66" t="s">
        <v>131</v>
      </c>
      <c r="D443" s="66" t="str">
        <f t="shared" si="12"/>
        <v>0447</v>
      </c>
      <c r="E443" s="66">
        <f t="shared" si="13"/>
        <v>1</v>
      </c>
    </row>
    <row r="444" spans="1:5" x14ac:dyDescent="0.15">
      <c r="A444" s="66" t="s">
        <v>1019</v>
      </c>
      <c r="B444" s="66" t="s">
        <v>1020</v>
      </c>
      <c r="C444" s="66" t="s">
        <v>86</v>
      </c>
      <c r="D444" s="66" t="str">
        <f t="shared" si="12"/>
        <v>0448</v>
      </c>
      <c r="E444" s="66">
        <f t="shared" si="13"/>
        <v>1</v>
      </c>
    </row>
    <row r="445" spans="1:5" x14ac:dyDescent="0.15">
      <c r="A445" s="66" t="s">
        <v>1021</v>
      </c>
      <c r="B445" s="66" t="s">
        <v>1022</v>
      </c>
      <c r="C445" s="66" t="s">
        <v>86</v>
      </c>
      <c r="D445" s="66" t="str">
        <f t="shared" si="12"/>
        <v>0449</v>
      </c>
      <c r="E445" s="66">
        <f t="shared" si="13"/>
        <v>1</v>
      </c>
    </row>
    <row r="446" spans="1:5" x14ac:dyDescent="0.15">
      <c r="A446" s="66" t="s">
        <v>1023</v>
      </c>
      <c r="B446" s="66" t="s">
        <v>1024</v>
      </c>
      <c r="C446" s="66" t="s">
        <v>86</v>
      </c>
      <c r="D446" s="66" t="str">
        <f t="shared" si="12"/>
        <v>0450</v>
      </c>
      <c r="E446" s="66">
        <f t="shared" si="13"/>
        <v>1</v>
      </c>
    </row>
    <row r="447" spans="1:5" x14ac:dyDescent="0.15">
      <c r="A447" s="66" t="s">
        <v>1025</v>
      </c>
      <c r="B447" s="66" t="s">
        <v>1026</v>
      </c>
      <c r="C447" s="66" t="s">
        <v>86</v>
      </c>
      <c r="D447" s="66" t="str">
        <f t="shared" si="12"/>
        <v>0451</v>
      </c>
      <c r="E447" s="66">
        <f t="shared" si="13"/>
        <v>1</v>
      </c>
    </row>
    <row r="448" spans="1:5" x14ac:dyDescent="0.15">
      <c r="A448" s="66" t="s">
        <v>1027</v>
      </c>
      <c r="B448" s="66" t="s">
        <v>1028</v>
      </c>
      <c r="C448" s="66" t="s">
        <v>458</v>
      </c>
      <c r="D448" s="66" t="str">
        <f t="shared" si="12"/>
        <v>0452</v>
      </c>
      <c r="E448" s="66">
        <f t="shared" si="13"/>
        <v>1</v>
      </c>
    </row>
    <row r="449" spans="1:5" x14ac:dyDescent="0.15">
      <c r="A449" s="66" t="s">
        <v>1029</v>
      </c>
      <c r="B449" s="66" t="s">
        <v>1030</v>
      </c>
      <c r="C449" s="66" t="s">
        <v>75</v>
      </c>
      <c r="D449" s="66" t="str">
        <f t="shared" si="12"/>
        <v>0453</v>
      </c>
      <c r="E449" s="66">
        <f t="shared" si="13"/>
        <v>1</v>
      </c>
    </row>
    <row r="450" spans="1:5" x14ac:dyDescent="0.15">
      <c r="A450" s="66" t="s">
        <v>1031</v>
      </c>
      <c r="B450" s="66" t="s">
        <v>1032</v>
      </c>
      <c r="C450" s="66" t="s">
        <v>133</v>
      </c>
      <c r="D450" s="66" t="str">
        <f t="shared" ref="D450:D513" si="14">A450</f>
        <v>0454</v>
      </c>
      <c r="E450" s="66">
        <f t="shared" ref="E450:E513" si="15">COUNTIFS(B:B,B450)</f>
        <v>1</v>
      </c>
    </row>
    <row r="451" spans="1:5" x14ac:dyDescent="0.15">
      <c r="A451" s="66" t="s">
        <v>1033</v>
      </c>
      <c r="B451" s="66" t="s">
        <v>1034</v>
      </c>
      <c r="C451" s="66" t="s">
        <v>71</v>
      </c>
      <c r="D451" s="66" t="str">
        <f t="shared" si="14"/>
        <v>0455</v>
      </c>
      <c r="E451" s="66">
        <f t="shared" si="15"/>
        <v>1</v>
      </c>
    </row>
    <row r="452" spans="1:5" x14ac:dyDescent="0.15">
      <c r="A452" s="66" t="s">
        <v>1035</v>
      </c>
      <c r="B452" s="66" t="s">
        <v>1036</v>
      </c>
      <c r="C452" s="66" t="s">
        <v>131</v>
      </c>
      <c r="D452" s="66" t="str">
        <f t="shared" si="14"/>
        <v>0456</v>
      </c>
      <c r="E452" s="66">
        <f t="shared" si="15"/>
        <v>1</v>
      </c>
    </row>
    <row r="453" spans="1:5" x14ac:dyDescent="0.15">
      <c r="A453" s="66" t="s">
        <v>1037</v>
      </c>
      <c r="B453" s="66" t="s">
        <v>1038</v>
      </c>
      <c r="C453" s="66" t="s">
        <v>340</v>
      </c>
      <c r="D453" s="66" t="str">
        <f t="shared" si="14"/>
        <v>0457</v>
      </c>
      <c r="E453" s="66">
        <f t="shared" si="15"/>
        <v>1</v>
      </c>
    </row>
    <row r="454" spans="1:5" x14ac:dyDescent="0.15">
      <c r="A454" s="66" t="s">
        <v>1039</v>
      </c>
      <c r="B454" s="66" t="s">
        <v>1040</v>
      </c>
      <c r="C454" s="66" t="s">
        <v>133</v>
      </c>
      <c r="D454" s="66" t="str">
        <f t="shared" si="14"/>
        <v>0458</v>
      </c>
      <c r="E454" s="66">
        <f t="shared" si="15"/>
        <v>1</v>
      </c>
    </row>
    <row r="455" spans="1:5" x14ac:dyDescent="0.15">
      <c r="A455" s="66" t="s">
        <v>1041</v>
      </c>
      <c r="B455" s="66" t="s">
        <v>1042</v>
      </c>
      <c r="C455" s="66" t="s">
        <v>133</v>
      </c>
      <c r="D455" s="66" t="str">
        <f t="shared" si="14"/>
        <v>0459</v>
      </c>
      <c r="E455" s="66">
        <f t="shared" si="15"/>
        <v>1</v>
      </c>
    </row>
    <row r="456" spans="1:5" x14ac:dyDescent="0.15">
      <c r="A456" s="66" t="s">
        <v>1043</v>
      </c>
      <c r="B456" s="66" t="s">
        <v>1044</v>
      </c>
      <c r="C456" s="66" t="s">
        <v>133</v>
      </c>
      <c r="D456" s="66" t="str">
        <f t="shared" si="14"/>
        <v>0460</v>
      </c>
      <c r="E456" s="66">
        <f t="shared" si="15"/>
        <v>1</v>
      </c>
    </row>
    <row r="457" spans="1:5" x14ac:dyDescent="0.15">
      <c r="A457" s="66" t="s">
        <v>1045</v>
      </c>
      <c r="B457" s="66" t="s">
        <v>1046</v>
      </c>
      <c r="C457" s="66" t="s">
        <v>86</v>
      </c>
      <c r="D457" s="66" t="str">
        <f t="shared" si="14"/>
        <v>0461</v>
      </c>
      <c r="E457" s="66">
        <f t="shared" si="15"/>
        <v>1</v>
      </c>
    </row>
    <row r="458" spans="1:5" x14ac:dyDescent="0.15">
      <c r="A458" s="66" t="s">
        <v>1047</v>
      </c>
      <c r="B458" s="66" t="s">
        <v>1048</v>
      </c>
      <c r="C458" s="66" t="s">
        <v>71</v>
      </c>
      <c r="D458" s="66" t="str">
        <f t="shared" si="14"/>
        <v>0462</v>
      </c>
      <c r="E458" s="66">
        <f t="shared" si="15"/>
        <v>1</v>
      </c>
    </row>
    <row r="459" spans="1:5" x14ac:dyDescent="0.15">
      <c r="A459" s="66" t="s">
        <v>1049</v>
      </c>
      <c r="B459" s="66" t="s">
        <v>1050</v>
      </c>
      <c r="C459" s="66" t="s">
        <v>86</v>
      </c>
      <c r="D459" s="66" t="str">
        <f t="shared" si="14"/>
        <v>0463</v>
      </c>
      <c r="E459" s="66">
        <f t="shared" si="15"/>
        <v>1</v>
      </c>
    </row>
    <row r="460" spans="1:5" x14ac:dyDescent="0.15">
      <c r="A460" s="66" t="s">
        <v>1051</v>
      </c>
      <c r="B460" s="66" t="s">
        <v>1052</v>
      </c>
      <c r="C460" s="66" t="s">
        <v>133</v>
      </c>
      <c r="D460" s="66" t="str">
        <f t="shared" si="14"/>
        <v>0464</v>
      </c>
      <c r="E460" s="66">
        <f t="shared" si="15"/>
        <v>1</v>
      </c>
    </row>
    <row r="461" spans="1:5" x14ac:dyDescent="0.15">
      <c r="A461" s="66" t="s">
        <v>1053</v>
      </c>
      <c r="B461" s="66" t="s">
        <v>1054</v>
      </c>
      <c r="C461" s="66" t="s">
        <v>133</v>
      </c>
      <c r="D461" s="66" t="str">
        <f t="shared" si="14"/>
        <v>0465</v>
      </c>
      <c r="E461" s="66">
        <f t="shared" si="15"/>
        <v>1</v>
      </c>
    </row>
    <row r="462" spans="1:5" x14ac:dyDescent="0.15">
      <c r="A462" s="66" t="s">
        <v>1055</v>
      </c>
      <c r="B462" s="66" t="s">
        <v>1056</v>
      </c>
      <c r="C462" s="66" t="s">
        <v>86</v>
      </c>
      <c r="D462" s="66" t="str">
        <f t="shared" si="14"/>
        <v>0466</v>
      </c>
      <c r="E462" s="66">
        <f t="shared" si="15"/>
        <v>1</v>
      </c>
    </row>
    <row r="463" spans="1:5" x14ac:dyDescent="0.15">
      <c r="A463" s="66" t="s">
        <v>1057</v>
      </c>
      <c r="B463" s="66" t="s">
        <v>1058</v>
      </c>
      <c r="C463" s="66" t="s">
        <v>133</v>
      </c>
      <c r="D463" s="66" t="str">
        <f t="shared" si="14"/>
        <v>0467</v>
      </c>
      <c r="E463" s="66">
        <f t="shared" si="15"/>
        <v>1</v>
      </c>
    </row>
    <row r="464" spans="1:5" x14ac:dyDescent="0.15">
      <c r="A464" s="66" t="s">
        <v>1059</v>
      </c>
      <c r="B464" s="66" t="s">
        <v>1060</v>
      </c>
      <c r="C464" s="66" t="s">
        <v>86</v>
      </c>
      <c r="D464" s="66" t="str">
        <f t="shared" si="14"/>
        <v>0468</v>
      </c>
      <c r="E464" s="66">
        <f t="shared" si="15"/>
        <v>1</v>
      </c>
    </row>
    <row r="465" spans="1:5" x14ac:dyDescent="0.15">
      <c r="A465" s="66" t="s">
        <v>1061</v>
      </c>
      <c r="B465" s="66" t="s">
        <v>1062</v>
      </c>
      <c r="C465" s="66" t="s">
        <v>86</v>
      </c>
      <c r="D465" s="66" t="str">
        <f t="shared" si="14"/>
        <v>0469</v>
      </c>
      <c r="E465" s="66">
        <f t="shared" si="15"/>
        <v>1</v>
      </c>
    </row>
    <row r="466" spans="1:5" x14ac:dyDescent="0.15">
      <c r="A466" s="66" t="s">
        <v>1063</v>
      </c>
      <c r="B466" s="66" t="s">
        <v>1064</v>
      </c>
      <c r="C466" s="66" t="s">
        <v>71</v>
      </c>
      <c r="D466" s="66" t="str">
        <f t="shared" si="14"/>
        <v>0470</v>
      </c>
      <c r="E466" s="66">
        <f t="shared" si="15"/>
        <v>1</v>
      </c>
    </row>
    <row r="467" spans="1:5" x14ac:dyDescent="0.15">
      <c r="A467" s="66" t="s">
        <v>1065</v>
      </c>
      <c r="B467" s="66" t="s">
        <v>1066</v>
      </c>
      <c r="C467" s="66" t="s">
        <v>75</v>
      </c>
      <c r="D467" s="66" t="str">
        <f t="shared" si="14"/>
        <v>0471</v>
      </c>
      <c r="E467" s="66">
        <f t="shared" si="15"/>
        <v>1</v>
      </c>
    </row>
    <row r="468" spans="1:5" x14ac:dyDescent="0.15">
      <c r="A468" s="66" t="s">
        <v>1067</v>
      </c>
      <c r="B468" s="66" t="s">
        <v>1068</v>
      </c>
      <c r="C468" s="66" t="s">
        <v>71</v>
      </c>
      <c r="D468" s="66" t="str">
        <f t="shared" si="14"/>
        <v>0472</v>
      </c>
      <c r="E468" s="66">
        <f t="shared" si="15"/>
        <v>1</v>
      </c>
    </row>
    <row r="469" spans="1:5" x14ac:dyDescent="0.15">
      <c r="A469" s="66" t="s">
        <v>1069</v>
      </c>
      <c r="B469" s="66" t="s">
        <v>1070</v>
      </c>
      <c r="C469" s="66" t="s">
        <v>86</v>
      </c>
      <c r="D469" s="66" t="str">
        <f t="shared" si="14"/>
        <v>0473</v>
      </c>
      <c r="E469" s="66">
        <f t="shared" si="15"/>
        <v>1</v>
      </c>
    </row>
    <row r="470" spans="1:5" x14ac:dyDescent="0.15">
      <c r="A470" s="66" t="s">
        <v>1071</v>
      </c>
      <c r="B470" s="66" t="s">
        <v>1072</v>
      </c>
      <c r="C470" s="66" t="s">
        <v>71</v>
      </c>
      <c r="D470" s="66" t="str">
        <f t="shared" si="14"/>
        <v>0474</v>
      </c>
      <c r="E470" s="66">
        <f t="shared" si="15"/>
        <v>1</v>
      </c>
    </row>
    <row r="471" spans="1:5" x14ac:dyDescent="0.15">
      <c r="A471" s="66" t="s">
        <v>1073</v>
      </c>
      <c r="B471" s="66" t="s">
        <v>1074</v>
      </c>
      <c r="C471" s="66" t="s">
        <v>86</v>
      </c>
      <c r="D471" s="66" t="str">
        <f t="shared" si="14"/>
        <v>0475</v>
      </c>
      <c r="E471" s="66">
        <f t="shared" si="15"/>
        <v>1</v>
      </c>
    </row>
    <row r="472" spans="1:5" x14ac:dyDescent="0.15">
      <c r="A472" s="66" t="s">
        <v>1075</v>
      </c>
      <c r="B472" s="66" t="s">
        <v>1076</v>
      </c>
      <c r="C472" s="66" t="s">
        <v>86</v>
      </c>
      <c r="D472" s="66" t="str">
        <f t="shared" si="14"/>
        <v>0476</v>
      </c>
      <c r="E472" s="66">
        <f t="shared" si="15"/>
        <v>2</v>
      </c>
    </row>
    <row r="473" spans="1:5" x14ac:dyDescent="0.15">
      <c r="A473" s="66" t="s">
        <v>1077</v>
      </c>
      <c r="B473" s="66" t="s">
        <v>1078</v>
      </c>
      <c r="C473" s="66" t="s">
        <v>71</v>
      </c>
      <c r="D473" s="66" t="str">
        <f t="shared" si="14"/>
        <v>0477</v>
      </c>
      <c r="E473" s="66">
        <f t="shared" si="15"/>
        <v>1</v>
      </c>
    </row>
    <row r="474" spans="1:5" x14ac:dyDescent="0.15">
      <c r="A474" s="66" t="s">
        <v>1079</v>
      </c>
      <c r="B474" s="66" t="s">
        <v>1080</v>
      </c>
      <c r="C474" s="66" t="s">
        <v>71</v>
      </c>
      <c r="D474" s="66" t="str">
        <f t="shared" si="14"/>
        <v>0478</v>
      </c>
      <c r="E474" s="66">
        <f t="shared" si="15"/>
        <v>1</v>
      </c>
    </row>
    <row r="475" spans="1:5" x14ac:dyDescent="0.15">
      <c r="A475" s="66" t="s">
        <v>1081</v>
      </c>
      <c r="B475" s="66" t="s">
        <v>1082</v>
      </c>
      <c r="C475" s="66" t="s">
        <v>86</v>
      </c>
      <c r="D475" s="66" t="str">
        <f t="shared" si="14"/>
        <v>0479</v>
      </c>
      <c r="E475" s="66">
        <f t="shared" si="15"/>
        <v>1</v>
      </c>
    </row>
    <row r="476" spans="1:5" x14ac:dyDescent="0.15">
      <c r="A476" s="66" t="s">
        <v>1083</v>
      </c>
      <c r="B476" s="66" t="s">
        <v>1084</v>
      </c>
      <c r="C476" s="66" t="s">
        <v>101</v>
      </c>
      <c r="D476" s="66" t="str">
        <f t="shared" si="14"/>
        <v>0483</v>
      </c>
      <c r="E476" s="66">
        <f t="shared" si="15"/>
        <v>1</v>
      </c>
    </row>
    <row r="477" spans="1:5" x14ac:dyDescent="0.15">
      <c r="A477" s="66" t="s">
        <v>1085</v>
      </c>
      <c r="B477" s="66" t="s">
        <v>1086</v>
      </c>
      <c r="C477" s="66" t="s">
        <v>424</v>
      </c>
      <c r="D477" s="66" t="str">
        <f t="shared" si="14"/>
        <v>0484</v>
      </c>
      <c r="E477" s="66">
        <f t="shared" si="15"/>
        <v>1</v>
      </c>
    </row>
    <row r="478" spans="1:5" x14ac:dyDescent="0.15">
      <c r="A478" s="66" t="s">
        <v>1087</v>
      </c>
      <c r="B478" s="66" t="s">
        <v>1088</v>
      </c>
      <c r="C478" s="66" t="s">
        <v>86</v>
      </c>
      <c r="D478" s="66" t="str">
        <f t="shared" si="14"/>
        <v>0485</v>
      </c>
      <c r="E478" s="66">
        <f t="shared" si="15"/>
        <v>1</v>
      </c>
    </row>
    <row r="479" spans="1:5" x14ac:dyDescent="0.15">
      <c r="A479" s="66" t="s">
        <v>1089</v>
      </c>
      <c r="B479" s="66" t="s">
        <v>1090</v>
      </c>
      <c r="C479" s="66" t="s">
        <v>86</v>
      </c>
      <c r="D479" s="66" t="str">
        <f t="shared" si="14"/>
        <v>0486</v>
      </c>
      <c r="E479" s="66">
        <f t="shared" si="15"/>
        <v>1</v>
      </c>
    </row>
    <row r="480" spans="1:5" x14ac:dyDescent="0.15">
      <c r="A480" s="66" t="s">
        <v>1091</v>
      </c>
      <c r="B480" s="66" t="s">
        <v>1092</v>
      </c>
      <c r="C480" s="66" t="s">
        <v>86</v>
      </c>
      <c r="D480" s="66" t="str">
        <f t="shared" si="14"/>
        <v>0487</v>
      </c>
      <c r="E480" s="66">
        <f t="shared" si="15"/>
        <v>1</v>
      </c>
    </row>
    <row r="481" spans="1:5" x14ac:dyDescent="0.15">
      <c r="A481" s="66" t="s">
        <v>1093</v>
      </c>
      <c r="B481" s="66" t="s">
        <v>1094</v>
      </c>
      <c r="C481" s="66" t="s">
        <v>133</v>
      </c>
      <c r="D481" s="66" t="str">
        <f t="shared" si="14"/>
        <v>0488</v>
      </c>
      <c r="E481" s="66">
        <f t="shared" si="15"/>
        <v>1</v>
      </c>
    </row>
    <row r="482" spans="1:5" x14ac:dyDescent="0.15">
      <c r="A482" s="66" t="s">
        <v>1095</v>
      </c>
      <c r="B482" s="66" t="s">
        <v>1096</v>
      </c>
      <c r="C482" s="66" t="s">
        <v>133</v>
      </c>
      <c r="D482" s="66" t="str">
        <f t="shared" si="14"/>
        <v>0489</v>
      </c>
      <c r="E482" s="66">
        <f t="shared" si="15"/>
        <v>1</v>
      </c>
    </row>
    <row r="483" spans="1:5" x14ac:dyDescent="0.15">
      <c r="A483" s="66" t="s">
        <v>1097</v>
      </c>
      <c r="B483" s="66" t="s">
        <v>1098</v>
      </c>
      <c r="C483" s="66" t="s">
        <v>140</v>
      </c>
      <c r="D483" s="66" t="str">
        <f t="shared" si="14"/>
        <v>0490</v>
      </c>
      <c r="E483" s="66">
        <f t="shared" si="15"/>
        <v>1</v>
      </c>
    </row>
    <row r="484" spans="1:5" x14ac:dyDescent="0.15">
      <c r="A484" s="66" t="s">
        <v>1099</v>
      </c>
      <c r="B484" s="66" t="s">
        <v>1100</v>
      </c>
      <c r="C484" s="66" t="s">
        <v>340</v>
      </c>
      <c r="D484" s="66" t="str">
        <f t="shared" si="14"/>
        <v>0491</v>
      </c>
      <c r="E484" s="66">
        <f t="shared" si="15"/>
        <v>1</v>
      </c>
    </row>
    <row r="485" spans="1:5" x14ac:dyDescent="0.15">
      <c r="A485" s="66" t="s">
        <v>1101</v>
      </c>
      <c r="B485" s="66" t="s">
        <v>1102</v>
      </c>
      <c r="C485" s="66" t="s">
        <v>340</v>
      </c>
      <c r="D485" s="66" t="str">
        <f t="shared" si="14"/>
        <v>0492</v>
      </c>
      <c r="E485" s="66">
        <f t="shared" si="15"/>
        <v>1</v>
      </c>
    </row>
    <row r="486" spans="1:5" x14ac:dyDescent="0.15">
      <c r="A486" s="66" t="s">
        <v>1103</v>
      </c>
      <c r="B486" s="66" t="s">
        <v>1104</v>
      </c>
      <c r="C486" s="66" t="s">
        <v>71</v>
      </c>
      <c r="D486" s="66" t="str">
        <f t="shared" si="14"/>
        <v>0493</v>
      </c>
      <c r="E486" s="66">
        <f t="shared" si="15"/>
        <v>1</v>
      </c>
    </row>
    <row r="487" spans="1:5" x14ac:dyDescent="0.15">
      <c r="A487" s="66" t="s">
        <v>1105</v>
      </c>
      <c r="B487" s="66" t="s">
        <v>1106</v>
      </c>
      <c r="C487" s="66" t="s">
        <v>101</v>
      </c>
      <c r="D487" s="66" t="str">
        <f t="shared" si="14"/>
        <v>0494</v>
      </c>
      <c r="E487" s="66">
        <f t="shared" si="15"/>
        <v>1</v>
      </c>
    </row>
    <row r="488" spans="1:5" x14ac:dyDescent="0.15">
      <c r="A488" s="66" t="s">
        <v>1107</v>
      </c>
      <c r="B488" s="66" t="s">
        <v>1108</v>
      </c>
      <c r="C488" s="66" t="s">
        <v>385</v>
      </c>
      <c r="D488" s="66" t="str">
        <f t="shared" si="14"/>
        <v>0495</v>
      </c>
      <c r="E488" s="66">
        <f t="shared" si="15"/>
        <v>1</v>
      </c>
    </row>
    <row r="489" spans="1:5" x14ac:dyDescent="0.15">
      <c r="A489" s="66" t="s">
        <v>1109</v>
      </c>
      <c r="B489" s="66" t="s">
        <v>1110</v>
      </c>
      <c r="C489" s="66" t="s">
        <v>71</v>
      </c>
      <c r="D489" s="66" t="str">
        <f t="shared" si="14"/>
        <v>0496</v>
      </c>
      <c r="E489" s="66">
        <f t="shared" si="15"/>
        <v>1</v>
      </c>
    </row>
    <row r="490" spans="1:5" x14ac:dyDescent="0.15">
      <c r="A490" s="66" t="s">
        <v>1111</v>
      </c>
      <c r="B490" s="66" t="s">
        <v>1112</v>
      </c>
      <c r="C490" s="66" t="s">
        <v>874</v>
      </c>
      <c r="D490" s="66" t="str">
        <f t="shared" si="14"/>
        <v>0497</v>
      </c>
      <c r="E490" s="66">
        <f t="shared" si="15"/>
        <v>1</v>
      </c>
    </row>
    <row r="491" spans="1:5" x14ac:dyDescent="0.15">
      <c r="A491" s="66" t="s">
        <v>1113</v>
      </c>
      <c r="B491" s="66" t="s">
        <v>1114</v>
      </c>
      <c r="C491" s="66" t="s">
        <v>71</v>
      </c>
      <c r="D491" s="66" t="str">
        <f t="shared" si="14"/>
        <v>0498</v>
      </c>
      <c r="E491" s="66">
        <f t="shared" si="15"/>
        <v>1</v>
      </c>
    </row>
    <row r="492" spans="1:5" x14ac:dyDescent="0.15">
      <c r="A492" s="66" t="s">
        <v>1115</v>
      </c>
      <c r="B492" s="66" t="s">
        <v>1116</v>
      </c>
      <c r="C492" s="66" t="s">
        <v>86</v>
      </c>
      <c r="D492" s="66" t="str">
        <f t="shared" si="14"/>
        <v>0499</v>
      </c>
      <c r="E492" s="66">
        <f t="shared" si="15"/>
        <v>1</v>
      </c>
    </row>
    <row r="493" spans="1:5" x14ac:dyDescent="0.15">
      <c r="A493" s="66" t="s">
        <v>1117</v>
      </c>
      <c r="B493" s="66" t="s">
        <v>1118</v>
      </c>
      <c r="C493" s="66" t="s">
        <v>75</v>
      </c>
      <c r="D493" s="66" t="str">
        <f t="shared" si="14"/>
        <v>0500</v>
      </c>
      <c r="E493" s="66">
        <f t="shared" si="15"/>
        <v>1</v>
      </c>
    </row>
    <row r="494" spans="1:5" x14ac:dyDescent="0.15">
      <c r="A494" s="66" t="s">
        <v>1119</v>
      </c>
      <c r="B494" s="66" t="s">
        <v>1120</v>
      </c>
      <c r="C494" s="66" t="s">
        <v>75</v>
      </c>
      <c r="D494" s="66" t="str">
        <f t="shared" si="14"/>
        <v>0501</v>
      </c>
      <c r="E494" s="66">
        <f t="shared" si="15"/>
        <v>1</v>
      </c>
    </row>
    <row r="495" spans="1:5" x14ac:dyDescent="0.15">
      <c r="A495" s="66" t="s">
        <v>1121</v>
      </c>
      <c r="B495" s="66" t="s">
        <v>1122</v>
      </c>
      <c r="C495" s="66" t="s">
        <v>71</v>
      </c>
      <c r="D495" s="66" t="str">
        <f t="shared" si="14"/>
        <v>0502</v>
      </c>
      <c r="E495" s="66">
        <f t="shared" si="15"/>
        <v>2</v>
      </c>
    </row>
    <row r="496" spans="1:5" x14ac:dyDescent="0.15">
      <c r="A496" s="66" t="s">
        <v>1123</v>
      </c>
      <c r="B496" s="66" t="s">
        <v>1124</v>
      </c>
      <c r="C496" s="66" t="s">
        <v>86</v>
      </c>
      <c r="D496" s="66" t="str">
        <f t="shared" si="14"/>
        <v>0503</v>
      </c>
      <c r="E496" s="66">
        <f t="shared" si="15"/>
        <v>1</v>
      </c>
    </row>
    <row r="497" spans="1:5" x14ac:dyDescent="0.15">
      <c r="A497" s="66" t="s">
        <v>1125</v>
      </c>
      <c r="B497" s="66" t="s">
        <v>1126</v>
      </c>
      <c r="C497" s="66" t="s">
        <v>75</v>
      </c>
      <c r="D497" s="66" t="str">
        <f t="shared" si="14"/>
        <v>0504</v>
      </c>
      <c r="E497" s="66">
        <f t="shared" si="15"/>
        <v>1</v>
      </c>
    </row>
    <row r="498" spans="1:5" x14ac:dyDescent="0.15">
      <c r="A498" s="66" t="s">
        <v>1127</v>
      </c>
      <c r="B498" s="66" t="s">
        <v>1128</v>
      </c>
      <c r="C498" s="66" t="s">
        <v>75</v>
      </c>
      <c r="D498" s="66" t="str">
        <f t="shared" si="14"/>
        <v>0505</v>
      </c>
      <c r="E498" s="66">
        <f t="shared" si="15"/>
        <v>1</v>
      </c>
    </row>
    <row r="499" spans="1:5" x14ac:dyDescent="0.15">
      <c r="A499" s="66" t="s">
        <v>1129</v>
      </c>
      <c r="B499" s="66" t="s">
        <v>1130</v>
      </c>
      <c r="C499" s="66" t="s">
        <v>75</v>
      </c>
      <c r="D499" s="66" t="str">
        <f t="shared" si="14"/>
        <v>0506</v>
      </c>
      <c r="E499" s="66">
        <f t="shared" si="15"/>
        <v>1</v>
      </c>
    </row>
    <row r="500" spans="1:5" x14ac:dyDescent="0.15">
      <c r="A500" s="66" t="s">
        <v>1131</v>
      </c>
      <c r="B500" s="66" t="s">
        <v>1132</v>
      </c>
      <c r="C500" s="66" t="s">
        <v>140</v>
      </c>
      <c r="D500" s="66" t="str">
        <f t="shared" si="14"/>
        <v>0507</v>
      </c>
      <c r="E500" s="66">
        <f t="shared" si="15"/>
        <v>1</v>
      </c>
    </row>
    <row r="501" spans="1:5" x14ac:dyDescent="0.15">
      <c r="A501" s="66" t="s">
        <v>1133</v>
      </c>
      <c r="B501" s="66" t="s">
        <v>1134</v>
      </c>
      <c r="C501" s="66" t="s">
        <v>424</v>
      </c>
      <c r="D501" s="66" t="str">
        <f t="shared" si="14"/>
        <v>0508</v>
      </c>
      <c r="E501" s="66">
        <f t="shared" si="15"/>
        <v>1</v>
      </c>
    </row>
    <row r="502" spans="1:5" x14ac:dyDescent="0.15">
      <c r="A502" s="66" t="s">
        <v>1135</v>
      </c>
      <c r="B502" s="66" t="s">
        <v>1136</v>
      </c>
      <c r="C502" s="66" t="s">
        <v>424</v>
      </c>
      <c r="D502" s="66" t="str">
        <f t="shared" si="14"/>
        <v>0509</v>
      </c>
      <c r="E502" s="66">
        <f t="shared" si="15"/>
        <v>1</v>
      </c>
    </row>
    <row r="503" spans="1:5" x14ac:dyDescent="0.15">
      <c r="A503" s="66" t="s">
        <v>1137</v>
      </c>
      <c r="B503" s="66" t="s">
        <v>1138</v>
      </c>
      <c r="C503" s="66" t="s">
        <v>86</v>
      </c>
      <c r="D503" s="66" t="str">
        <f t="shared" si="14"/>
        <v>0510</v>
      </c>
      <c r="E503" s="66">
        <f t="shared" si="15"/>
        <v>1</v>
      </c>
    </row>
    <row r="504" spans="1:5" x14ac:dyDescent="0.15">
      <c r="A504" s="66" t="s">
        <v>1139</v>
      </c>
      <c r="B504" s="66" t="s">
        <v>1140</v>
      </c>
      <c r="C504" s="66" t="s">
        <v>86</v>
      </c>
      <c r="D504" s="66" t="str">
        <f t="shared" si="14"/>
        <v>0511</v>
      </c>
      <c r="E504" s="66">
        <f t="shared" si="15"/>
        <v>1</v>
      </c>
    </row>
    <row r="505" spans="1:5" x14ac:dyDescent="0.15">
      <c r="A505" s="66" t="s">
        <v>1141</v>
      </c>
      <c r="B505" s="66" t="s">
        <v>1142</v>
      </c>
      <c r="C505" s="66" t="s">
        <v>436</v>
      </c>
      <c r="D505" s="66" t="str">
        <f t="shared" si="14"/>
        <v>0512</v>
      </c>
      <c r="E505" s="66">
        <f t="shared" si="15"/>
        <v>1</v>
      </c>
    </row>
    <row r="506" spans="1:5" x14ac:dyDescent="0.15">
      <c r="A506" s="66" t="s">
        <v>1143</v>
      </c>
      <c r="B506" s="66" t="s">
        <v>1144</v>
      </c>
      <c r="C506" s="66" t="s">
        <v>436</v>
      </c>
      <c r="D506" s="66" t="str">
        <f t="shared" si="14"/>
        <v>0513</v>
      </c>
      <c r="E506" s="66">
        <f t="shared" si="15"/>
        <v>1</v>
      </c>
    </row>
    <row r="507" spans="1:5" x14ac:dyDescent="0.15">
      <c r="A507" s="66" t="s">
        <v>1145</v>
      </c>
      <c r="B507" s="66" t="s">
        <v>1146</v>
      </c>
      <c r="C507" s="66" t="s">
        <v>86</v>
      </c>
      <c r="D507" s="66" t="str">
        <f t="shared" si="14"/>
        <v>0514</v>
      </c>
      <c r="E507" s="66">
        <f t="shared" si="15"/>
        <v>2</v>
      </c>
    </row>
    <row r="508" spans="1:5" x14ac:dyDescent="0.15">
      <c r="A508" s="66" t="s">
        <v>1147</v>
      </c>
      <c r="B508" s="66" t="s">
        <v>1148</v>
      </c>
      <c r="C508" s="66" t="s">
        <v>424</v>
      </c>
      <c r="D508" s="66" t="str">
        <f t="shared" si="14"/>
        <v>0515</v>
      </c>
      <c r="E508" s="66">
        <f t="shared" si="15"/>
        <v>1</v>
      </c>
    </row>
    <row r="509" spans="1:5" x14ac:dyDescent="0.15">
      <c r="A509" s="66" t="s">
        <v>1149</v>
      </c>
      <c r="B509" s="66" t="s">
        <v>1150</v>
      </c>
      <c r="C509" s="66" t="s">
        <v>140</v>
      </c>
      <c r="D509" s="66" t="str">
        <f t="shared" si="14"/>
        <v>0516</v>
      </c>
      <c r="E509" s="66">
        <f t="shared" si="15"/>
        <v>1</v>
      </c>
    </row>
    <row r="510" spans="1:5" x14ac:dyDescent="0.15">
      <c r="A510" s="66" t="s">
        <v>1151</v>
      </c>
      <c r="B510" s="66" t="s">
        <v>1152</v>
      </c>
      <c r="C510" s="66" t="s">
        <v>140</v>
      </c>
      <c r="D510" s="66" t="str">
        <f t="shared" si="14"/>
        <v>0517</v>
      </c>
      <c r="E510" s="66">
        <f t="shared" si="15"/>
        <v>1</v>
      </c>
    </row>
    <row r="511" spans="1:5" x14ac:dyDescent="0.15">
      <c r="A511" s="66" t="s">
        <v>1153</v>
      </c>
      <c r="B511" s="66" t="s">
        <v>1154</v>
      </c>
      <c r="C511" s="66" t="s">
        <v>101</v>
      </c>
      <c r="D511" s="66" t="str">
        <f t="shared" si="14"/>
        <v>0518</v>
      </c>
      <c r="E511" s="66">
        <f t="shared" si="15"/>
        <v>1</v>
      </c>
    </row>
    <row r="512" spans="1:5" x14ac:dyDescent="0.15">
      <c r="A512" s="66" t="s">
        <v>1155</v>
      </c>
      <c r="B512" s="66" t="s">
        <v>1156</v>
      </c>
      <c r="C512" s="66" t="s">
        <v>436</v>
      </c>
      <c r="D512" s="66" t="str">
        <f t="shared" si="14"/>
        <v>0519</v>
      </c>
      <c r="E512" s="66">
        <f t="shared" si="15"/>
        <v>1</v>
      </c>
    </row>
    <row r="513" spans="1:5" x14ac:dyDescent="0.15">
      <c r="A513" s="66" t="s">
        <v>1157</v>
      </c>
      <c r="B513" s="66" t="s">
        <v>1158</v>
      </c>
      <c r="C513" s="66" t="s">
        <v>86</v>
      </c>
      <c r="D513" s="66" t="str">
        <f t="shared" si="14"/>
        <v>0520</v>
      </c>
      <c r="E513" s="66">
        <f t="shared" si="15"/>
        <v>1</v>
      </c>
    </row>
    <row r="514" spans="1:5" x14ac:dyDescent="0.15">
      <c r="A514" s="66" t="s">
        <v>1159</v>
      </c>
      <c r="B514" s="66" t="s">
        <v>1160</v>
      </c>
      <c r="C514" s="66" t="s">
        <v>424</v>
      </c>
      <c r="D514" s="66" t="str">
        <f t="shared" ref="D514:D577" si="16">A514</f>
        <v>0521</v>
      </c>
      <c r="E514" s="66">
        <f t="shared" ref="E514:E577" si="17">COUNTIFS(B:B,B514)</f>
        <v>1</v>
      </c>
    </row>
    <row r="515" spans="1:5" x14ac:dyDescent="0.15">
      <c r="A515" s="66" t="s">
        <v>1161</v>
      </c>
      <c r="B515" s="66" t="s">
        <v>1162</v>
      </c>
      <c r="C515" s="66" t="s">
        <v>370</v>
      </c>
      <c r="D515" s="66" t="str">
        <f t="shared" si="16"/>
        <v>0522</v>
      </c>
      <c r="E515" s="66">
        <f t="shared" si="17"/>
        <v>1</v>
      </c>
    </row>
    <row r="516" spans="1:5" x14ac:dyDescent="0.15">
      <c r="A516" s="66" t="s">
        <v>1163</v>
      </c>
      <c r="B516" s="66" t="s">
        <v>1164</v>
      </c>
      <c r="C516" s="66" t="s">
        <v>71</v>
      </c>
      <c r="D516" s="66" t="str">
        <f t="shared" si="16"/>
        <v>0523</v>
      </c>
      <c r="E516" s="66">
        <f t="shared" si="17"/>
        <v>1</v>
      </c>
    </row>
    <row r="517" spans="1:5" x14ac:dyDescent="0.15">
      <c r="A517" s="66" t="s">
        <v>1165</v>
      </c>
      <c r="B517" s="66" t="s">
        <v>1166</v>
      </c>
      <c r="C517" s="66" t="s">
        <v>71</v>
      </c>
      <c r="D517" s="66" t="str">
        <f t="shared" si="16"/>
        <v>0524</v>
      </c>
      <c r="E517" s="66">
        <f t="shared" si="17"/>
        <v>1</v>
      </c>
    </row>
    <row r="518" spans="1:5" x14ac:dyDescent="0.15">
      <c r="A518" s="66" t="s">
        <v>1167</v>
      </c>
      <c r="B518" s="66" t="s">
        <v>1168</v>
      </c>
      <c r="C518" s="66" t="s">
        <v>75</v>
      </c>
      <c r="D518" s="66" t="str">
        <f t="shared" si="16"/>
        <v>0525</v>
      </c>
      <c r="E518" s="66">
        <f t="shared" si="17"/>
        <v>1</v>
      </c>
    </row>
    <row r="519" spans="1:5" x14ac:dyDescent="0.15">
      <c r="A519" s="66" t="s">
        <v>1169</v>
      </c>
      <c r="B519" s="66" t="s">
        <v>1170</v>
      </c>
      <c r="C519" s="66" t="s">
        <v>340</v>
      </c>
      <c r="D519" s="66" t="str">
        <f t="shared" si="16"/>
        <v>0526</v>
      </c>
      <c r="E519" s="66">
        <f t="shared" si="17"/>
        <v>1</v>
      </c>
    </row>
    <row r="520" spans="1:5" x14ac:dyDescent="0.15">
      <c r="A520" s="66" t="s">
        <v>1171</v>
      </c>
      <c r="B520" s="66" t="s">
        <v>543</v>
      </c>
      <c r="C520" s="66" t="s">
        <v>140</v>
      </c>
      <c r="D520" s="66" t="str">
        <f t="shared" si="16"/>
        <v>0527</v>
      </c>
      <c r="E520" s="66">
        <f t="shared" si="17"/>
        <v>2</v>
      </c>
    </row>
    <row r="521" spans="1:5" x14ac:dyDescent="0.15">
      <c r="A521" s="66" t="s">
        <v>1172</v>
      </c>
      <c r="B521" s="66" t="s">
        <v>1173</v>
      </c>
      <c r="C521" s="66" t="s">
        <v>86</v>
      </c>
      <c r="D521" s="66" t="str">
        <f t="shared" si="16"/>
        <v>0528</v>
      </c>
      <c r="E521" s="66">
        <f t="shared" si="17"/>
        <v>1</v>
      </c>
    </row>
    <row r="522" spans="1:5" x14ac:dyDescent="0.15">
      <c r="A522" s="66" t="s">
        <v>1174</v>
      </c>
      <c r="B522" s="66" t="s">
        <v>1175</v>
      </c>
      <c r="C522" s="66" t="s">
        <v>86</v>
      </c>
      <c r="D522" s="66" t="str">
        <f t="shared" si="16"/>
        <v>0529</v>
      </c>
      <c r="E522" s="66">
        <f t="shared" si="17"/>
        <v>1</v>
      </c>
    </row>
    <row r="523" spans="1:5" x14ac:dyDescent="0.15">
      <c r="A523" s="66" t="s">
        <v>1176</v>
      </c>
      <c r="B523" s="66" t="s">
        <v>1177</v>
      </c>
      <c r="C523" s="66" t="s">
        <v>133</v>
      </c>
      <c r="D523" s="66" t="str">
        <f t="shared" si="16"/>
        <v>0530</v>
      </c>
      <c r="E523" s="66">
        <f t="shared" si="17"/>
        <v>1</v>
      </c>
    </row>
    <row r="524" spans="1:5" x14ac:dyDescent="0.15">
      <c r="A524" s="66" t="s">
        <v>1178</v>
      </c>
      <c r="B524" s="66" t="s">
        <v>1179</v>
      </c>
      <c r="C524" s="66" t="s">
        <v>340</v>
      </c>
      <c r="D524" s="66" t="str">
        <f t="shared" si="16"/>
        <v>0531</v>
      </c>
      <c r="E524" s="66">
        <f t="shared" si="17"/>
        <v>1</v>
      </c>
    </row>
    <row r="525" spans="1:5" x14ac:dyDescent="0.15">
      <c r="A525" s="66" t="s">
        <v>1180</v>
      </c>
      <c r="B525" s="66" t="s">
        <v>1181</v>
      </c>
      <c r="C525" s="66" t="s">
        <v>133</v>
      </c>
      <c r="D525" s="66" t="str">
        <f t="shared" si="16"/>
        <v>0532</v>
      </c>
      <c r="E525" s="66">
        <f t="shared" si="17"/>
        <v>1</v>
      </c>
    </row>
    <row r="526" spans="1:5" x14ac:dyDescent="0.15">
      <c r="A526" s="66" t="s">
        <v>1182</v>
      </c>
      <c r="B526" s="66" t="s">
        <v>1183</v>
      </c>
      <c r="C526" s="66" t="s">
        <v>133</v>
      </c>
      <c r="D526" s="66" t="str">
        <f t="shared" si="16"/>
        <v>0533</v>
      </c>
      <c r="E526" s="66">
        <f t="shared" si="17"/>
        <v>1</v>
      </c>
    </row>
    <row r="527" spans="1:5" x14ac:dyDescent="0.15">
      <c r="A527" s="66" t="s">
        <v>1184</v>
      </c>
      <c r="B527" s="66" t="s">
        <v>1185</v>
      </c>
      <c r="C527" s="66" t="s">
        <v>86</v>
      </c>
      <c r="D527" s="66" t="str">
        <f t="shared" si="16"/>
        <v>0534</v>
      </c>
      <c r="E527" s="66">
        <f t="shared" si="17"/>
        <v>1</v>
      </c>
    </row>
    <row r="528" spans="1:5" x14ac:dyDescent="0.15">
      <c r="A528" s="66" t="s">
        <v>1186</v>
      </c>
      <c r="B528" s="66" t="s">
        <v>1187</v>
      </c>
      <c r="C528" s="66" t="s">
        <v>71</v>
      </c>
      <c r="D528" s="66" t="str">
        <f t="shared" si="16"/>
        <v>0535</v>
      </c>
      <c r="E528" s="66">
        <f t="shared" si="17"/>
        <v>2</v>
      </c>
    </row>
    <row r="529" spans="1:5" x14ac:dyDescent="0.15">
      <c r="A529" s="66" t="s">
        <v>1188</v>
      </c>
      <c r="B529" s="66" t="s">
        <v>1189</v>
      </c>
      <c r="C529" s="66" t="s">
        <v>75</v>
      </c>
      <c r="D529" s="66" t="str">
        <f t="shared" si="16"/>
        <v>0536</v>
      </c>
      <c r="E529" s="66">
        <f t="shared" si="17"/>
        <v>1</v>
      </c>
    </row>
    <row r="530" spans="1:5" x14ac:dyDescent="0.15">
      <c r="A530" s="66" t="s">
        <v>1190</v>
      </c>
      <c r="B530" s="66" t="s">
        <v>1191</v>
      </c>
      <c r="C530" s="66" t="s">
        <v>75</v>
      </c>
      <c r="D530" s="66" t="str">
        <f t="shared" si="16"/>
        <v>0537</v>
      </c>
      <c r="E530" s="66">
        <f t="shared" si="17"/>
        <v>1</v>
      </c>
    </row>
    <row r="531" spans="1:5" x14ac:dyDescent="0.15">
      <c r="A531" s="66" t="s">
        <v>1192</v>
      </c>
      <c r="B531" s="66" t="s">
        <v>1193</v>
      </c>
      <c r="C531" s="66" t="s">
        <v>75</v>
      </c>
      <c r="D531" s="66" t="str">
        <f t="shared" si="16"/>
        <v>0538</v>
      </c>
      <c r="E531" s="66">
        <f t="shared" si="17"/>
        <v>1</v>
      </c>
    </row>
    <row r="532" spans="1:5" x14ac:dyDescent="0.15">
      <c r="A532" s="66" t="s">
        <v>1194</v>
      </c>
      <c r="B532" s="66" t="s">
        <v>1195</v>
      </c>
      <c r="C532" s="66" t="s">
        <v>75</v>
      </c>
      <c r="D532" s="66" t="str">
        <f t="shared" si="16"/>
        <v>0539</v>
      </c>
      <c r="E532" s="66">
        <f t="shared" si="17"/>
        <v>1</v>
      </c>
    </row>
    <row r="533" spans="1:5" x14ac:dyDescent="0.15">
      <c r="A533" s="66" t="s">
        <v>1196</v>
      </c>
      <c r="B533" s="66" t="s">
        <v>1197</v>
      </c>
      <c r="C533" s="66" t="s">
        <v>75</v>
      </c>
      <c r="D533" s="66" t="str">
        <f t="shared" si="16"/>
        <v>0540</v>
      </c>
      <c r="E533" s="66">
        <f t="shared" si="17"/>
        <v>1</v>
      </c>
    </row>
    <row r="534" spans="1:5" x14ac:dyDescent="0.15">
      <c r="A534" s="66" t="s">
        <v>1198</v>
      </c>
      <c r="B534" s="66" t="s">
        <v>1199</v>
      </c>
      <c r="C534" s="66" t="s">
        <v>86</v>
      </c>
      <c r="D534" s="66" t="str">
        <f t="shared" si="16"/>
        <v>0541</v>
      </c>
      <c r="E534" s="66">
        <f t="shared" si="17"/>
        <v>1</v>
      </c>
    </row>
    <row r="535" spans="1:5" x14ac:dyDescent="0.15">
      <c r="A535" s="66" t="s">
        <v>1200</v>
      </c>
      <c r="B535" s="66" t="s">
        <v>1201</v>
      </c>
      <c r="C535" s="66" t="s">
        <v>133</v>
      </c>
      <c r="D535" s="66" t="str">
        <f t="shared" si="16"/>
        <v>0542</v>
      </c>
      <c r="E535" s="66">
        <f t="shared" si="17"/>
        <v>1</v>
      </c>
    </row>
    <row r="536" spans="1:5" x14ac:dyDescent="0.15">
      <c r="A536" s="66" t="s">
        <v>1202</v>
      </c>
      <c r="B536" s="66" t="s">
        <v>1203</v>
      </c>
      <c r="C536" s="66" t="s">
        <v>86</v>
      </c>
      <c r="D536" s="66" t="str">
        <f t="shared" si="16"/>
        <v>0543</v>
      </c>
      <c r="E536" s="66">
        <f t="shared" si="17"/>
        <v>1</v>
      </c>
    </row>
    <row r="537" spans="1:5" x14ac:dyDescent="0.15">
      <c r="A537" s="66" t="s">
        <v>1204</v>
      </c>
      <c r="B537" s="66" t="s">
        <v>1205</v>
      </c>
      <c r="C537" s="66" t="s">
        <v>75</v>
      </c>
      <c r="D537" s="66" t="str">
        <f t="shared" si="16"/>
        <v>0544</v>
      </c>
      <c r="E537" s="66">
        <f t="shared" si="17"/>
        <v>1</v>
      </c>
    </row>
    <row r="538" spans="1:5" x14ac:dyDescent="0.15">
      <c r="A538" s="66" t="s">
        <v>1206</v>
      </c>
      <c r="B538" s="66" t="s">
        <v>1207</v>
      </c>
      <c r="C538" s="66" t="s">
        <v>340</v>
      </c>
      <c r="D538" s="66" t="str">
        <f t="shared" si="16"/>
        <v>0545</v>
      </c>
      <c r="E538" s="66">
        <f t="shared" si="17"/>
        <v>1</v>
      </c>
    </row>
    <row r="539" spans="1:5" x14ac:dyDescent="0.15">
      <c r="A539" s="66" t="s">
        <v>1208</v>
      </c>
      <c r="B539" s="66" t="s">
        <v>1209</v>
      </c>
      <c r="C539" s="66" t="s">
        <v>340</v>
      </c>
      <c r="D539" s="66" t="str">
        <f t="shared" si="16"/>
        <v>0546</v>
      </c>
      <c r="E539" s="66">
        <f t="shared" si="17"/>
        <v>1</v>
      </c>
    </row>
    <row r="540" spans="1:5" x14ac:dyDescent="0.15">
      <c r="A540" s="66" t="s">
        <v>1210</v>
      </c>
      <c r="B540" s="66" t="s">
        <v>1211</v>
      </c>
      <c r="C540" s="66" t="s">
        <v>71</v>
      </c>
      <c r="D540" s="66" t="str">
        <f t="shared" si="16"/>
        <v>0547</v>
      </c>
      <c r="E540" s="66">
        <f t="shared" si="17"/>
        <v>1</v>
      </c>
    </row>
    <row r="541" spans="1:5" x14ac:dyDescent="0.15">
      <c r="A541" s="66" t="s">
        <v>1212</v>
      </c>
      <c r="B541" s="66" t="s">
        <v>1213</v>
      </c>
      <c r="C541" s="66" t="s">
        <v>75</v>
      </c>
      <c r="D541" s="66" t="str">
        <f t="shared" si="16"/>
        <v>0548</v>
      </c>
      <c r="E541" s="66">
        <f t="shared" si="17"/>
        <v>1</v>
      </c>
    </row>
    <row r="542" spans="1:5" x14ac:dyDescent="0.15">
      <c r="A542" s="66" t="s">
        <v>1214</v>
      </c>
      <c r="B542" s="66" t="s">
        <v>1215</v>
      </c>
      <c r="C542" s="66" t="s">
        <v>71</v>
      </c>
      <c r="D542" s="66" t="str">
        <f t="shared" si="16"/>
        <v>0549</v>
      </c>
      <c r="E542" s="66">
        <f t="shared" si="17"/>
        <v>1</v>
      </c>
    </row>
    <row r="543" spans="1:5" x14ac:dyDescent="0.15">
      <c r="A543" s="66" t="s">
        <v>1216</v>
      </c>
      <c r="B543" s="66" t="s">
        <v>1217</v>
      </c>
      <c r="C543" s="66" t="s">
        <v>340</v>
      </c>
      <c r="D543" s="66" t="str">
        <f t="shared" si="16"/>
        <v>0550</v>
      </c>
      <c r="E543" s="66">
        <f t="shared" si="17"/>
        <v>1</v>
      </c>
    </row>
    <row r="544" spans="1:5" x14ac:dyDescent="0.15">
      <c r="A544" s="66" t="s">
        <v>1218</v>
      </c>
      <c r="B544" s="66" t="s">
        <v>1219</v>
      </c>
      <c r="C544" s="66" t="s">
        <v>75</v>
      </c>
      <c r="D544" s="66" t="str">
        <f t="shared" si="16"/>
        <v>0551</v>
      </c>
      <c r="E544" s="66">
        <f t="shared" si="17"/>
        <v>1</v>
      </c>
    </row>
    <row r="545" spans="1:5" x14ac:dyDescent="0.15">
      <c r="A545" s="66" t="s">
        <v>1220</v>
      </c>
      <c r="B545" s="66" t="s">
        <v>1221</v>
      </c>
      <c r="C545" s="66" t="s">
        <v>86</v>
      </c>
      <c r="D545" s="66" t="str">
        <f t="shared" si="16"/>
        <v>0552</v>
      </c>
      <c r="E545" s="66">
        <f t="shared" si="17"/>
        <v>1</v>
      </c>
    </row>
    <row r="546" spans="1:5" x14ac:dyDescent="0.15">
      <c r="A546" s="66" t="s">
        <v>1222</v>
      </c>
      <c r="B546" s="66" t="s">
        <v>1223</v>
      </c>
      <c r="C546" s="66" t="s">
        <v>340</v>
      </c>
      <c r="D546" s="66" t="str">
        <f t="shared" si="16"/>
        <v>0553</v>
      </c>
      <c r="E546" s="66">
        <f t="shared" si="17"/>
        <v>1</v>
      </c>
    </row>
    <row r="547" spans="1:5" x14ac:dyDescent="0.15">
      <c r="A547" s="66" t="s">
        <v>1224</v>
      </c>
      <c r="B547" s="66" t="s">
        <v>1225</v>
      </c>
      <c r="C547" s="66" t="s">
        <v>71</v>
      </c>
      <c r="D547" s="66" t="str">
        <f t="shared" si="16"/>
        <v>0554</v>
      </c>
      <c r="E547" s="66">
        <f t="shared" si="17"/>
        <v>1</v>
      </c>
    </row>
    <row r="548" spans="1:5" x14ac:dyDescent="0.15">
      <c r="A548" s="66" t="s">
        <v>1226</v>
      </c>
      <c r="B548" s="66" t="s">
        <v>1227</v>
      </c>
      <c r="C548" s="66" t="s">
        <v>133</v>
      </c>
      <c r="D548" s="66" t="str">
        <f t="shared" si="16"/>
        <v>0555</v>
      </c>
      <c r="E548" s="66">
        <f t="shared" si="17"/>
        <v>1</v>
      </c>
    </row>
    <row r="549" spans="1:5" x14ac:dyDescent="0.15">
      <c r="A549" s="66" t="s">
        <v>1228</v>
      </c>
      <c r="B549" s="66" t="s">
        <v>1229</v>
      </c>
      <c r="C549" s="66" t="s">
        <v>133</v>
      </c>
      <c r="D549" s="66" t="str">
        <f t="shared" si="16"/>
        <v>0556</v>
      </c>
      <c r="E549" s="66">
        <f t="shared" si="17"/>
        <v>1</v>
      </c>
    </row>
    <row r="550" spans="1:5" x14ac:dyDescent="0.15">
      <c r="A550" s="66" t="s">
        <v>1230</v>
      </c>
      <c r="B550" s="66" t="s">
        <v>1231</v>
      </c>
      <c r="C550" s="66" t="s">
        <v>86</v>
      </c>
      <c r="D550" s="66" t="str">
        <f t="shared" si="16"/>
        <v>0557</v>
      </c>
      <c r="E550" s="66">
        <f t="shared" si="17"/>
        <v>1</v>
      </c>
    </row>
    <row r="551" spans="1:5" x14ac:dyDescent="0.15">
      <c r="A551" s="66" t="s">
        <v>1232</v>
      </c>
      <c r="B551" s="66" t="s">
        <v>1233</v>
      </c>
      <c r="C551" s="66" t="s">
        <v>86</v>
      </c>
      <c r="D551" s="66" t="str">
        <f t="shared" si="16"/>
        <v>0558</v>
      </c>
      <c r="E551" s="66">
        <f t="shared" si="17"/>
        <v>1</v>
      </c>
    </row>
    <row r="552" spans="1:5" x14ac:dyDescent="0.15">
      <c r="A552" s="66" t="s">
        <v>1234</v>
      </c>
      <c r="B552" s="66" t="s">
        <v>1235</v>
      </c>
      <c r="C552" s="66" t="s">
        <v>86</v>
      </c>
      <c r="D552" s="66" t="str">
        <f t="shared" si="16"/>
        <v>0559</v>
      </c>
      <c r="E552" s="66">
        <f t="shared" si="17"/>
        <v>1</v>
      </c>
    </row>
    <row r="553" spans="1:5" x14ac:dyDescent="0.15">
      <c r="A553" s="66" t="s">
        <v>1236</v>
      </c>
      <c r="B553" s="66" t="s">
        <v>1237</v>
      </c>
      <c r="C553" s="66" t="s">
        <v>133</v>
      </c>
      <c r="D553" s="66" t="str">
        <f t="shared" si="16"/>
        <v>0560</v>
      </c>
      <c r="E553" s="66">
        <f t="shared" si="17"/>
        <v>1</v>
      </c>
    </row>
    <row r="554" spans="1:5" x14ac:dyDescent="0.15">
      <c r="A554" s="66" t="s">
        <v>1238</v>
      </c>
      <c r="B554" s="66" t="s">
        <v>1239</v>
      </c>
      <c r="C554" s="66" t="s">
        <v>340</v>
      </c>
      <c r="D554" s="66" t="str">
        <f t="shared" si="16"/>
        <v>0561</v>
      </c>
      <c r="E554" s="66">
        <f t="shared" si="17"/>
        <v>1</v>
      </c>
    </row>
    <row r="555" spans="1:5" x14ac:dyDescent="0.15">
      <c r="A555" s="66" t="s">
        <v>1240</v>
      </c>
      <c r="B555" s="66" t="s">
        <v>1241</v>
      </c>
      <c r="C555" s="66" t="s">
        <v>75</v>
      </c>
      <c r="D555" s="66" t="str">
        <f t="shared" si="16"/>
        <v>0562</v>
      </c>
      <c r="E555" s="66">
        <f t="shared" si="17"/>
        <v>1</v>
      </c>
    </row>
    <row r="556" spans="1:5" x14ac:dyDescent="0.15">
      <c r="A556" s="66" t="s">
        <v>1242</v>
      </c>
      <c r="B556" s="66" t="s">
        <v>1243</v>
      </c>
      <c r="C556" s="66" t="s">
        <v>133</v>
      </c>
      <c r="D556" s="66" t="str">
        <f t="shared" si="16"/>
        <v>0563</v>
      </c>
      <c r="E556" s="66">
        <f t="shared" si="17"/>
        <v>1</v>
      </c>
    </row>
    <row r="557" spans="1:5" x14ac:dyDescent="0.15">
      <c r="A557" s="66" t="s">
        <v>1244</v>
      </c>
      <c r="B557" s="66" t="s">
        <v>1245</v>
      </c>
      <c r="C557" s="66" t="s">
        <v>133</v>
      </c>
      <c r="D557" s="66" t="str">
        <f t="shared" si="16"/>
        <v>0564</v>
      </c>
      <c r="E557" s="66">
        <f t="shared" si="17"/>
        <v>1</v>
      </c>
    </row>
    <row r="558" spans="1:5" x14ac:dyDescent="0.15">
      <c r="A558" s="66" t="s">
        <v>1246</v>
      </c>
      <c r="B558" s="66" t="s">
        <v>1247</v>
      </c>
      <c r="C558" s="66" t="s">
        <v>340</v>
      </c>
      <c r="D558" s="66" t="str">
        <f t="shared" si="16"/>
        <v>0565</v>
      </c>
      <c r="E558" s="66">
        <f t="shared" si="17"/>
        <v>1</v>
      </c>
    </row>
    <row r="559" spans="1:5" x14ac:dyDescent="0.15">
      <c r="A559" s="66" t="s">
        <v>1248</v>
      </c>
      <c r="B559" s="66" t="s">
        <v>1249</v>
      </c>
      <c r="C559" s="66" t="s">
        <v>359</v>
      </c>
      <c r="D559" s="66" t="str">
        <f t="shared" si="16"/>
        <v>0566</v>
      </c>
      <c r="E559" s="66">
        <f t="shared" si="17"/>
        <v>1</v>
      </c>
    </row>
    <row r="560" spans="1:5" x14ac:dyDescent="0.15">
      <c r="A560" s="66" t="s">
        <v>1250</v>
      </c>
      <c r="B560" s="66" t="s">
        <v>1251</v>
      </c>
      <c r="C560" s="66" t="s">
        <v>359</v>
      </c>
      <c r="D560" s="66" t="str">
        <f t="shared" si="16"/>
        <v>0567</v>
      </c>
      <c r="E560" s="66">
        <f t="shared" si="17"/>
        <v>1</v>
      </c>
    </row>
    <row r="561" spans="1:5" x14ac:dyDescent="0.15">
      <c r="A561" s="66" t="s">
        <v>1252</v>
      </c>
      <c r="B561" s="66" t="s">
        <v>1253</v>
      </c>
      <c r="C561" s="66" t="s">
        <v>71</v>
      </c>
      <c r="D561" s="66" t="str">
        <f t="shared" si="16"/>
        <v>0568</v>
      </c>
      <c r="E561" s="66">
        <f t="shared" si="17"/>
        <v>1</v>
      </c>
    </row>
    <row r="562" spans="1:5" x14ac:dyDescent="0.15">
      <c r="A562" s="66" t="s">
        <v>1254</v>
      </c>
      <c r="B562" s="66" t="s">
        <v>1255</v>
      </c>
      <c r="C562" s="66" t="s">
        <v>71</v>
      </c>
      <c r="D562" s="66" t="str">
        <f t="shared" si="16"/>
        <v>0569</v>
      </c>
      <c r="E562" s="66">
        <f t="shared" si="17"/>
        <v>1</v>
      </c>
    </row>
    <row r="563" spans="1:5" x14ac:dyDescent="0.15">
      <c r="A563" s="66" t="s">
        <v>1256</v>
      </c>
      <c r="B563" s="66" t="s">
        <v>1257</v>
      </c>
      <c r="C563" s="66" t="s">
        <v>71</v>
      </c>
      <c r="D563" s="66" t="str">
        <f t="shared" si="16"/>
        <v>0570</v>
      </c>
      <c r="E563" s="66">
        <f t="shared" si="17"/>
        <v>1</v>
      </c>
    </row>
    <row r="564" spans="1:5" x14ac:dyDescent="0.15">
      <c r="A564" s="66" t="s">
        <v>1258</v>
      </c>
      <c r="B564" s="66" t="s">
        <v>1259</v>
      </c>
      <c r="C564" s="66" t="s">
        <v>340</v>
      </c>
      <c r="D564" s="66" t="str">
        <f t="shared" si="16"/>
        <v>0571</v>
      </c>
      <c r="E564" s="66">
        <f t="shared" si="17"/>
        <v>1</v>
      </c>
    </row>
    <row r="565" spans="1:5" x14ac:dyDescent="0.15">
      <c r="A565" s="66" t="s">
        <v>1260</v>
      </c>
      <c r="B565" s="66" t="s">
        <v>1261</v>
      </c>
      <c r="C565" s="66" t="s">
        <v>67</v>
      </c>
      <c r="D565" s="66" t="str">
        <f t="shared" si="16"/>
        <v>0572</v>
      </c>
      <c r="E565" s="66">
        <f t="shared" si="17"/>
        <v>1</v>
      </c>
    </row>
    <row r="566" spans="1:5" x14ac:dyDescent="0.15">
      <c r="A566" s="66" t="s">
        <v>1262</v>
      </c>
      <c r="B566" s="66" t="s">
        <v>1263</v>
      </c>
      <c r="C566" s="66" t="s">
        <v>75</v>
      </c>
      <c r="D566" s="66" t="str">
        <f t="shared" si="16"/>
        <v>0573</v>
      </c>
      <c r="E566" s="66">
        <f t="shared" si="17"/>
        <v>1</v>
      </c>
    </row>
    <row r="567" spans="1:5" x14ac:dyDescent="0.15">
      <c r="A567" s="66" t="s">
        <v>1264</v>
      </c>
      <c r="B567" s="66" t="s">
        <v>1265</v>
      </c>
      <c r="C567" s="66" t="s">
        <v>433</v>
      </c>
      <c r="D567" s="66" t="str">
        <f t="shared" si="16"/>
        <v>0574</v>
      </c>
      <c r="E567" s="66">
        <f t="shared" si="17"/>
        <v>1</v>
      </c>
    </row>
    <row r="568" spans="1:5" x14ac:dyDescent="0.15">
      <c r="A568" s="66" t="s">
        <v>1266</v>
      </c>
      <c r="B568" s="66" t="s">
        <v>1267</v>
      </c>
      <c r="C568" s="66" t="s">
        <v>133</v>
      </c>
      <c r="D568" s="66" t="str">
        <f t="shared" si="16"/>
        <v>0575</v>
      </c>
      <c r="E568" s="66">
        <f t="shared" si="17"/>
        <v>1</v>
      </c>
    </row>
    <row r="569" spans="1:5" x14ac:dyDescent="0.15">
      <c r="A569" s="66" t="s">
        <v>1268</v>
      </c>
      <c r="B569" s="66" t="s">
        <v>1269</v>
      </c>
      <c r="C569" s="66" t="s">
        <v>86</v>
      </c>
      <c r="D569" s="66" t="str">
        <f t="shared" si="16"/>
        <v>0576</v>
      </c>
      <c r="E569" s="66">
        <f t="shared" si="17"/>
        <v>1</v>
      </c>
    </row>
    <row r="570" spans="1:5" x14ac:dyDescent="0.15">
      <c r="A570" s="66" t="s">
        <v>1270</v>
      </c>
      <c r="B570" s="66" t="s">
        <v>1271</v>
      </c>
      <c r="C570" s="66" t="s">
        <v>86</v>
      </c>
      <c r="D570" s="66" t="str">
        <f t="shared" si="16"/>
        <v>0577</v>
      </c>
      <c r="E570" s="66">
        <f t="shared" si="17"/>
        <v>1</v>
      </c>
    </row>
    <row r="571" spans="1:5" x14ac:dyDescent="0.15">
      <c r="A571" s="66" t="s">
        <v>1272</v>
      </c>
      <c r="B571" s="66" t="s">
        <v>1273</v>
      </c>
      <c r="C571" s="66" t="s">
        <v>75</v>
      </c>
      <c r="D571" s="66" t="str">
        <f t="shared" si="16"/>
        <v>0578</v>
      </c>
      <c r="E571" s="66">
        <f t="shared" si="17"/>
        <v>1</v>
      </c>
    </row>
    <row r="572" spans="1:5" x14ac:dyDescent="0.15">
      <c r="A572" s="66" t="s">
        <v>1274</v>
      </c>
      <c r="B572" s="66" t="s">
        <v>1275</v>
      </c>
      <c r="C572" s="66" t="s">
        <v>101</v>
      </c>
      <c r="D572" s="66" t="str">
        <f t="shared" si="16"/>
        <v>0579</v>
      </c>
      <c r="E572" s="66">
        <f t="shared" si="17"/>
        <v>1</v>
      </c>
    </row>
    <row r="573" spans="1:5" x14ac:dyDescent="0.15">
      <c r="A573" s="66" t="s">
        <v>1276</v>
      </c>
      <c r="B573" s="66" t="s">
        <v>1277</v>
      </c>
      <c r="C573" s="66" t="s">
        <v>340</v>
      </c>
      <c r="D573" s="66" t="str">
        <f t="shared" si="16"/>
        <v>0580</v>
      </c>
      <c r="E573" s="66">
        <f t="shared" si="17"/>
        <v>1</v>
      </c>
    </row>
    <row r="574" spans="1:5" x14ac:dyDescent="0.15">
      <c r="A574" s="66" t="s">
        <v>1278</v>
      </c>
      <c r="B574" s="66" t="s">
        <v>1279</v>
      </c>
      <c r="C574" s="66" t="s">
        <v>340</v>
      </c>
      <c r="D574" s="66" t="str">
        <f t="shared" si="16"/>
        <v>0581</v>
      </c>
      <c r="E574" s="66">
        <f t="shared" si="17"/>
        <v>1</v>
      </c>
    </row>
    <row r="575" spans="1:5" x14ac:dyDescent="0.15">
      <c r="A575" s="66" t="s">
        <v>1280</v>
      </c>
      <c r="B575" s="66" t="s">
        <v>1281</v>
      </c>
      <c r="C575" s="66" t="s">
        <v>71</v>
      </c>
      <c r="D575" s="66" t="str">
        <f t="shared" si="16"/>
        <v>0582</v>
      </c>
      <c r="E575" s="66">
        <f t="shared" si="17"/>
        <v>1</v>
      </c>
    </row>
    <row r="576" spans="1:5" x14ac:dyDescent="0.15">
      <c r="A576" s="66" t="s">
        <v>1282</v>
      </c>
      <c r="B576" s="66" t="s">
        <v>1283</v>
      </c>
      <c r="C576" s="66" t="s">
        <v>86</v>
      </c>
      <c r="D576" s="66" t="str">
        <f t="shared" si="16"/>
        <v>0583</v>
      </c>
      <c r="E576" s="66">
        <f t="shared" si="17"/>
        <v>1</v>
      </c>
    </row>
    <row r="577" spans="1:5" x14ac:dyDescent="0.15">
      <c r="A577" s="66" t="s">
        <v>1284</v>
      </c>
      <c r="B577" s="66" t="s">
        <v>1285</v>
      </c>
      <c r="C577" s="66" t="s">
        <v>340</v>
      </c>
      <c r="D577" s="66" t="str">
        <f t="shared" si="16"/>
        <v>0584</v>
      </c>
      <c r="E577" s="66">
        <f t="shared" si="17"/>
        <v>1</v>
      </c>
    </row>
    <row r="578" spans="1:5" x14ac:dyDescent="0.15">
      <c r="A578" s="66" t="s">
        <v>1286</v>
      </c>
      <c r="B578" s="66" t="s">
        <v>1287</v>
      </c>
      <c r="C578" s="66" t="s">
        <v>101</v>
      </c>
      <c r="D578" s="66" t="str">
        <f t="shared" ref="D578:D641" si="18">A578</f>
        <v>0585</v>
      </c>
      <c r="E578" s="66">
        <f t="shared" ref="E578:E641" si="19">COUNTIFS(B:B,B578)</f>
        <v>1</v>
      </c>
    </row>
    <row r="579" spans="1:5" x14ac:dyDescent="0.15">
      <c r="A579" s="66" t="s">
        <v>1288</v>
      </c>
      <c r="B579" s="66" t="s">
        <v>1289</v>
      </c>
      <c r="C579" s="66" t="s">
        <v>101</v>
      </c>
      <c r="D579" s="66" t="str">
        <f t="shared" si="18"/>
        <v>0586</v>
      </c>
      <c r="E579" s="66">
        <f t="shared" si="19"/>
        <v>1</v>
      </c>
    </row>
    <row r="580" spans="1:5" x14ac:dyDescent="0.15">
      <c r="A580" s="66" t="s">
        <v>1290</v>
      </c>
      <c r="B580" s="66" t="s">
        <v>1291</v>
      </c>
      <c r="C580" s="66" t="s">
        <v>101</v>
      </c>
      <c r="D580" s="66" t="str">
        <f t="shared" si="18"/>
        <v>0587</v>
      </c>
      <c r="E580" s="66">
        <f t="shared" si="19"/>
        <v>2</v>
      </c>
    </row>
    <row r="581" spans="1:5" x14ac:dyDescent="0.15">
      <c r="A581" s="66" t="s">
        <v>1292</v>
      </c>
      <c r="B581" s="66" t="s">
        <v>1293</v>
      </c>
      <c r="C581" s="66" t="s">
        <v>101</v>
      </c>
      <c r="D581" s="66" t="str">
        <f t="shared" si="18"/>
        <v>0588</v>
      </c>
      <c r="E581" s="66">
        <f t="shared" si="19"/>
        <v>1</v>
      </c>
    </row>
    <row r="582" spans="1:5" x14ac:dyDescent="0.15">
      <c r="A582" s="66" t="s">
        <v>1294</v>
      </c>
      <c r="B582" s="66" t="s">
        <v>1295</v>
      </c>
      <c r="C582" s="66" t="s">
        <v>101</v>
      </c>
      <c r="D582" s="66" t="str">
        <f t="shared" si="18"/>
        <v>0589</v>
      </c>
      <c r="E582" s="66">
        <f t="shared" si="19"/>
        <v>1</v>
      </c>
    </row>
    <row r="583" spans="1:5" x14ac:dyDescent="0.15">
      <c r="A583" s="66" t="s">
        <v>1296</v>
      </c>
      <c r="B583" s="66" t="s">
        <v>1297</v>
      </c>
      <c r="C583" s="66" t="s">
        <v>75</v>
      </c>
      <c r="D583" s="66" t="str">
        <f t="shared" si="18"/>
        <v>0590</v>
      </c>
      <c r="E583" s="66">
        <f t="shared" si="19"/>
        <v>1</v>
      </c>
    </row>
    <row r="584" spans="1:5" x14ac:dyDescent="0.15">
      <c r="A584" s="66" t="s">
        <v>1298</v>
      </c>
      <c r="B584" s="66" t="s">
        <v>1299</v>
      </c>
      <c r="C584" s="66" t="s">
        <v>101</v>
      </c>
      <c r="D584" s="66" t="str">
        <f t="shared" si="18"/>
        <v>0591</v>
      </c>
      <c r="E584" s="66">
        <f t="shared" si="19"/>
        <v>1</v>
      </c>
    </row>
    <row r="585" spans="1:5" x14ac:dyDescent="0.15">
      <c r="A585" s="66" t="s">
        <v>1300</v>
      </c>
      <c r="B585" s="66" t="s">
        <v>1301</v>
      </c>
      <c r="C585" s="66" t="s">
        <v>101</v>
      </c>
      <c r="D585" s="66" t="str">
        <f t="shared" si="18"/>
        <v>0592</v>
      </c>
      <c r="E585" s="66">
        <f t="shared" si="19"/>
        <v>1</v>
      </c>
    </row>
    <row r="586" spans="1:5" x14ac:dyDescent="0.15">
      <c r="A586" s="66" t="s">
        <v>1302</v>
      </c>
      <c r="B586" s="66" t="s">
        <v>1303</v>
      </c>
      <c r="C586" s="66" t="s">
        <v>424</v>
      </c>
      <c r="D586" s="66" t="str">
        <f t="shared" si="18"/>
        <v>0593</v>
      </c>
      <c r="E586" s="66">
        <f t="shared" si="19"/>
        <v>1</v>
      </c>
    </row>
    <row r="587" spans="1:5" x14ac:dyDescent="0.15">
      <c r="A587" s="66" t="s">
        <v>1304</v>
      </c>
      <c r="B587" s="66" t="s">
        <v>1305</v>
      </c>
      <c r="C587" s="66" t="s">
        <v>101</v>
      </c>
      <c r="D587" s="66" t="str">
        <f t="shared" si="18"/>
        <v>0594</v>
      </c>
      <c r="E587" s="66">
        <f t="shared" si="19"/>
        <v>1</v>
      </c>
    </row>
    <row r="588" spans="1:5" x14ac:dyDescent="0.15">
      <c r="A588" s="66" t="s">
        <v>1306</v>
      </c>
      <c r="B588" s="66" t="s">
        <v>1307</v>
      </c>
      <c r="C588" s="66" t="s">
        <v>140</v>
      </c>
      <c r="D588" s="66" t="str">
        <f t="shared" si="18"/>
        <v>0595</v>
      </c>
      <c r="E588" s="66">
        <f t="shared" si="19"/>
        <v>1</v>
      </c>
    </row>
    <row r="589" spans="1:5" x14ac:dyDescent="0.15">
      <c r="A589" s="66" t="s">
        <v>1308</v>
      </c>
      <c r="B589" s="66" t="s">
        <v>1309</v>
      </c>
      <c r="C589" s="66" t="s">
        <v>131</v>
      </c>
      <c r="D589" s="66" t="str">
        <f t="shared" si="18"/>
        <v>0596</v>
      </c>
      <c r="E589" s="66">
        <f t="shared" si="19"/>
        <v>1</v>
      </c>
    </row>
    <row r="590" spans="1:5" x14ac:dyDescent="0.15">
      <c r="A590" s="66" t="s">
        <v>1310</v>
      </c>
      <c r="B590" s="66" t="s">
        <v>1311</v>
      </c>
      <c r="C590" s="66" t="s">
        <v>588</v>
      </c>
      <c r="D590" s="66" t="str">
        <f t="shared" si="18"/>
        <v>0597</v>
      </c>
      <c r="E590" s="66">
        <f t="shared" si="19"/>
        <v>1</v>
      </c>
    </row>
    <row r="591" spans="1:5" x14ac:dyDescent="0.15">
      <c r="A591" s="66" t="s">
        <v>1312</v>
      </c>
      <c r="B591" s="66" t="s">
        <v>1313</v>
      </c>
      <c r="C591" s="66" t="s">
        <v>101</v>
      </c>
      <c r="D591" s="66" t="str">
        <f t="shared" si="18"/>
        <v>0598</v>
      </c>
      <c r="E591" s="66">
        <f t="shared" si="19"/>
        <v>1</v>
      </c>
    </row>
    <row r="592" spans="1:5" x14ac:dyDescent="0.15">
      <c r="A592" s="66" t="s">
        <v>1314</v>
      </c>
      <c r="B592" s="66" t="s">
        <v>1315</v>
      </c>
      <c r="C592" s="66" t="s">
        <v>340</v>
      </c>
      <c r="D592" s="66" t="str">
        <f t="shared" si="18"/>
        <v>0599</v>
      </c>
      <c r="E592" s="66">
        <f t="shared" si="19"/>
        <v>1</v>
      </c>
    </row>
    <row r="593" spans="1:5" x14ac:dyDescent="0.15">
      <c r="A593" s="66" t="s">
        <v>1316</v>
      </c>
      <c r="B593" s="66" t="s">
        <v>1317</v>
      </c>
      <c r="C593" s="66" t="s">
        <v>86</v>
      </c>
      <c r="D593" s="66" t="str">
        <f t="shared" si="18"/>
        <v>0600</v>
      </c>
      <c r="E593" s="66">
        <f t="shared" si="19"/>
        <v>1</v>
      </c>
    </row>
    <row r="594" spans="1:5" x14ac:dyDescent="0.15">
      <c r="A594" s="66" t="s">
        <v>1318</v>
      </c>
      <c r="B594" s="66" t="s">
        <v>1319</v>
      </c>
      <c r="C594" s="66" t="s">
        <v>340</v>
      </c>
      <c r="D594" s="66" t="str">
        <f t="shared" si="18"/>
        <v>0601</v>
      </c>
      <c r="E594" s="66">
        <f t="shared" si="19"/>
        <v>1</v>
      </c>
    </row>
    <row r="595" spans="1:5" x14ac:dyDescent="0.15">
      <c r="A595" s="66" t="s">
        <v>1320</v>
      </c>
      <c r="B595" s="66" t="s">
        <v>1321</v>
      </c>
      <c r="C595" s="66" t="s">
        <v>340</v>
      </c>
      <c r="D595" s="66" t="str">
        <f t="shared" si="18"/>
        <v>0602</v>
      </c>
      <c r="E595" s="66">
        <f t="shared" si="19"/>
        <v>1</v>
      </c>
    </row>
    <row r="596" spans="1:5" x14ac:dyDescent="0.15">
      <c r="A596" s="66" t="s">
        <v>1322</v>
      </c>
      <c r="B596" s="66" t="s">
        <v>1323</v>
      </c>
      <c r="C596" s="66" t="s">
        <v>101</v>
      </c>
      <c r="D596" s="66" t="str">
        <f t="shared" si="18"/>
        <v>0603</v>
      </c>
      <c r="E596" s="66">
        <f t="shared" si="19"/>
        <v>1</v>
      </c>
    </row>
    <row r="597" spans="1:5" x14ac:dyDescent="0.15">
      <c r="A597" s="66" t="s">
        <v>1324</v>
      </c>
      <c r="B597" s="66" t="s">
        <v>1325</v>
      </c>
      <c r="C597" s="66" t="s">
        <v>101</v>
      </c>
      <c r="D597" s="66" t="str">
        <f t="shared" si="18"/>
        <v>0604</v>
      </c>
      <c r="E597" s="66">
        <f t="shared" si="19"/>
        <v>1</v>
      </c>
    </row>
    <row r="598" spans="1:5" x14ac:dyDescent="0.15">
      <c r="A598" s="66" t="s">
        <v>1326</v>
      </c>
      <c r="B598" s="66" t="s">
        <v>1327</v>
      </c>
      <c r="C598" s="66" t="s">
        <v>101</v>
      </c>
      <c r="D598" s="66" t="str">
        <f t="shared" si="18"/>
        <v>0605</v>
      </c>
      <c r="E598" s="66">
        <f t="shared" si="19"/>
        <v>1</v>
      </c>
    </row>
    <row r="599" spans="1:5" x14ac:dyDescent="0.15">
      <c r="A599" s="66" t="s">
        <v>1328</v>
      </c>
      <c r="B599" s="66" t="s">
        <v>1329</v>
      </c>
      <c r="C599" s="66" t="s">
        <v>101</v>
      </c>
      <c r="D599" s="66" t="str">
        <f t="shared" si="18"/>
        <v>0606</v>
      </c>
      <c r="E599" s="66">
        <f t="shared" si="19"/>
        <v>1</v>
      </c>
    </row>
    <row r="600" spans="1:5" x14ac:dyDescent="0.15">
      <c r="A600" s="66" t="s">
        <v>1330</v>
      </c>
      <c r="B600" s="66" t="s">
        <v>1331</v>
      </c>
      <c r="C600" s="66" t="s">
        <v>86</v>
      </c>
      <c r="D600" s="66" t="str">
        <f t="shared" si="18"/>
        <v>0607</v>
      </c>
      <c r="E600" s="66">
        <f t="shared" si="19"/>
        <v>1</v>
      </c>
    </row>
    <row r="601" spans="1:5" x14ac:dyDescent="0.15">
      <c r="A601" s="66" t="s">
        <v>1332</v>
      </c>
      <c r="B601" s="66" t="s">
        <v>1333</v>
      </c>
      <c r="C601" s="66" t="s">
        <v>101</v>
      </c>
      <c r="D601" s="66" t="str">
        <f t="shared" si="18"/>
        <v>0608</v>
      </c>
      <c r="E601" s="66">
        <f t="shared" si="19"/>
        <v>1</v>
      </c>
    </row>
    <row r="602" spans="1:5" x14ac:dyDescent="0.15">
      <c r="A602" s="66" t="s">
        <v>1334</v>
      </c>
      <c r="B602" s="66" t="s">
        <v>1335</v>
      </c>
      <c r="C602" s="66" t="s">
        <v>71</v>
      </c>
      <c r="D602" s="66" t="str">
        <f t="shared" si="18"/>
        <v>0609</v>
      </c>
      <c r="E602" s="66">
        <f t="shared" si="19"/>
        <v>1</v>
      </c>
    </row>
    <row r="603" spans="1:5" x14ac:dyDescent="0.15">
      <c r="A603" s="66" t="s">
        <v>1336</v>
      </c>
      <c r="B603" s="66" t="s">
        <v>1337</v>
      </c>
      <c r="C603" s="66" t="s">
        <v>86</v>
      </c>
      <c r="D603" s="66" t="str">
        <f t="shared" si="18"/>
        <v>0610</v>
      </c>
      <c r="E603" s="66">
        <f t="shared" si="19"/>
        <v>1</v>
      </c>
    </row>
    <row r="604" spans="1:5" x14ac:dyDescent="0.15">
      <c r="A604" s="66" t="s">
        <v>1338</v>
      </c>
      <c r="B604" s="66" t="s">
        <v>1339</v>
      </c>
      <c r="C604" s="66" t="s">
        <v>140</v>
      </c>
      <c r="D604" s="66" t="str">
        <f t="shared" si="18"/>
        <v>0611</v>
      </c>
      <c r="E604" s="66">
        <f t="shared" si="19"/>
        <v>1</v>
      </c>
    </row>
    <row r="605" spans="1:5" x14ac:dyDescent="0.15">
      <c r="A605" s="66" t="s">
        <v>1340</v>
      </c>
      <c r="B605" s="66" t="s">
        <v>1341</v>
      </c>
      <c r="C605" s="66" t="s">
        <v>140</v>
      </c>
      <c r="D605" s="66" t="str">
        <f t="shared" si="18"/>
        <v>0612</v>
      </c>
      <c r="E605" s="66">
        <f t="shared" si="19"/>
        <v>1</v>
      </c>
    </row>
    <row r="606" spans="1:5" x14ac:dyDescent="0.15">
      <c r="A606" s="66" t="s">
        <v>1342</v>
      </c>
      <c r="B606" s="66" t="s">
        <v>1343</v>
      </c>
      <c r="C606" s="66" t="s">
        <v>140</v>
      </c>
      <c r="D606" s="66" t="str">
        <f t="shared" si="18"/>
        <v>0613</v>
      </c>
      <c r="E606" s="66">
        <f t="shared" si="19"/>
        <v>1</v>
      </c>
    </row>
    <row r="607" spans="1:5" x14ac:dyDescent="0.15">
      <c r="A607" s="66" t="s">
        <v>1344</v>
      </c>
      <c r="B607" s="66" t="s">
        <v>1345</v>
      </c>
      <c r="C607" s="66" t="s">
        <v>101</v>
      </c>
      <c r="D607" s="66" t="str">
        <f t="shared" si="18"/>
        <v>0614</v>
      </c>
      <c r="E607" s="66">
        <f t="shared" si="19"/>
        <v>1</v>
      </c>
    </row>
    <row r="608" spans="1:5" x14ac:dyDescent="0.15">
      <c r="A608" s="66" t="s">
        <v>1346</v>
      </c>
      <c r="B608" s="66" t="s">
        <v>1347</v>
      </c>
      <c r="C608" s="66" t="s">
        <v>424</v>
      </c>
      <c r="D608" s="66" t="str">
        <f t="shared" si="18"/>
        <v>0615</v>
      </c>
      <c r="E608" s="66">
        <f t="shared" si="19"/>
        <v>1</v>
      </c>
    </row>
    <row r="609" spans="1:5" x14ac:dyDescent="0.15">
      <c r="A609" s="66" t="s">
        <v>1348</v>
      </c>
      <c r="B609" s="66" t="s">
        <v>1349</v>
      </c>
      <c r="C609" s="66" t="s">
        <v>101</v>
      </c>
      <c r="D609" s="66" t="str">
        <f t="shared" si="18"/>
        <v>0616</v>
      </c>
      <c r="E609" s="66">
        <f t="shared" si="19"/>
        <v>1</v>
      </c>
    </row>
    <row r="610" spans="1:5" x14ac:dyDescent="0.15">
      <c r="A610" s="66" t="s">
        <v>1350</v>
      </c>
      <c r="B610" s="66" t="s">
        <v>1351</v>
      </c>
      <c r="C610" s="66" t="s">
        <v>340</v>
      </c>
      <c r="D610" s="66" t="str">
        <f t="shared" si="18"/>
        <v>0617</v>
      </c>
      <c r="E610" s="66">
        <f t="shared" si="19"/>
        <v>1</v>
      </c>
    </row>
    <row r="611" spans="1:5" x14ac:dyDescent="0.15">
      <c r="A611" s="66" t="s">
        <v>1352</v>
      </c>
      <c r="B611" s="66" t="s">
        <v>1353</v>
      </c>
      <c r="C611" s="66" t="s">
        <v>133</v>
      </c>
      <c r="D611" s="66" t="str">
        <f t="shared" si="18"/>
        <v>0618</v>
      </c>
      <c r="E611" s="66">
        <f t="shared" si="19"/>
        <v>1</v>
      </c>
    </row>
    <row r="612" spans="1:5" x14ac:dyDescent="0.15">
      <c r="A612" s="66" t="s">
        <v>1354</v>
      </c>
      <c r="B612" s="66" t="s">
        <v>1355</v>
      </c>
      <c r="C612" s="66" t="s">
        <v>443</v>
      </c>
      <c r="D612" s="66" t="str">
        <f t="shared" si="18"/>
        <v>0619</v>
      </c>
      <c r="E612" s="66">
        <f t="shared" si="19"/>
        <v>1</v>
      </c>
    </row>
    <row r="613" spans="1:5" x14ac:dyDescent="0.15">
      <c r="A613" s="66" t="s">
        <v>1356</v>
      </c>
      <c r="B613" s="66" t="s">
        <v>1357</v>
      </c>
      <c r="C613" s="66" t="s">
        <v>340</v>
      </c>
      <c r="D613" s="66" t="str">
        <f t="shared" si="18"/>
        <v>0620</v>
      </c>
      <c r="E613" s="66">
        <f t="shared" si="19"/>
        <v>1</v>
      </c>
    </row>
    <row r="614" spans="1:5" x14ac:dyDescent="0.15">
      <c r="A614" s="66" t="s">
        <v>1358</v>
      </c>
      <c r="B614" s="66" t="s">
        <v>1359</v>
      </c>
      <c r="C614" s="66" t="s">
        <v>1360</v>
      </c>
      <c r="D614" s="66" t="str">
        <f t="shared" si="18"/>
        <v>0621</v>
      </c>
      <c r="E614" s="66">
        <f t="shared" si="19"/>
        <v>1</v>
      </c>
    </row>
    <row r="615" spans="1:5" x14ac:dyDescent="0.15">
      <c r="A615" s="66" t="s">
        <v>1361</v>
      </c>
      <c r="B615" s="66" t="s">
        <v>1362</v>
      </c>
      <c r="C615" s="66" t="s">
        <v>140</v>
      </c>
      <c r="D615" s="66" t="str">
        <f t="shared" si="18"/>
        <v>0622</v>
      </c>
      <c r="E615" s="66">
        <f t="shared" si="19"/>
        <v>1</v>
      </c>
    </row>
    <row r="616" spans="1:5" x14ac:dyDescent="0.15">
      <c r="A616" s="66" t="s">
        <v>1363</v>
      </c>
      <c r="B616" s="66" t="s">
        <v>1364</v>
      </c>
      <c r="C616" s="66" t="s">
        <v>86</v>
      </c>
      <c r="D616" s="66" t="str">
        <f t="shared" si="18"/>
        <v>0623</v>
      </c>
      <c r="E616" s="66">
        <f t="shared" si="19"/>
        <v>1</v>
      </c>
    </row>
    <row r="617" spans="1:5" x14ac:dyDescent="0.15">
      <c r="A617" s="66" t="s">
        <v>1365</v>
      </c>
      <c r="B617" s="66" t="s">
        <v>1366</v>
      </c>
      <c r="C617" s="66" t="s">
        <v>101</v>
      </c>
      <c r="D617" s="66" t="str">
        <f t="shared" si="18"/>
        <v>0624</v>
      </c>
      <c r="E617" s="66">
        <f t="shared" si="19"/>
        <v>1</v>
      </c>
    </row>
    <row r="618" spans="1:5" x14ac:dyDescent="0.15">
      <c r="A618" s="66" t="s">
        <v>1367</v>
      </c>
      <c r="B618" s="66" t="s">
        <v>1368</v>
      </c>
      <c r="C618" s="66" t="s">
        <v>140</v>
      </c>
      <c r="D618" s="66" t="str">
        <f t="shared" si="18"/>
        <v>0625</v>
      </c>
      <c r="E618" s="66">
        <f t="shared" si="19"/>
        <v>1</v>
      </c>
    </row>
    <row r="619" spans="1:5" x14ac:dyDescent="0.15">
      <c r="A619" s="66" t="s">
        <v>1369</v>
      </c>
      <c r="B619" s="66" t="s">
        <v>1370</v>
      </c>
      <c r="C619" s="66" t="s">
        <v>86</v>
      </c>
      <c r="D619" s="66" t="str">
        <f t="shared" si="18"/>
        <v>0626</v>
      </c>
      <c r="E619" s="66">
        <f t="shared" si="19"/>
        <v>1</v>
      </c>
    </row>
    <row r="620" spans="1:5" x14ac:dyDescent="0.15">
      <c r="A620" s="66" t="s">
        <v>1371</v>
      </c>
      <c r="B620" s="66" t="s">
        <v>1372</v>
      </c>
      <c r="C620" s="66" t="s">
        <v>86</v>
      </c>
      <c r="D620" s="66" t="str">
        <f t="shared" si="18"/>
        <v>0627</v>
      </c>
      <c r="E620" s="66">
        <f t="shared" si="19"/>
        <v>1</v>
      </c>
    </row>
    <row r="621" spans="1:5" x14ac:dyDescent="0.15">
      <c r="A621" s="66" t="s">
        <v>1373</v>
      </c>
      <c r="B621" s="66" t="s">
        <v>1374</v>
      </c>
      <c r="C621" s="66" t="s">
        <v>436</v>
      </c>
      <c r="D621" s="66" t="str">
        <f t="shared" si="18"/>
        <v>0628</v>
      </c>
      <c r="E621" s="66">
        <f t="shared" si="19"/>
        <v>1</v>
      </c>
    </row>
    <row r="622" spans="1:5" x14ac:dyDescent="0.15">
      <c r="A622" s="66" t="s">
        <v>1375</v>
      </c>
      <c r="B622" s="66" t="s">
        <v>1376</v>
      </c>
      <c r="C622" s="66" t="s">
        <v>101</v>
      </c>
      <c r="D622" s="66" t="str">
        <f t="shared" si="18"/>
        <v>0629</v>
      </c>
      <c r="E622" s="66">
        <f t="shared" si="19"/>
        <v>1</v>
      </c>
    </row>
    <row r="623" spans="1:5" x14ac:dyDescent="0.15">
      <c r="A623" s="66" t="s">
        <v>1377</v>
      </c>
      <c r="B623" s="66" t="s">
        <v>1378</v>
      </c>
      <c r="C623" s="66" t="s">
        <v>67</v>
      </c>
      <c r="D623" s="66" t="str">
        <f t="shared" si="18"/>
        <v>0632</v>
      </c>
      <c r="E623" s="66">
        <f t="shared" si="19"/>
        <v>1</v>
      </c>
    </row>
    <row r="624" spans="1:5" x14ac:dyDescent="0.15">
      <c r="A624" s="66" t="s">
        <v>1379</v>
      </c>
      <c r="B624" s="66" t="s">
        <v>1380</v>
      </c>
      <c r="C624" s="66" t="s">
        <v>101</v>
      </c>
      <c r="D624" s="66" t="str">
        <f t="shared" si="18"/>
        <v>0633</v>
      </c>
      <c r="E624" s="66">
        <f t="shared" si="19"/>
        <v>2</v>
      </c>
    </row>
    <row r="625" spans="1:5" x14ac:dyDescent="0.15">
      <c r="A625" s="66" t="s">
        <v>1381</v>
      </c>
      <c r="B625" s="66" t="s">
        <v>1382</v>
      </c>
      <c r="C625" s="66" t="s">
        <v>268</v>
      </c>
      <c r="D625" s="66" t="str">
        <f t="shared" si="18"/>
        <v>0634</v>
      </c>
      <c r="E625" s="66">
        <f t="shared" si="19"/>
        <v>1</v>
      </c>
    </row>
    <row r="626" spans="1:5" x14ac:dyDescent="0.15">
      <c r="A626" s="66" t="s">
        <v>1383</v>
      </c>
      <c r="B626" s="66" t="s">
        <v>1384</v>
      </c>
      <c r="C626" s="66" t="s">
        <v>436</v>
      </c>
      <c r="D626" s="66" t="str">
        <f t="shared" si="18"/>
        <v>0636</v>
      </c>
      <c r="E626" s="66">
        <f t="shared" si="19"/>
        <v>1</v>
      </c>
    </row>
    <row r="627" spans="1:5" x14ac:dyDescent="0.15">
      <c r="A627" s="66" t="s">
        <v>1385</v>
      </c>
      <c r="B627" s="66" t="s">
        <v>1386</v>
      </c>
      <c r="C627" s="66" t="s">
        <v>436</v>
      </c>
      <c r="D627" s="66" t="str">
        <f t="shared" si="18"/>
        <v>0637</v>
      </c>
      <c r="E627" s="66">
        <f t="shared" si="19"/>
        <v>1</v>
      </c>
    </row>
    <row r="628" spans="1:5" x14ac:dyDescent="0.15">
      <c r="A628" s="66" t="s">
        <v>1387</v>
      </c>
      <c r="B628" s="66" t="s">
        <v>1388</v>
      </c>
      <c r="C628" s="66" t="s">
        <v>86</v>
      </c>
      <c r="D628" s="66" t="str">
        <f t="shared" si="18"/>
        <v>0638</v>
      </c>
      <c r="E628" s="66">
        <f t="shared" si="19"/>
        <v>1</v>
      </c>
    </row>
    <row r="629" spans="1:5" x14ac:dyDescent="0.15">
      <c r="A629" s="66" t="s">
        <v>1389</v>
      </c>
      <c r="B629" s="66" t="s">
        <v>1390</v>
      </c>
      <c r="C629" s="66" t="s">
        <v>86</v>
      </c>
      <c r="D629" s="66" t="str">
        <f t="shared" si="18"/>
        <v>0639</v>
      </c>
      <c r="E629" s="66">
        <f t="shared" si="19"/>
        <v>1</v>
      </c>
    </row>
    <row r="630" spans="1:5" x14ac:dyDescent="0.15">
      <c r="A630" s="66" t="s">
        <v>1391</v>
      </c>
      <c r="B630" s="66" t="s">
        <v>1392</v>
      </c>
      <c r="C630" s="66" t="s">
        <v>71</v>
      </c>
      <c r="D630" s="66" t="str">
        <f t="shared" si="18"/>
        <v>0640</v>
      </c>
      <c r="E630" s="66">
        <f t="shared" si="19"/>
        <v>1</v>
      </c>
    </row>
    <row r="631" spans="1:5" x14ac:dyDescent="0.15">
      <c r="A631" s="66" t="s">
        <v>1393</v>
      </c>
      <c r="B631" s="66" t="s">
        <v>1394</v>
      </c>
      <c r="C631" s="66" t="s">
        <v>101</v>
      </c>
      <c r="D631" s="66" t="str">
        <f t="shared" si="18"/>
        <v>0641</v>
      </c>
      <c r="E631" s="66">
        <f t="shared" si="19"/>
        <v>1</v>
      </c>
    </row>
    <row r="632" spans="1:5" x14ac:dyDescent="0.15">
      <c r="A632" s="66" t="s">
        <v>1395</v>
      </c>
      <c r="B632" s="66" t="s">
        <v>1396</v>
      </c>
      <c r="C632" s="66" t="s">
        <v>86</v>
      </c>
      <c r="D632" s="66" t="str">
        <f t="shared" si="18"/>
        <v>0642</v>
      </c>
      <c r="E632" s="66">
        <f t="shared" si="19"/>
        <v>2</v>
      </c>
    </row>
    <row r="633" spans="1:5" x14ac:dyDescent="0.15">
      <c r="A633" s="66" t="s">
        <v>1397</v>
      </c>
      <c r="B633" s="66" t="s">
        <v>1398</v>
      </c>
      <c r="C633" s="66" t="s">
        <v>86</v>
      </c>
      <c r="D633" s="66" t="str">
        <f t="shared" si="18"/>
        <v>0643</v>
      </c>
      <c r="E633" s="66">
        <f t="shared" si="19"/>
        <v>1</v>
      </c>
    </row>
    <row r="634" spans="1:5" x14ac:dyDescent="0.15">
      <c r="A634" s="66" t="s">
        <v>1399</v>
      </c>
      <c r="B634" s="66" t="s">
        <v>1400</v>
      </c>
      <c r="C634" s="66" t="s">
        <v>86</v>
      </c>
      <c r="D634" s="66" t="str">
        <f t="shared" si="18"/>
        <v>0644</v>
      </c>
      <c r="E634" s="66">
        <f t="shared" si="19"/>
        <v>1</v>
      </c>
    </row>
    <row r="635" spans="1:5" x14ac:dyDescent="0.15">
      <c r="A635" s="66" t="s">
        <v>1401</v>
      </c>
      <c r="B635" s="66" t="s">
        <v>1402</v>
      </c>
      <c r="C635" s="66" t="s">
        <v>131</v>
      </c>
      <c r="D635" s="66" t="str">
        <f t="shared" si="18"/>
        <v>0645</v>
      </c>
      <c r="E635" s="66">
        <f t="shared" si="19"/>
        <v>1</v>
      </c>
    </row>
    <row r="636" spans="1:5" x14ac:dyDescent="0.15">
      <c r="A636" s="66" t="s">
        <v>1403</v>
      </c>
      <c r="B636" s="66" t="s">
        <v>1404</v>
      </c>
      <c r="C636" s="66" t="s">
        <v>133</v>
      </c>
      <c r="D636" s="66" t="str">
        <f t="shared" si="18"/>
        <v>0646</v>
      </c>
      <c r="E636" s="66">
        <f t="shared" si="19"/>
        <v>1</v>
      </c>
    </row>
    <row r="637" spans="1:5" x14ac:dyDescent="0.15">
      <c r="A637" s="66" t="s">
        <v>1405</v>
      </c>
      <c r="B637" s="66" t="s">
        <v>1406</v>
      </c>
      <c r="C637" s="66" t="s">
        <v>67</v>
      </c>
      <c r="D637" s="66" t="str">
        <f t="shared" si="18"/>
        <v>0647</v>
      </c>
      <c r="E637" s="66">
        <f t="shared" si="19"/>
        <v>1</v>
      </c>
    </row>
    <row r="638" spans="1:5" x14ac:dyDescent="0.15">
      <c r="A638" s="66" t="s">
        <v>1407</v>
      </c>
      <c r="B638" s="66" t="s">
        <v>1408</v>
      </c>
      <c r="C638" s="66" t="s">
        <v>385</v>
      </c>
      <c r="D638" s="66" t="str">
        <f t="shared" si="18"/>
        <v>0648</v>
      </c>
      <c r="E638" s="66">
        <f t="shared" si="19"/>
        <v>1</v>
      </c>
    </row>
    <row r="639" spans="1:5" x14ac:dyDescent="0.15">
      <c r="A639" s="66" t="s">
        <v>1409</v>
      </c>
      <c r="B639" s="66" t="s">
        <v>1410</v>
      </c>
      <c r="C639" s="66" t="s">
        <v>385</v>
      </c>
      <c r="D639" s="66" t="str">
        <f t="shared" si="18"/>
        <v>0649</v>
      </c>
      <c r="E639" s="66">
        <f t="shared" si="19"/>
        <v>1</v>
      </c>
    </row>
    <row r="640" spans="1:5" x14ac:dyDescent="0.15">
      <c r="A640" s="66" t="s">
        <v>1411</v>
      </c>
      <c r="B640" s="66" t="s">
        <v>1412</v>
      </c>
      <c r="C640" s="66" t="s">
        <v>385</v>
      </c>
      <c r="D640" s="66" t="str">
        <f t="shared" si="18"/>
        <v>0650</v>
      </c>
      <c r="E640" s="66">
        <f t="shared" si="19"/>
        <v>1</v>
      </c>
    </row>
    <row r="641" spans="1:5" x14ac:dyDescent="0.15">
      <c r="A641" s="66" t="s">
        <v>1413</v>
      </c>
      <c r="B641" s="66" t="s">
        <v>1414</v>
      </c>
      <c r="C641" s="66" t="s">
        <v>385</v>
      </c>
      <c r="D641" s="66" t="str">
        <f t="shared" si="18"/>
        <v>0651</v>
      </c>
      <c r="E641" s="66">
        <f t="shared" si="19"/>
        <v>1</v>
      </c>
    </row>
    <row r="642" spans="1:5" x14ac:dyDescent="0.15">
      <c r="A642" s="66" t="s">
        <v>1415</v>
      </c>
      <c r="B642" s="66" t="s">
        <v>1416</v>
      </c>
      <c r="C642" s="66" t="s">
        <v>385</v>
      </c>
      <c r="D642" s="66" t="str">
        <f t="shared" ref="D642:D705" si="20">A642</f>
        <v>0652</v>
      </c>
      <c r="E642" s="66">
        <f t="shared" ref="E642:E705" si="21">COUNTIFS(B:B,B642)</f>
        <v>1</v>
      </c>
    </row>
    <row r="643" spans="1:5" x14ac:dyDescent="0.15">
      <c r="A643" s="66" t="s">
        <v>1417</v>
      </c>
      <c r="B643" s="66" t="s">
        <v>1418</v>
      </c>
      <c r="C643" s="66" t="s">
        <v>433</v>
      </c>
      <c r="D643" s="66" t="str">
        <f t="shared" si="20"/>
        <v>0653</v>
      </c>
      <c r="E643" s="66">
        <f t="shared" si="21"/>
        <v>1</v>
      </c>
    </row>
    <row r="644" spans="1:5" x14ac:dyDescent="0.15">
      <c r="A644" s="66" t="s">
        <v>1419</v>
      </c>
      <c r="B644" s="66" t="s">
        <v>1420</v>
      </c>
      <c r="C644" s="66" t="s">
        <v>71</v>
      </c>
      <c r="D644" s="66" t="str">
        <f t="shared" si="20"/>
        <v>0654</v>
      </c>
      <c r="E644" s="66">
        <f t="shared" si="21"/>
        <v>1</v>
      </c>
    </row>
    <row r="645" spans="1:5" x14ac:dyDescent="0.15">
      <c r="A645" s="66" t="s">
        <v>1421</v>
      </c>
      <c r="B645" s="66" t="s">
        <v>1422</v>
      </c>
      <c r="C645" s="66" t="s">
        <v>588</v>
      </c>
      <c r="D645" s="66" t="str">
        <f t="shared" si="20"/>
        <v>0655</v>
      </c>
      <c r="E645" s="66">
        <f t="shared" si="21"/>
        <v>1</v>
      </c>
    </row>
    <row r="646" spans="1:5" x14ac:dyDescent="0.15">
      <c r="A646" s="66" t="s">
        <v>1423</v>
      </c>
      <c r="B646" s="66" t="s">
        <v>1424</v>
      </c>
      <c r="C646" s="66" t="s">
        <v>71</v>
      </c>
      <c r="D646" s="66" t="str">
        <f t="shared" si="20"/>
        <v>0656</v>
      </c>
      <c r="E646" s="66">
        <f t="shared" si="21"/>
        <v>1</v>
      </c>
    </row>
    <row r="647" spans="1:5" x14ac:dyDescent="0.15">
      <c r="A647" s="66" t="s">
        <v>1425</v>
      </c>
      <c r="B647" s="66" t="s">
        <v>1426</v>
      </c>
      <c r="C647" s="66" t="s">
        <v>140</v>
      </c>
      <c r="D647" s="66" t="str">
        <f t="shared" si="20"/>
        <v>0657</v>
      </c>
      <c r="E647" s="66">
        <f t="shared" si="21"/>
        <v>1</v>
      </c>
    </row>
    <row r="648" spans="1:5" x14ac:dyDescent="0.15">
      <c r="A648" s="66" t="s">
        <v>1427</v>
      </c>
      <c r="B648" s="66" t="s">
        <v>1428</v>
      </c>
      <c r="C648" s="66" t="s">
        <v>140</v>
      </c>
      <c r="D648" s="66" t="str">
        <f t="shared" si="20"/>
        <v>0658</v>
      </c>
      <c r="E648" s="66">
        <f t="shared" si="21"/>
        <v>1</v>
      </c>
    </row>
    <row r="649" spans="1:5" x14ac:dyDescent="0.15">
      <c r="A649" s="66" t="s">
        <v>1429</v>
      </c>
      <c r="B649" s="66" t="s">
        <v>1430</v>
      </c>
      <c r="C649" s="66" t="s">
        <v>86</v>
      </c>
      <c r="D649" s="66" t="str">
        <f t="shared" si="20"/>
        <v>0659</v>
      </c>
      <c r="E649" s="66">
        <f t="shared" si="21"/>
        <v>1</v>
      </c>
    </row>
    <row r="650" spans="1:5" x14ac:dyDescent="0.15">
      <c r="A650" s="66" t="s">
        <v>1431</v>
      </c>
      <c r="B650" s="66" t="s">
        <v>1432</v>
      </c>
      <c r="C650" s="66" t="s">
        <v>131</v>
      </c>
      <c r="D650" s="66" t="str">
        <f t="shared" si="20"/>
        <v>0660</v>
      </c>
      <c r="E650" s="66">
        <f t="shared" si="21"/>
        <v>1</v>
      </c>
    </row>
    <row r="651" spans="1:5" x14ac:dyDescent="0.15">
      <c r="A651" s="66" t="s">
        <v>1433</v>
      </c>
      <c r="B651" s="66" t="s">
        <v>1434</v>
      </c>
      <c r="C651" s="66" t="s">
        <v>436</v>
      </c>
      <c r="D651" s="66" t="str">
        <f t="shared" si="20"/>
        <v>0661</v>
      </c>
      <c r="E651" s="66">
        <f t="shared" si="21"/>
        <v>1</v>
      </c>
    </row>
    <row r="652" spans="1:5" x14ac:dyDescent="0.15">
      <c r="A652" s="66" t="s">
        <v>1435</v>
      </c>
      <c r="B652" s="66" t="s">
        <v>1436</v>
      </c>
      <c r="C652" s="66" t="s">
        <v>436</v>
      </c>
      <c r="D652" s="66" t="str">
        <f t="shared" si="20"/>
        <v>0662</v>
      </c>
      <c r="E652" s="66">
        <f t="shared" si="21"/>
        <v>1</v>
      </c>
    </row>
    <row r="653" spans="1:5" x14ac:dyDescent="0.15">
      <c r="A653" s="66" t="s">
        <v>1437</v>
      </c>
      <c r="B653" s="66" t="s">
        <v>1438</v>
      </c>
      <c r="C653" s="66" t="s">
        <v>436</v>
      </c>
      <c r="D653" s="66" t="str">
        <f t="shared" si="20"/>
        <v>0663</v>
      </c>
      <c r="E653" s="66">
        <f t="shared" si="21"/>
        <v>1</v>
      </c>
    </row>
    <row r="654" spans="1:5" x14ac:dyDescent="0.15">
      <c r="A654" s="66" t="s">
        <v>1439</v>
      </c>
      <c r="B654" s="66" t="s">
        <v>1440</v>
      </c>
      <c r="C654" s="66" t="s">
        <v>86</v>
      </c>
      <c r="D654" s="66" t="str">
        <f t="shared" si="20"/>
        <v>0664</v>
      </c>
      <c r="E654" s="66">
        <f t="shared" si="21"/>
        <v>1</v>
      </c>
    </row>
    <row r="655" spans="1:5" x14ac:dyDescent="0.15">
      <c r="A655" s="66" t="s">
        <v>1441</v>
      </c>
      <c r="B655" s="66" t="s">
        <v>1442</v>
      </c>
      <c r="C655" s="66" t="s">
        <v>436</v>
      </c>
      <c r="D655" s="66" t="str">
        <f t="shared" si="20"/>
        <v>0665</v>
      </c>
      <c r="E655" s="66">
        <f t="shared" si="21"/>
        <v>1</v>
      </c>
    </row>
    <row r="656" spans="1:5" x14ac:dyDescent="0.15">
      <c r="A656" s="66" t="s">
        <v>1443</v>
      </c>
      <c r="B656" s="66" t="s">
        <v>1444</v>
      </c>
      <c r="C656" s="66" t="s">
        <v>86</v>
      </c>
      <c r="D656" s="66" t="str">
        <f t="shared" si="20"/>
        <v>0666</v>
      </c>
      <c r="E656" s="66">
        <f t="shared" si="21"/>
        <v>1</v>
      </c>
    </row>
    <row r="657" spans="1:5" x14ac:dyDescent="0.15">
      <c r="A657" s="66" t="s">
        <v>1445</v>
      </c>
      <c r="B657" s="66" t="s">
        <v>1446</v>
      </c>
      <c r="C657" s="66" t="s">
        <v>86</v>
      </c>
      <c r="D657" s="66" t="str">
        <f t="shared" si="20"/>
        <v>0667</v>
      </c>
      <c r="E657" s="66">
        <f t="shared" si="21"/>
        <v>1</v>
      </c>
    </row>
    <row r="658" spans="1:5" x14ac:dyDescent="0.15">
      <c r="A658" s="66" t="s">
        <v>1447</v>
      </c>
      <c r="B658" s="66" t="s">
        <v>1448</v>
      </c>
      <c r="C658" s="66" t="s">
        <v>86</v>
      </c>
      <c r="D658" s="66" t="str">
        <f t="shared" si="20"/>
        <v>0668</v>
      </c>
      <c r="E658" s="66">
        <f t="shared" si="21"/>
        <v>1</v>
      </c>
    </row>
    <row r="659" spans="1:5" x14ac:dyDescent="0.15">
      <c r="A659" s="66" t="s">
        <v>1449</v>
      </c>
      <c r="B659" s="66" t="s">
        <v>1450</v>
      </c>
      <c r="C659" s="66" t="s">
        <v>86</v>
      </c>
      <c r="D659" s="66" t="str">
        <f t="shared" si="20"/>
        <v>0669</v>
      </c>
      <c r="E659" s="66">
        <f t="shared" si="21"/>
        <v>1</v>
      </c>
    </row>
    <row r="660" spans="1:5" x14ac:dyDescent="0.15">
      <c r="A660" s="66" t="s">
        <v>1451</v>
      </c>
      <c r="B660" s="66" t="s">
        <v>1452</v>
      </c>
      <c r="C660" s="66" t="s">
        <v>86</v>
      </c>
      <c r="D660" s="66" t="str">
        <f t="shared" si="20"/>
        <v>0670</v>
      </c>
      <c r="E660" s="66">
        <f t="shared" si="21"/>
        <v>1</v>
      </c>
    </row>
    <row r="661" spans="1:5" x14ac:dyDescent="0.15">
      <c r="A661" s="66" t="s">
        <v>1453</v>
      </c>
      <c r="B661" s="66" t="s">
        <v>1454</v>
      </c>
      <c r="C661" s="66" t="s">
        <v>86</v>
      </c>
      <c r="D661" s="66" t="str">
        <f t="shared" si="20"/>
        <v>0671</v>
      </c>
      <c r="E661" s="66">
        <f t="shared" si="21"/>
        <v>1</v>
      </c>
    </row>
    <row r="662" spans="1:5" x14ac:dyDescent="0.15">
      <c r="A662" s="66" t="s">
        <v>1455</v>
      </c>
      <c r="B662" s="66" t="s">
        <v>1456</v>
      </c>
      <c r="C662" s="66" t="s">
        <v>133</v>
      </c>
      <c r="D662" s="66" t="str">
        <f t="shared" si="20"/>
        <v>0672</v>
      </c>
      <c r="E662" s="66">
        <f t="shared" si="21"/>
        <v>1</v>
      </c>
    </row>
    <row r="663" spans="1:5" x14ac:dyDescent="0.15">
      <c r="A663" s="66" t="s">
        <v>1457</v>
      </c>
      <c r="B663" s="66" t="s">
        <v>1458</v>
      </c>
      <c r="C663" s="66" t="s">
        <v>133</v>
      </c>
      <c r="D663" s="66" t="str">
        <f t="shared" si="20"/>
        <v>0673</v>
      </c>
      <c r="E663" s="66">
        <f t="shared" si="21"/>
        <v>1</v>
      </c>
    </row>
    <row r="664" spans="1:5" x14ac:dyDescent="0.15">
      <c r="A664" s="66" t="s">
        <v>1459</v>
      </c>
      <c r="B664" s="66" t="s">
        <v>1460</v>
      </c>
      <c r="C664" s="66" t="s">
        <v>133</v>
      </c>
      <c r="D664" s="66" t="str">
        <f t="shared" si="20"/>
        <v>0674</v>
      </c>
      <c r="E664" s="66">
        <f t="shared" si="21"/>
        <v>1</v>
      </c>
    </row>
    <row r="665" spans="1:5" x14ac:dyDescent="0.15">
      <c r="A665" s="66" t="s">
        <v>1461</v>
      </c>
      <c r="B665" s="66" t="s">
        <v>1462</v>
      </c>
      <c r="C665" s="66" t="s">
        <v>133</v>
      </c>
      <c r="D665" s="66" t="str">
        <f t="shared" si="20"/>
        <v>0675</v>
      </c>
      <c r="E665" s="66">
        <f t="shared" si="21"/>
        <v>1</v>
      </c>
    </row>
    <row r="666" spans="1:5" x14ac:dyDescent="0.15">
      <c r="A666" s="66" t="s">
        <v>1463</v>
      </c>
      <c r="B666" s="66" t="s">
        <v>1464</v>
      </c>
      <c r="C666" s="66" t="s">
        <v>133</v>
      </c>
      <c r="D666" s="66" t="str">
        <f t="shared" si="20"/>
        <v>0676</v>
      </c>
      <c r="E666" s="66">
        <f t="shared" si="21"/>
        <v>1</v>
      </c>
    </row>
    <row r="667" spans="1:5" x14ac:dyDescent="0.15">
      <c r="A667" s="66" t="s">
        <v>1465</v>
      </c>
      <c r="B667" s="66" t="s">
        <v>1466</v>
      </c>
      <c r="C667" s="66" t="s">
        <v>133</v>
      </c>
      <c r="D667" s="66" t="str">
        <f t="shared" si="20"/>
        <v>0677</v>
      </c>
      <c r="E667" s="66">
        <f t="shared" si="21"/>
        <v>1</v>
      </c>
    </row>
    <row r="668" spans="1:5" x14ac:dyDescent="0.15">
      <c r="A668" s="66" t="s">
        <v>1467</v>
      </c>
      <c r="B668" s="66" t="s">
        <v>1468</v>
      </c>
      <c r="C668" s="66" t="s">
        <v>133</v>
      </c>
      <c r="D668" s="66" t="str">
        <f t="shared" si="20"/>
        <v>0678</v>
      </c>
      <c r="E668" s="66">
        <f t="shared" si="21"/>
        <v>1</v>
      </c>
    </row>
    <row r="669" spans="1:5" x14ac:dyDescent="0.15">
      <c r="A669" s="66" t="s">
        <v>1469</v>
      </c>
      <c r="B669" s="66" t="s">
        <v>1470</v>
      </c>
      <c r="C669" s="66" t="s">
        <v>133</v>
      </c>
      <c r="D669" s="66" t="str">
        <f t="shared" si="20"/>
        <v>0679</v>
      </c>
      <c r="E669" s="66">
        <f t="shared" si="21"/>
        <v>1</v>
      </c>
    </row>
    <row r="670" spans="1:5" x14ac:dyDescent="0.15">
      <c r="A670" s="66" t="s">
        <v>1471</v>
      </c>
      <c r="B670" s="66" t="s">
        <v>1472</v>
      </c>
      <c r="C670" s="66" t="s">
        <v>133</v>
      </c>
      <c r="D670" s="66" t="str">
        <f t="shared" si="20"/>
        <v>0680</v>
      </c>
      <c r="E670" s="66">
        <f t="shared" si="21"/>
        <v>1</v>
      </c>
    </row>
    <row r="671" spans="1:5" x14ac:dyDescent="0.15">
      <c r="A671" s="66" t="s">
        <v>1473</v>
      </c>
      <c r="B671" s="66" t="s">
        <v>1474</v>
      </c>
      <c r="C671" s="66" t="s">
        <v>133</v>
      </c>
      <c r="D671" s="66" t="str">
        <f t="shared" si="20"/>
        <v>0681</v>
      </c>
      <c r="E671" s="66">
        <f t="shared" si="21"/>
        <v>1</v>
      </c>
    </row>
    <row r="672" spans="1:5" x14ac:dyDescent="0.15">
      <c r="A672" s="66" t="s">
        <v>1475</v>
      </c>
      <c r="B672" s="66" t="s">
        <v>1476</v>
      </c>
      <c r="C672" s="66" t="s">
        <v>133</v>
      </c>
      <c r="D672" s="66" t="str">
        <f t="shared" si="20"/>
        <v>0682</v>
      </c>
      <c r="E672" s="66">
        <f t="shared" si="21"/>
        <v>1</v>
      </c>
    </row>
    <row r="673" spans="1:5" x14ac:dyDescent="0.15">
      <c r="A673" s="66" t="s">
        <v>1477</v>
      </c>
      <c r="B673" s="66" t="s">
        <v>1478</v>
      </c>
      <c r="C673" s="66" t="s">
        <v>133</v>
      </c>
      <c r="D673" s="66" t="str">
        <f t="shared" si="20"/>
        <v>0683</v>
      </c>
      <c r="E673" s="66">
        <f t="shared" si="21"/>
        <v>1</v>
      </c>
    </row>
    <row r="674" spans="1:5" x14ac:dyDescent="0.15">
      <c r="A674" s="66" t="s">
        <v>1479</v>
      </c>
      <c r="B674" s="66" t="s">
        <v>1480</v>
      </c>
      <c r="C674" s="66" t="s">
        <v>133</v>
      </c>
      <c r="D674" s="66" t="str">
        <f t="shared" si="20"/>
        <v>0684</v>
      </c>
      <c r="E674" s="66">
        <f t="shared" si="21"/>
        <v>1</v>
      </c>
    </row>
    <row r="675" spans="1:5" x14ac:dyDescent="0.15">
      <c r="A675" s="66" t="s">
        <v>1481</v>
      </c>
      <c r="B675" s="66" t="s">
        <v>1482</v>
      </c>
      <c r="C675" s="66" t="s">
        <v>133</v>
      </c>
      <c r="D675" s="66" t="str">
        <f t="shared" si="20"/>
        <v>0685</v>
      </c>
      <c r="E675" s="66">
        <f t="shared" si="21"/>
        <v>1</v>
      </c>
    </row>
    <row r="676" spans="1:5" x14ac:dyDescent="0.15">
      <c r="A676" s="66" t="s">
        <v>1483</v>
      </c>
      <c r="B676" s="66" t="s">
        <v>1484</v>
      </c>
      <c r="C676" s="66" t="s">
        <v>140</v>
      </c>
      <c r="D676" s="66" t="str">
        <f t="shared" si="20"/>
        <v>0686</v>
      </c>
      <c r="E676" s="66">
        <f t="shared" si="21"/>
        <v>1</v>
      </c>
    </row>
    <row r="677" spans="1:5" x14ac:dyDescent="0.15">
      <c r="A677" s="66" t="s">
        <v>1485</v>
      </c>
      <c r="B677" s="66" t="s">
        <v>1486</v>
      </c>
      <c r="C677" s="66" t="s">
        <v>140</v>
      </c>
      <c r="D677" s="66" t="str">
        <f t="shared" si="20"/>
        <v>0687</v>
      </c>
      <c r="E677" s="66">
        <f t="shared" si="21"/>
        <v>1</v>
      </c>
    </row>
    <row r="678" spans="1:5" x14ac:dyDescent="0.15">
      <c r="A678" s="66" t="s">
        <v>1487</v>
      </c>
      <c r="B678" s="66" t="s">
        <v>1488</v>
      </c>
      <c r="C678" s="66" t="s">
        <v>133</v>
      </c>
      <c r="D678" s="66" t="str">
        <f t="shared" si="20"/>
        <v>0688</v>
      </c>
      <c r="E678" s="66">
        <f t="shared" si="21"/>
        <v>1</v>
      </c>
    </row>
    <row r="679" spans="1:5" x14ac:dyDescent="0.15">
      <c r="A679" s="66" t="s">
        <v>1489</v>
      </c>
      <c r="B679" s="66" t="s">
        <v>1490</v>
      </c>
      <c r="C679" s="66" t="s">
        <v>133</v>
      </c>
      <c r="D679" s="66" t="str">
        <f t="shared" si="20"/>
        <v>0689</v>
      </c>
      <c r="E679" s="66">
        <f t="shared" si="21"/>
        <v>1</v>
      </c>
    </row>
    <row r="680" spans="1:5" x14ac:dyDescent="0.15">
      <c r="A680" s="66" t="s">
        <v>1491</v>
      </c>
      <c r="B680" s="66" t="s">
        <v>1492</v>
      </c>
      <c r="C680" s="66" t="s">
        <v>133</v>
      </c>
      <c r="D680" s="66" t="str">
        <f t="shared" si="20"/>
        <v>0690</v>
      </c>
      <c r="E680" s="66">
        <f t="shared" si="21"/>
        <v>1</v>
      </c>
    </row>
    <row r="681" spans="1:5" x14ac:dyDescent="0.15">
      <c r="A681" s="66" t="s">
        <v>1493</v>
      </c>
      <c r="B681" s="66" t="s">
        <v>1494</v>
      </c>
      <c r="C681" s="66" t="s">
        <v>268</v>
      </c>
      <c r="D681" s="66" t="str">
        <f t="shared" si="20"/>
        <v>0691</v>
      </c>
      <c r="E681" s="66">
        <f t="shared" si="21"/>
        <v>1</v>
      </c>
    </row>
    <row r="682" spans="1:5" x14ac:dyDescent="0.15">
      <c r="A682" s="66" t="s">
        <v>1495</v>
      </c>
      <c r="B682" s="66" t="s">
        <v>1496</v>
      </c>
      <c r="C682" s="66" t="s">
        <v>133</v>
      </c>
      <c r="D682" s="66" t="str">
        <f t="shared" si="20"/>
        <v>0692</v>
      </c>
      <c r="E682" s="66">
        <f t="shared" si="21"/>
        <v>1</v>
      </c>
    </row>
    <row r="683" spans="1:5" x14ac:dyDescent="0.15">
      <c r="A683" s="66" t="s">
        <v>1497</v>
      </c>
      <c r="B683" s="66" t="s">
        <v>1498</v>
      </c>
      <c r="C683" s="66" t="s">
        <v>133</v>
      </c>
      <c r="D683" s="66" t="str">
        <f t="shared" si="20"/>
        <v>0693</v>
      </c>
      <c r="E683" s="66">
        <f t="shared" si="21"/>
        <v>1</v>
      </c>
    </row>
    <row r="684" spans="1:5" x14ac:dyDescent="0.15">
      <c r="A684" s="66" t="s">
        <v>1499</v>
      </c>
      <c r="B684" s="66" t="s">
        <v>1500</v>
      </c>
      <c r="C684" s="66" t="s">
        <v>268</v>
      </c>
      <c r="D684" s="66" t="str">
        <f t="shared" si="20"/>
        <v>0694</v>
      </c>
      <c r="E684" s="66">
        <f t="shared" si="21"/>
        <v>1</v>
      </c>
    </row>
    <row r="685" spans="1:5" x14ac:dyDescent="0.15">
      <c r="A685" s="66" t="s">
        <v>1501</v>
      </c>
      <c r="B685" s="66" t="s">
        <v>1502</v>
      </c>
      <c r="C685" s="66" t="s">
        <v>101</v>
      </c>
      <c r="D685" s="66" t="str">
        <f t="shared" si="20"/>
        <v>0695</v>
      </c>
      <c r="E685" s="66">
        <f t="shared" si="21"/>
        <v>1</v>
      </c>
    </row>
    <row r="686" spans="1:5" x14ac:dyDescent="0.15">
      <c r="A686" s="66" t="s">
        <v>1503</v>
      </c>
      <c r="B686" s="66" t="s">
        <v>1504</v>
      </c>
      <c r="C686" s="66" t="s">
        <v>101</v>
      </c>
      <c r="D686" s="66" t="str">
        <f t="shared" si="20"/>
        <v>0696</v>
      </c>
      <c r="E686" s="66">
        <f t="shared" si="21"/>
        <v>1</v>
      </c>
    </row>
    <row r="687" spans="1:5" x14ac:dyDescent="0.15">
      <c r="A687" s="66" t="s">
        <v>1505</v>
      </c>
      <c r="B687" s="66" t="s">
        <v>1506</v>
      </c>
      <c r="C687" s="66" t="s">
        <v>458</v>
      </c>
      <c r="D687" s="66" t="str">
        <f t="shared" si="20"/>
        <v>0697</v>
      </c>
      <c r="E687" s="66">
        <f t="shared" si="21"/>
        <v>1</v>
      </c>
    </row>
    <row r="688" spans="1:5" x14ac:dyDescent="0.15">
      <c r="A688" s="66" t="s">
        <v>1507</v>
      </c>
      <c r="B688" s="66" t="s">
        <v>1508</v>
      </c>
      <c r="C688" s="66" t="s">
        <v>385</v>
      </c>
      <c r="D688" s="66" t="str">
        <f t="shared" si="20"/>
        <v>0698</v>
      </c>
      <c r="E688" s="66">
        <f t="shared" si="21"/>
        <v>1</v>
      </c>
    </row>
    <row r="689" spans="1:5" x14ac:dyDescent="0.15">
      <c r="A689" s="66" t="s">
        <v>1509</v>
      </c>
      <c r="B689" s="66" t="s">
        <v>1510</v>
      </c>
      <c r="C689" s="66" t="s">
        <v>133</v>
      </c>
      <c r="D689" s="66" t="str">
        <f t="shared" si="20"/>
        <v>0699</v>
      </c>
      <c r="E689" s="66">
        <f t="shared" si="21"/>
        <v>1</v>
      </c>
    </row>
    <row r="690" spans="1:5" x14ac:dyDescent="0.15">
      <c r="A690" s="66" t="s">
        <v>1511</v>
      </c>
      <c r="B690" s="66" t="s">
        <v>1512</v>
      </c>
      <c r="C690" s="66" t="s">
        <v>140</v>
      </c>
      <c r="D690" s="66" t="str">
        <f t="shared" si="20"/>
        <v>0700</v>
      </c>
      <c r="E690" s="66">
        <f t="shared" si="21"/>
        <v>1</v>
      </c>
    </row>
    <row r="691" spans="1:5" x14ac:dyDescent="0.15">
      <c r="A691" s="66" t="s">
        <v>1513</v>
      </c>
      <c r="B691" s="66" t="s">
        <v>1514</v>
      </c>
      <c r="C691" s="66" t="s">
        <v>385</v>
      </c>
      <c r="D691" s="66" t="str">
        <f t="shared" si="20"/>
        <v>0701</v>
      </c>
      <c r="E691" s="66">
        <f t="shared" si="21"/>
        <v>1</v>
      </c>
    </row>
    <row r="692" spans="1:5" x14ac:dyDescent="0.15">
      <c r="A692" s="66" t="s">
        <v>1515</v>
      </c>
      <c r="B692" s="66" t="s">
        <v>1516</v>
      </c>
      <c r="C692" s="66" t="s">
        <v>133</v>
      </c>
      <c r="D692" s="66" t="str">
        <f t="shared" si="20"/>
        <v>0702</v>
      </c>
      <c r="E692" s="66">
        <f t="shared" si="21"/>
        <v>1</v>
      </c>
    </row>
    <row r="693" spans="1:5" x14ac:dyDescent="0.15">
      <c r="A693" s="66" t="s">
        <v>1517</v>
      </c>
      <c r="B693" s="66" t="s">
        <v>1518</v>
      </c>
      <c r="C693" s="66" t="s">
        <v>133</v>
      </c>
      <c r="D693" s="66" t="str">
        <f t="shared" si="20"/>
        <v>0703</v>
      </c>
      <c r="E693" s="66">
        <f t="shared" si="21"/>
        <v>1</v>
      </c>
    </row>
    <row r="694" spans="1:5" x14ac:dyDescent="0.15">
      <c r="A694" s="66" t="s">
        <v>1519</v>
      </c>
      <c r="B694" s="66" t="s">
        <v>1520</v>
      </c>
      <c r="C694" s="66" t="s">
        <v>133</v>
      </c>
      <c r="D694" s="66" t="str">
        <f t="shared" si="20"/>
        <v>0704</v>
      </c>
      <c r="E694" s="66">
        <f t="shared" si="21"/>
        <v>1</v>
      </c>
    </row>
    <row r="695" spans="1:5" x14ac:dyDescent="0.15">
      <c r="A695" s="66" t="s">
        <v>1521</v>
      </c>
      <c r="B695" s="66" t="s">
        <v>1522</v>
      </c>
      <c r="C695" s="66" t="s">
        <v>86</v>
      </c>
      <c r="D695" s="66" t="str">
        <f t="shared" si="20"/>
        <v>0705</v>
      </c>
      <c r="E695" s="66">
        <f t="shared" si="21"/>
        <v>1</v>
      </c>
    </row>
    <row r="696" spans="1:5" x14ac:dyDescent="0.15">
      <c r="A696" s="66" t="s">
        <v>1523</v>
      </c>
      <c r="B696" s="66" t="s">
        <v>1524</v>
      </c>
      <c r="C696" s="66" t="s">
        <v>131</v>
      </c>
      <c r="D696" s="66" t="str">
        <f t="shared" si="20"/>
        <v>0706</v>
      </c>
      <c r="E696" s="66">
        <f t="shared" si="21"/>
        <v>1</v>
      </c>
    </row>
    <row r="697" spans="1:5" x14ac:dyDescent="0.15">
      <c r="A697" s="66" t="s">
        <v>1525</v>
      </c>
      <c r="B697" s="66" t="s">
        <v>1526</v>
      </c>
      <c r="C697" s="66" t="s">
        <v>131</v>
      </c>
      <c r="D697" s="66" t="str">
        <f t="shared" si="20"/>
        <v>0707</v>
      </c>
      <c r="E697" s="66">
        <f t="shared" si="21"/>
        <v>1</v>
      </c>
    </row>
    <row r="698" spans="1:5" x14ac:dyDescent="0.15">
      <c r="A698" s="66" t="s">
        <v>1527</v>
      </c>
      <c r="B698" s="66" t="s">
        <v>1528</v>
      </c>
      <c r="C698" s="66" t="s">
        <v>131</v>
      </c>
      <c r="D698" s="66" t="str">
        <f t="shared" si="20"/>
        <v>0708</v>
      </c>
      <c r="E698" s="66">
        <f t="shared" si="21"/>
        <v>1</v>
      </c>
    </row>
    <row r="699" spans="1:5" x14ac:dyDescent="0.15">
      <c r="A699" s="66" t="s">
        <v>1529</v>
      </c>
      <c r="B699" s="66" t="s">
        <v>1530</v>
      </c>
      <c r="C699" s="66" t="s">
        <v>133</v>
      </c>
      <c r="D699" s="66" t="str">
        <f t="shared" si="20"/>
        <v>0709</v>
      </c>
      <c r="E699" s="66">
        <f t="shared" si="21"/>
        <v>1</v>
      </c>
    </row>
    <row r="700" spans="1:5" x14ac:dyDescent="0.15">
      <c r="A700" s="66" t="s">
        <v>1531</v>
      </c>
      <c r="B700" s="66" t="s">
        <v>1532</v>
      </c>
      <c r="C700" s="66" t="s">
        <v>436</v>
      </c>
      <c r="D700" s="66" t="str">
        <f t="shared" si="20"/>
        <v>0710</v>
      </c>
      <c r="E700" s="66">
        <f t="shared" si="21"/>
        <v>1</v>
      </c>
    </row>
    <row r="701" spans="1:5" x14ac:dyDescent="0.15">
      <c r="A701" s="66" t="s">
        <v>1533</v>
      </c>
      <c r="B701" s="66" t="s">
        <v>1534</v>
      </c>
      <c r="C701" s="66" t="s">
        <v>101</v>
      </c>
      <c r="D701" s="66" t="str">
        <f t="shared" si="20"/>
        <v>0711</v>
      </c>
      <c r="E701" s="66">
        <f t="shared" si="21"/>
        <v>1</v>
      </c>
    </row>
    <row r="702" spans="1:5" x14ac:dyDescent="0.15">
      <c r="A702" s="66" t="s">
        <v>1535</v>
      </c>
      <c r="B702" s="66" t="s">
        <v>1536</v>
      </c>
      <c r="C702" s="66" t="s">
        <v>71</v>
      </c>
      <c r="D702" s="66" t="str">
        <f t="shared" si="20"/>
        <v>0712</v>
      </c>
      <c r="E702" s="66">
        <f t="shared" si="21"/>
        <v>1</v>
      </c>
    </row>
    <row r="703" spans="1:5" x14ac:dyDescent="0.15">
      <c r="A703" s="66" t="s">
        <v>1537</v>
      </c>
      <c r="B703" s="66" t="s">
        <v>1538</v>
      </c>
      <c r="C703" s="66" t="s">
        <v>101</v>
      </c>
      <c r="D703" s="66" t="str">
        <f t="shared" si="20"/>
        <v>0713</v>
      </c>
      <c r="E703" s="66">
        <f t="shared" si="21"/>
        <v>1</v>
      </c>
    </row>
    <row r="704" spans="1:5" x14ac:dyDescent="0.15">
      <c r="A704" s="66" t="s">
        <v>1539</v>
      </c>
      <c r="B704" s="66" t="s">
        <v>1540</v>
      </c>
      <c r="C704" s="66" t="s">
        <v>133</v>
      </c>
      <c r="D704" s="66" t="str">
        <f t="shared" si="20"/>
        <v>0714</v>
      </c>
      <c r="E704" s="66">
        <f t="shared" si="21"/>
        <v>1</v>
      </c>
    </row>
    <row r="705" spans="1:5" x14ac:dyDescent="0.15">
      <c r="A705" s="66" t="s">
        <v>1541</v>
      </c>
      <c r="B705" s="66" t="s">
        <v>1542</v>
      </c>
      <c r="C705" s="66" t="s">
        <v>1360</v>
      </c>
      <c r="D705" s="66" t="str">
        <f t="shared" si="20"/>
        <v>0715</v>
      </c>
      <c r="E705" s="66">
        <f t="shared" si="21"/>
        <v>1</v>
      </c>
    </row>
    <row r="706" spans="1:5" x14ac:dyDescent="0.15">
      <c r="A706" s="66" t="s">
        <v>1543</v>
      </c>
      <c r="B706" s="66" t="s">
        <v>1544</v>
      </c>
      <c r="C706" s="66" t="s">
        <v>340</v>
      </c>
      <c r="D706" s="66" t="str">
        <f t="shared" ref="D706:D769" si="22">A706</f>
        <v>0716</v>
      </c>
      <c r="E706" s="66">
        <f t="shared" ref="E706:E769" si="23">COUNTIFS(B:B,B706)</f>
        <v>1</v>
      </c>
    </row>
    <row r="707" spans="1:5" x14ac:dyDescent="0.15">
      <c r="A707" s="66" t="s">
        <v>1545</v>
      </c>
      <c r="B707" s="66" t="s">
        <v>1546</v>
      </c>
      <c r="C707" s="66" t="s">
        <v>101</v>
      </c>
      <c r="D707" s="66" t="str">
        <f t="shared" si="22"/>
        <v>0717</v>
      </c>
      <c r="E707" s="66">
        <f t="shared" si="23"/>
        <v>1</v>
      </c>
    </row>
    <row r="708" spans="1:5" x14ac:dyDescent="0.15">
      <c r="A708" s="66" t="s">
        <v>1547</v>
      </c>
      <c r="B708" s="66" t="s">
        <v>1548</v>
      </c>
      <c r="C708" s="66" t="s">
        <v>75</v>
      </c>
      <c r="D708" s="66" t="str">
        <f t="shared" si="22"/>
        <v>0718</v>
      </c>
      <c r="E708" s="66">
        <f t="shared" si="23"/>
        <v>1</v>
      </c>
    </row>
    <row r="709" spans="1:5" x14ac:dyDescent="0.15">
      <c r="A709" s="66" t="s">
        <v>1549</v>
      </c>
      <c r="B709" s="66" t="s">
        <v>1550</v>
      </c>
      <c r="C709" s="66" t="s">
        <v>86</v>
      </c>
      <c r="D709" s="66" t="str">
        <f t="shared" si="22"/>
        <v>0719</v>
      </c>
      <c r="E709" s="66">
        <f t="shared" si="23"/>
        <v>1</v>
      </c>
    </row>
    <row r="710" spans="1:5" x14ac:dyDescent="0.15">
      <c r="A710" s="66" t="s">
        <v>1551</v>
      </c>
      <c r="B710" s="66" t="s">
        <v>1552</v>
      </c>
      <c r="C710" s="66" t="s">
        <v>133</v>
      </c>
      <c r="D710" s="66" t="str">
        <f t="shared" si="22"/>
        <v>0720</v>
      </c>
      <c r="E710" s="66">
        <f t="shared" si="23"/>
        <v>1</v>
      </c>
    </row>
    <row r="711" spans="1:5" x14ac:dyDescent="0.15">
      <c r="A711" s="66" t="s">
        <v>1553</v>
      </c>
      <c r="B711" s="66" t="s">
        <v>1554</v>
      </c>
      <c r="C711" s="66" t="s">
        <v>133</v>
      </c>
      <c r="D711" s="66" t="str">
        <f t="shared" si="22"/>
        <v>0721</v>
      </c>
      <c r="E711" s="66">
        <f t="shared" si="23"/>
        <v>1</v>
      </c>
    </row>
    <row r="712" spans="1:5" x14ac:dyDescent="0.15">
      <c r="A712" s="66" t="s">
        <v>1555</v>
      </c>
      <c r="B712" s="66" t="s">
        <v>1556</v>
      </c>
      <c r="C712" s="66" t="s">
        <v>86</v>
      </c>
      <c r="D712" s="66" t="str">
        <f t="shared" si="22"/>
        <v>0722</v>
      </c>
      <c r="E712" s="66">
        <f t="shared" si="23"/>
        <v>1</v>
      </c>
    </row>
    <row r="713" spans="1:5" x14ac:dyDescent="0.15">
      <c r="A713" s="66" t="s">
        <v>1557</v>
      </c>
      <c r="B713" s="66" t="s">
        <v>1558</v>
      </c>
      <c r="C713" s="66" t="s">
        <v>101</v>
      </c>
      <c r="D713" s="66" t="str">
        <f t="shared" si="22"/>
        <v>0723</v>
      </c>
      <c r="E713" s="66">
        <f t="shared" si="23"/>
        <v>1</v>
      </c>
    </row>
    <row r="714" spans="1:5" x14ac:dyDescent="0.15">
      <c r="A714" s="66" t="s">
        <v>1559</v>
      </c>
      <c r="B714" s="66" t="s">
        <v>1560</v>
      </c>
      <c r="C714" s="66" t="s">
        <v>140</v>
      </c>
      <c r="D714" s="66" t="str">
        <f t="shared" si="22"/>
        <v>0724</v>
      </c>
      <c r="E714" s="66">
        <f t="shared" si="23"/>
        <v>1</v>
      </c>
    </row>
    <row r="715" spans="1:5" x14ac:dyDescent="0.15">
      <c r="A715" s="66" t="s">
        <v>1561</v>
      </c>
      <c r="B715" s="66" t="s">
        <v>1562</v>
      </c>
      <c r="C715" s="66" t="s">
        <v>140</v>
      </c>
      <c r="D715" s="66" t="str">
        <f t="shared" si="22"/>
        <v>0725</v>
      </c>
      <c r="E715" s="66">
        <f t="shared" si="23"/>
        <v>1</v>
      </c>
    </row>
    <row r="716" spans="1:5" x14ac:dyDescent="0.15">
      <c r="A716" s="66" t="s">
        <v>1563</v>
      </c>
      <c r="B716" s="66" t="s">
        <v>1564</v>
      </c>
      <c r="C716" s="66" t="s">
        <v>101</v>
      </c>
      <c r="D716" s="66" t="str">
        <f t="shared" si="22"/>
        <v>0726</v>
      </c>
      <c r="E716" s="66">
        <f t="shared" si="23"/>
        <v>1</v>
      </c>
    </row>
    <row r="717" spans="1:5" x14ac:dyDescent="0.15">
      <c r="A717" s="66" t="s">
        <v>1565</v>
      </c>
      <c r="B717" s="66" t="s">
        <v>1566</v>
      </c>
      <c r="C717" s="66" t="s">
        <v>340</v>
      </c>
      <c r="D717" s="66" t="str">
        <f t="shared" si="22"/>
        <v>0727</v>
      </c>
      <c r="E717" s="66">
        <f t="shared" si="23"/>
        <v>1</v>
      </c>
    </row>
    <row r="718" spans="1:5" x14ac:dyDescent="0.15">
      <c r="A718" s="66" t="s">
        <v>1567</v>
      </c>
      <c r="B718" s="66" t="s">
        <v>1568</v>
      </c>
      <c r="C718" s="66" t="s">
        <v>385</v>
      </c>
      <c r="D718" s="66" t="str">
        <f t="shared" si="22"/>
        <v>0728</v>
      </c>
      <c r="E718" s="66">
        <f t="shared" si="23"/>
        <v>1</v>
      </c>
    </row>
    <row r="719" spans="1:5" x14ac:dyDescent="0.15">
      <c r="A719" s="66" t="s">
        <v>1569</v>
      </c>
      <c r="B719" s="66" t="s">
        <v>1570</v>
      </c>
      <c r="C719" s="66" t="s">
        <v>340</v>
      </c>
      <c r="D719" s="66" t="str">
        <f t="shared" si="22"/>
        <v>0729</v>
      </c>
      <c r="E719" s="66">
        <f t="shared" si="23"/>
        <v>1</v>
      </c>
    </row>
    <row r="720" spans="1:5" x14ac:dyDescent="0.15">
      <c r="A720" s="66" t="s">
        <v>1571</v>
      </c>
      <c r="B720" s="66" t="s">
        <v>1572</v>
      </c>
      <c r="C720" s="66" t="s">
        <v>75</v>
      </c>
      <c r="D720" s="66" t="str">
        <f t="shared" si="22"/>
        <v>0730</v>
      </c>
      <c r="E720" s="66">
        <f t="shared" si="23"/>
        <v>1</v>
      </c>
    </row>
    <row r="721" spans="1:5" x14ac:dyDescent="0.15">
      <c r="A721" s="66" t="s">
        <v>1573</v>
      </c>
      <c r="B721" s="66" t="s">
        <v>1574</v>
      </c>
      <c r="C721" s="66" t="s">
        <v>385</v>
      </c>
      <c r="D721" s="66" t="str">
        <f t="shared" si="22"/>
        <v>0731</v>
      </c>
      <c r="E721" s="66">
        <f t="shared" si="23"/>
        <v>1</v>
      </c>
    </row>
    <row r="722" spans="1:5" x14ac:dyDescent="0.15">
      <c r="A722" s="66" t="s">
        <v>1575</v>
      </c>
      <c r="B722" s="66" t="s">
        <v>1576</v>
      </c>
      <c r="C722" s="66" t="s">
        <v>140</v>
      </c>
      <c r="D722" s="66" t="str">
        <f t="shared" si="22"/>
        <v>0732</v>
      </c>
      <c r="E722" s="66">
        <f t="shared" si="23"/>
        <v>1</v>
      </c>
    </row>
    <row r="723" spans="1:5" x14ac:dyDescent="0.15">
      <c r="A723" s="66" t="s">
        <v>1577</v>
      </c>
      <c r="B723" s="66" t="s">
        <v>1578</v>
      </c>
      <c r="C723" s="66" t="s">
        <v>140</v>
      </c>
      <c r="D723" s="66" t="str">
        <f t="shared" si="22"/>
        <v>0733</v>
      </c>
      <c r="E723" s="66">
        <f t="shared" si="23"/>
        <v>1</v>
      </c>
    </row>
    <row r="724" spans="1:5" x14ac:dyDescent="0.15">
      <c r="A724" s="66" t="s">
        <v>1579</v>
      </c>
      <c r="B724" s="66" t="s">
        <v>1580</v>
      </c>
      <c r="C724" s="66" t="s">
        <v>140</v>
      </c>
      <c r="D724" s="66" t="str">
        <f t="shared" si="22"/>
        <v>0734</v>
      </c>
      <c r="E724" s="66">
        <f t="shared" si="23"/>
        <v>1</v>
      </c>
    </row>
    <row r="725" spans="1:5" x14ac:dyDescent="0.15">
      <c r="A725" s="66" t="s">
        <v>1581</v>
      </c>
      <c r="B725" s="66" t="s">
        <v>1582</v>
      </c>
      <c r="C725" s="66" t="s">
        <v>140</v>
      </c>
      <c r="D725" s="66" t="str">
        <f t="shared" si="22"/>
        <v>0735</v>
      </c>
      <c r="E725" s="66">
        <f t="shared" si="23"/>
        <v>1</v>
      </c>
    </row>
    <row r="726" spans="1:5" x14ac:dyDescent="0.15">
      <c r="A726" s="66" t="s">
        <v>1583</v>
      </c>
      <c r="B726" s="66" t="s">
        <v>1584</v>
      </c>
      <c r="C726" s="66" t="s">
        <v>140</v>
      </c>
      <c r="D726" s="66" t="str">
        <f t="shared" si="22"/>
        <v>0736</v>
      </c>
      <c r="E726" s="66">
        <f t="shared" si="23"/>
        <v>1</v>
      </c>
    </row>
    <row r="727" spans="1:5" x14ac:dyDescent="0.15">
      <c r="A727" s="66" t="s">
        <v>1585</v>
      </c>
      <c r="B727" s="66" t="s">
        <v>1586</v>
      </c>
      <c r="C727" s="66" t="s">
        <v>140</v>
      </c>
      <c r="D727" s="66" t="str">
        <f t="shared" si="22"/>
        <v>0737</v>
      </c>
      <c r="E727" s="66">
        <f t="shared" si="23"/>
        <v>1</v>
      </c>
    </row>
    <row r="728" spans="1:5" x14ac:dyDescent="0.15">
      <c r="A728" s="66" t="s">
        <v>1587</v>
      </c>
      <c r="B728" s="66" t="s">
        <v>1588</v>
      </c>
      <c r="C728" s="66" t="s">
        <v>140</v>
      </c>
      <c r="D728" s="66" t="str">
        <f t="shared" si="22"/>
        <v>0738</v>
      </c>
      <c r="E728" s="66">
        <f t="shared" si="23"/>
        <v>1</v>
      </c>
    </row>
    <row r="729" spans="1:5" x14ac:dyDescent="0.15">
      <c r="A729" s="66" t="s">
        <v>1589</v>
      </c>
      <c r="B729" s="66" t="s">
        <v>1590</v>
      </c>
      <c r="C729" s="66" t="s">
        <v>140</v>
      </c>
      <c r="D729" s="66" t="str">
        <f t="shared" si="22"/>
        <v>0739</v>
      </c>
      <c r="E729" s="66">
        <f t="shared" si="23"/>
        <v>1</v>
      </c>
    </row>
    <row r="730" spans="1:5" x14ac:dyDescent="0.15">
      <c r="A730" s="66" t="s">
        <v>1591</v>
      </c>
      <c r="B730" s="66" t="s">
        <v>1592</v>
      </c>
      <c r="C730" s="66" t="s">
        <v>140</v>
      </c>
      <c r="D730" s="66" t="str">
        <f t="shared" si="22"/>
        <v>0740</v>
      </c>
      <c r="E730" s="66">
        <f t="shared" si="23"/>
        <v>1</v>
      </c>
    </row>
    <row r="731" spans="1:5" x14ac:dyDescent="0.15">
      <c r="A731" s="66" t="s">
        <v>1593</v>
      </c>
      <c r="B731" s="66" t="s">
        <v>1594</v>
      </c>
      <c r="C731" s="66" t="s">
        <v>140</v>
      </c>
      <c r="D731" s="66" t="str">
        <f t="shared" si="22"/>
        <v>0741</v>
      </c>
      <c r="E731" s="66">
        <f t="shared" si="23"/>
        <v>1</v>
      </c>
    </row>
    <row r="732" spans="1:5" x14ac:dyDescent="0.15">
      <c r="A732" s="66" t="s">
        <v>1595</v>
      </c>
      <c r="B732" s="66" t="s">
        <v>1596</v>
      </c>
      <c r="C732" s="66" t="s">
        <v>133</v>
      </c>
      <c r="D732" s="66" t="str">
        <f t="shared" si="22"/>
        <v>0742</v>
      </c>
      <c r="E732" s="66">
        <f t="shared" si="23"/>
        <v>1</v>
      </c>
    </row>
    <row r="733" spans="1:5" x14ac:dyDescent="0.15">
      <c r="A733" s="66" t="s">
        <v>1597</v>
      </c>
      <c r="B733" s="66" t="s">
        <v>1598</v>
      </c>
      <c r="C733" s="66" t="s">
        <v>101</v>
      </c>
      <c r="D733" s="66" t="str">
        <f t="shared" si="22"/>
        <v>0743</v>
      </c>
      <c r="E733" s="66">
        <f t="shared" si="23"/>
        <v>1</v>
      </c>
    </row>
    <row r="734" spans="1:5" x14ac:dyDescent="0.15">
      <c r="A734" s="66" t="s">
        <v>1599</v>
      </c>
      <c r="B734" s="66" t="s">
        <v>1600</v>
      </c>
      <c r="C734" s="66" t="s">
        <v>75</v>
      </c>
      <c r="D734" s="66" t="str">
        <f t="shared" si="22"/>
        <v>0744</v>
      </c>
      <c r="E734" s="66">
        <f t="shared" si="23"/>
        <v>1</v>
      </c>
    </row>
    <row r="735" spans="1:5" x14ac:dyDescent="0.15">
      <c r="A735" s="66" t="s">
        <v>1601</v>
      </c>
      <c r="B735" s="66" t="s">
        <v>1602</v>
      </c>
      <c r="C735" s="66" t="s">
        <v>75</v>
      </c>
      <c r="D735" s="66" t="str">
        <f t="shared" si="22"/>
        <v>0745</v>
      </c>
      <c r="E735" s="66">
        <f t="shared" si="23"/>
        <v>1</v>
      </c>
    </row>
    <row r="736" spans="1:5" x14ac:dyDescent="0.15">
      <c r="A736" s="66" t="s">
        <v>1603</v>
      </c>
      <c r="B736" s="66" t="s">
        <v>1604</v>
      </c>
      <c r="C736" s="66" t="s">
        <v>133</v>
      </c>
      <c r="D736" s="66" t="str">
        <f t="shared" si="22"/>
        <v>0746</v>
      </c>
      <c r="E736" s="66">
        <f t="shared" si="23"/>
        <v>1</v>
      </c>
    </row>
    <row r="737" spans="1:5" x14ac:dyDescent="0.15">
      <c r="A737" s="66" t="s">
        <v>1605</v>
      </c>
      <c r="B737" s="66" t="s">
        <v>1606</v>
      </c>
      <c r="C737" s="66" t="s">
        <v>86</v>
      </c>
      <c r="D737" s="66" t="str">
        <f t="shared" si="22"/>
        <v>0747</v>
      </c>
      <c r="E737" s="66">
        <f t="shared" si="23"/>
        <v>1</v>
      </c>
    </row>
    <row r="738" spans="1:5" x14ac:dyDescent="0.15">
      <c r="A738" s="66" t="s">
        <v>1607</v>
      </c>
      <c r="B738" s="66" t="s">
        <v>1608</v>
      </c>
      <c r="C738" s="66" t="s">
        <v>86</v>
      </c>
      <c r="D738" s="66" t="str">
        <f t="shared" si="22"/>
        <v>0748</v>
      </c>
      <c r="E738" s="66">
        <f t="shared" si="23"/>
        <v>1</v>
      </c>
    </row>
    <row r="739" spans="1:5" x14ac:dyDescent="0.15">
      <c r="A739" s="66" t="s">
        <v>1609</v>
      </c>
      <c r="B739" s="66" t="s">
        <v>1610</v>
      </c>
      <c r="C739" s="66" t="s">
        <v>277</v>
      </c>
      <c r="D739" s="66" t="str">
        <f t="shared" si="22"/>
        <v>0749</v>
      </c>
      <c r="E739" s="66">
        <f t="shared" si="23"/>
        <v>1</v>
      </c>
    </row>
    <row r="740" spans="1:5" x14ac:dyDescent="0.15">
      <c r="A740" s="66" t="s">
        <v>1611</v>
      </c>
      <c r="B740" s="66" t="s">
        <v>1612</v>
      </c>
      <c r="C740" s="66" t="s">
        <v>133</v>
      </c>
      <c r="D740" s="66" t="str">
        <f t="shared" si="22"/>
        <v>0750</v>
      </c>
      <c r="E740" s="66">
        <f t="shared" si="23"/>
        <v>1</v>
      </c>
    </row>
    <row r="741" spans="1:5" x14ac:dyDescent="0.15">
      <c r="A741" s="66" t="s">
        <v>1613</v>
      </c>
      <c r="B741" s="66" t="s">
        <v>1614</v>
      </c>
      <c r="C741" s="66" t="s">
        <v>133</v>
      </c>
      <c r="D741" s="66" t="str">
        <f t="shared" si="22"/>
        <v>0751</v>
      </c>
      <c r="E741" s="66">
        <f t="shared" si="23"/>
        <v>1</v>
      </c>
    </row>
    <row r="742" spans="1:5" x14ac:dyDescent="0.15">
      <c r="A742" s="66" t="s">
        <v>1615</v>
      </c>
      <c r="B742" s="66" t="s">
        <v>1616</v>
      </c>
      <c r="C742" s="66" t="s">
        <v>86</v>
      </c>
      <c r="D742" s="66" t="str">
        <f t="shared" si="22"/>
        <v>0752</v>
      </c>
      <c r="E742" s="66">
        <f t="shared" si="23"/>
        <v>1</v>
      </c>
    </row>
    <row r="743" spans="1:5" x14ac:dyDescent="0.15">
      <c r="A743" s="66" t="s">
        <v>1617</v>
      </c>
      <c r="B743" s="66" t="s">
        <v>1618</v>
      </c>
      <c r="C743" s="66" t="s">
        <v>133</v>
      </c>
      <c r="D743" s="66" t="str">
        <f t="shared" si="22"/>
        <v>0753</v>
      </c>
      <c r="E743" s="66">
        <f t="shared" si="23"/>
        <v>1</v>
      </c>
    </row>
    <row r="744" spans="1:5" x14ac:dyDescent="0.15">
      <c r="A744" s="66" t="s">
        <v>1619</v>
      </c>
      <c r="B744" s="66" t="s">
        <v>1620</v>
      </c>
      <c r="C744" s="66" t="s">
        <v>133</v>
      </c>
      <c r="D744" s="66" t="str">
        <f t="shared" si="22"/>
        <v>0754</v>
      </c>
      <c r="E744" s="66">
        <f t="shared" si="23"/>
        <v>1</v>
      </c>
    </row>
    <row r="745" spans="1:5" x14ac:dyDescent="0.15">
      <c r="A745" s="66" t="s">
        <v>1621</v>
      </c>
      <c r="B745" s="66" t="s">
        <v>1622</v>
      </c>
      <c r="C745" s="66" t="s">
        <v>340</v>
      </c>
      <c r="D745" s="66" t="str">
        <f t="shared" si="22"/>
        <v>0755</v>
      </c>
      <c r="E745" s="66">
        <f t="shared" si="23"/>
        <v>1</v>
      </c>
    </row>
    <row r="746" spans="1:5" x14ac:dyDescent="0.15">
      <c r="A746" s="66" t="s">
        <v>1623</v>
      </c>
      <c r="B746" s="66" t="s">
        <v>1624</v>
      </c>
      <c r="C746" s="66" t="s">
        <v>133</v>
      </c>
      <c r="D746" s="66" t="str">
        <f t="shared" si="22"/>
        <v>0756</v>
      </c>
      <c r="E746" s="66">
        <f t="shared" si="23"/>
        <v>1</v>
      </c>
    </row>
    <row r="747" spans="1:5" x14ac:dyDescent="0.15">
      <c r="A747" s="66" t="s">
        <v>88</v>
      </c>
      <c r="B747" s="66" t="s">
        <v>90</v>
      </c>
      <c r="C747" s="66" t="s">
        <v>86</v>
      </c>
      <c r="D747" s="66" t="str">
        <f t="shared" si="22"/>
        <v>0757</v>
      </c>
      <c r="E747" s="66">
        <f t="shared" si="23"/>
        <v>1</v>
      </c>
    </row>
    <row r="748" spans="1:5" x14ac:dyDescent="0.15">
      <c r="A748" s="66" t="s">
        <v>1625</v>
      </c>
      <c r="B748" s="66" t="s">
        <v>1626</v>
      </c>
      <c r="C748" s="66" t="s">
        <v>140</v>
      </c>
      <c r="D748" s="66" t="str">
        <f t="shared" si="22"/>
        <v>0758</v>
      </c>
      <c r="E748" s="66">
        <f t="shared" si="23"/>
        <v>1</v>
      </c>
    </row>
    <row r="749" spans="1:5" x14ac:dyDescent="0.15">
      <c r="A749" s="66" t="s">
        <v>1627</v>
      </c>
      <c r="B749" s="66" t="s">
        <v>1628</v>
      </c>
      <c r="C749" s="66" t="s">
        <v>140</v>
      </c>
      <c r="D749" s="66" t="str">
        <f t="shared" si="22"/>
        <v>0760</v>
      </c>
      <c r="E749" s="66">
        <f t="shared" si="23"/>
        <v>1</v>
      </c>
    </row>
    <row r="750" spans="1:5" x14ac:dyDescent="0.15">
      <c r="A750" s="66" t="s">
        <v>1629</v>
      </c>
      <c r="B750" s="66" t="s">
        <v>1630</v>
      </c>
      <c r="C750" s="66" t="s">
        <v>433</v>
      </c>
      <c r="D750" s="66" t="str">
        <f t="shared" si="22"/>
        <v>0761</v>
      </c>
      <c r="E750" s="66">
        <f t="shared" si="23"/>
        <v>1</v>
      </c>
    </row>
    <row r="751" spans="1:5" x14ac:dyDescent="0.15">
      <c r="A751" s="66" t="s">
        <v>1631</v>
      </c>
      <c r="B751" s="66" t="s">
        <v>1632</v>
      </c>
      <c r="C751" s="66" t="s">
        <v>133</v>
      </c>
      <c r="D751" s="66" t="str">
        <f t="shared" si="22"/>
        <v>0762</v>
      </c>
      <c r="E751" s="66">
        <f t="shared" si="23"/>
        <v>1</v>
      </c>
    </row>
    <row r="752" spans="1:5" x14ac:dyDescent="0.15">
      <c r="A752" s="66" t="s">
        <v>1633</v>
      </c>
      <c r="B752" s="66" t="s">
        <v>1634</v>
      </c>
      <c r="C752" s="66" t="s">
        <v>133</v>
      </c>
      <c r="D752" s="66" t="str">
        <f t="shared" si="22"/>
        <v>0763</v>
      </c>
      <c r="E752" s="66">
        <f t="shared" si="23"/>
        <v>1</v>
      </c>
    </row>
    <row r="753" spans="1:5" x14ac:dyDescent="0.15">
      <c r="A753" s="66" t="s">
        <v>1635</v>
      </c>
      <c r="B753" s="66" t="s">
        <v>1636</v>
      </c>
      <c r="C753" s="66" t="s">
        <v>133</v>
      </c>
      <c r="D753" s="66" t="str">
        <f t="shared" si="22"/>
        <v>0764</v>
      </c>
      <c r="E753" s="66">
        <f t="shared" si="23"/>
        <v>1</v>
      </c>
    </row>
    <row r="754" spans="1:5" x14ac:dyDescent="0.15">
      <c r="A754" s="66" t="s">
        <v>1637</v>
      </c>
      <c r="B754" s="66" t="s">
        <v>1638</v>
      </c>
      <c r="C754" s="66" t="s">
        <v>71</v>
      </c>
      <c r="D754" s="66" t="str">
        <f t="shared" si="22"/>
        <v>0765</v>
      </c>
      <c r="E754" s="66">
        <f t="shared" si="23"/>
        <v>1</v>
      </c>
    </row>
    <row r="755" spans="1:5" x14ac:dyDescent="0.15">
      <c r="A755" s="66" t="s">
        <v>1639</v>
      </c>
      <c r="B755" s="66" t="s">
        <v>1640</v>
      </c>
      <c r="C755" s="66" t="s">
        <v>86</v>
      </c>
      <c r="D755" s="66" t="str">
        <f t="shared" si="22"/>
        <v>0766</v>
      </c>
      <c r="E755" s="66">
        <f t="shared" si="23"/>
        <v>1</v>
      </c>
    </row>
    <row r="756" spans="1:5" x14ac:dyDescent="0.15">
      <c r="A756" s="66" t="s">
        <v>1641</v>
      </c>
      <c r="B756" s="66" t="s">
        <v>1642</v>
      </c>
      <c r="C756" s="66" t="s">
        <v>86</v>
      </c>
      <c r="D756" s="66" t="str">
        <f t="shared" si="22"/>
        <v>0767</v>
      </c>
      <c r="E756" s="66">
        <f t="shared" si="23"/>
        <v>1</v>
      </c>
    </row>
    <row r="757" spans="1:5" x14ac:dyDescent="0.15">
      <c r="A757" s="66" t="s">
        <v>1643</v>
      </c>
      <c r="B757" s="66" t="s">
        <v>1644</v>
      </c>
      <c r="C757" s="66" t="s">
        <v>86</v>
      </c>
      <c r="D757" s="66" t="str">
        <f t="shared" si="22"/>
        <v>0768</v>
      </c>
      <c r="E757" s="66">
        <f t="shared" si="23"/>
        <v>1</v>
      </c>
    </row>
    <row r="758" spans="1:5" x14ac:dyDescent="0.15">
      <c r="A758" s="66" t="s">
        <v>1645</v>
      </c>
      <c r="B758" s="66" t="s">
        <v>1646</v>
      </c>
      <c r="C758" s="66" t="s">
        <v>140</v>
      </c>
      <c r="D758" s="66" t="str">
        <f t="shared" si="22"/>
        <v>0769</v>
      </c>
      <c r="E758" s="66">
        <f t="shared" si="23"/>
        <v>1</v>
      </c>
    </row>
    <row r="759" spans="1:5" x14ac:dyDescent="0.15">
      <c r="A759" s="66" t="s">
        <v>1647</v>
      </c>
      <c r="B759" s="66" t="s">
        <v>1648</v>
      </c>
      <c r="C759" s="66" t="s">
        <v>101</v>
      </c>
      <c r="D759" s="66" t="str">
        <f t="shared" si="22"/>
        <v>0770</v>
      </c>
      <c r="E759" s="66">
        <f t="shared" si="23"/>
        <v>2</v>
      </c>
    </row>
    <row r="760" spans="1:5" x14ac:dyDescent="0.15">
      <c r="A760" s="66" t="s">
        <v>1649</v>
      </c>
      <c r="B760" s="66" t="s">
        <v>1650</v>
      </c>
      <c r="C760" s="66" t="s">
        <v>359</v>
      </c>
      <c r="D760" s="66" t="str">
        <f t="shared" si="22"/>
        <v>0771</v>
      </c>
      <c r="E760" s="66">
        <f t="shared" si="23"/>
        <v>1</v>
      </c>
    </row>
    <row r="761" spans="1:5" x14ac:dyDescent="0.15">
      <c r="A761" s="66" t="s">
        <v>1651</v>
      </c>
      <c r="B761" s="66" t="s">
        <v>285</v>
      </c>
      <c r="C761" s="66" t="s">
        <v>133</v>
      </c>
      <c r="D761" s="66" t="str">
        <f t="shared" si="22"/>
        <v>0772</v>
      </c>
      <c r="E761" s="66">
        <f t="shared" si="23"/>
        <v>2</v>
      </c>
    </row>
    <row r="762" spans="1:5" x14ac:dyDescent="0.15">
      <c r="A762" s="66" t="s">
        <v>1652</v>
      </c>
      <c r="B762" s="66" t="s">
        <v>1653</v>
      </c>
      <c r="C762" s="66" t="s">
        <v>133</v>
      </c>
      <c r="D762" s="66" t="str">
        <f t="shared" si="22"/>
        <v>0773</v>
      </c>
      <c r="E762" s="66">
        <f t="shared" si="23"/>
        <v>1</v>
      </c>
    </row>
    <row r="763" spans="1:5" x14ac:dyDescent="0.15">
      <c r="A763" s="66" t="s">
        <v>1654</v>
      </c>
      <c r="B763" s="66" t="s">
        <v>1655</v>
      </c>
      <c r="C763" s="66" t="s">
        <v>133</v>
      </c>
      <c r="D763" s="66" t="str">
        <f t="shared" si="22"/>
        <v>0774</v>
      </c>
      <c r="E763" s="66">
        <f t="shared" si="23"/>
        <v>1</v>
      </c>
    </row>
    <row r="764" spans="1:5" x14ac:dyDescent="0.15">
      <c r="A764" s="66" t="s">
        <v>1656</v>
      </c>
      <c r="B764" s="66" t="s">
        <v>1657</v>
      </c>
      <c r="C764" s="66" t="s">
        <v>268</v>
      </c>
      <c r="D764" s="66" t="str">
        <f t="shared" si="22"/>
        <v>0775</v>
      </c>
      <c r="E764" s="66">
        <f t="shared" si="23"/>
        <v>1</v>
      </c>
    </row>
    <row r="765" spans="1:5" x14ac:dyDescent="0.15">
      <c r="A765" s="66" t="s">
        <v>1658</v>
      </c>
      <c r="B765" s="66" t="s">
        <v>1659</v>
      </c>
      <c r="C765" s="66" t="s">
        <v>133</v>
      </c>
      <c r="D765" s="66" t="str">
        <f t="shared" si="22"/>
        <v>0776</v>
      </c>
      <c r="E765" s="66">
        <f t="shared" si="23"/>
        <v>1</v>
      </c>
    </row>
    <row r="766" spans="1:5" x14ac:dyDescent="0.15">
      <c r="A766" s="66" t="s">
        <v>1660</v>
      </c>
      <c r="B766" s="66" t="s">
        <v>1661</v>
      </c>
      <c r="C766" s="66" t="s">
        <v>140</v>
      </c>
      <c r="D766" s="66" t="str">
        <f t="shared" si="22"/>
        <v>0777</v>
      </c>
      <c r="E766" s="66">
        <f t="shared" si="23"/>
        <v>1</v>
      </c>
    </row>
    <row r="767" spans="1:5" x14ac:dyDescent="0.15">
      <c r="A767" s="66" t="s">
        <v>1662</v>
      </c>
      <c r="B767" s="66" t="s">
        <v>1663</v>
      </c>
      <c r="C767" s="66" t="s">
        <v>101</v>
      </c>
      <c r="D767" s="66" t="str">
        <f t="shared" si="22"/>
        <v>0778</v>
      </c>
      <c r="E767" s="66">
        <f t="shared" si="23"/>
        <v>1</v>
      </c>
    </row>
    <row r="768" spans="1:5" x14ac:dyDescent="0.15">
      <c r="A768" s="66" t="s">
        <v>1664</v>
      </c>
      <c r="B768" s="66" t="s">
        <v>1665</v>
      </c>
      <c r="C768" s="66" t="s">
        <v>140</v>
      </c>
      <c r="D768" s="66" t="str">
        <f t="shared" si="22"/>
        <v>0779</v>
      </c>
      <c r="E768" s="66">
        <f t="shared" si="23"/>
        <v>1</v>
      </c>
    </row>
    <row r="769" spans="1:5" x14ac:dyDescent="0.15">
      <c r="A769" s="66" t="s">
        <v>1666</v>
      </c>
      <c r="B769" s="66" t="s">
        <v>1667</v>
      </c>
      <c r="C769" s="66" t="s">
        <v>140</v>
      </c>
      <c r="D769" s="66" t="str">
        <f t="shared" si="22"/>
        <v>0780</v>
      </c>
      <c r="E769" s="66">
        <f t="shared" si="23"/>
        <v>1</v>
      </c>
    </row>
    <row r="770" spans="1:5" x14ac:dyDescent="0.15">
      <c r="A770" s="66" t="s">
        <v>1668</v>
      </c>
      <c r="B770" s="66" t="s">
        <v>1669</v>
      </c>
      <c r="C770" s="66" t="s">
        <v>140</v>
      </c>
      <c r="D770" s="66" t="str">
        <f t="shared" ref="D770:D833" si="24">A770</f>
        <v>0781</v>
      </c>
      <c r="E770" s="66">
        <f t="shared" ref="E770:E833" si="25">COUNTIFS(B:B,B770)</f>
        <v>1</v>
      </c>
    </row>
    <row r="771" spans="1:5" x14ac:dyDescent="0.15">
      <c r="A771" s="66" t="s">
        <v>1670</v>
      </c>
      <c r="B771" s="66" t="s">
        <v>1671</v>
      </c>
      <c r="C771" s="66" t="s">
        <v>140</v>
      </c>
      <c r="D771" s="66" t="str">
        <f t="shared" si="24"/>
        <v>0782</v>
      </c>
      <c r="E771" s="66">
        <f t="shared" si="25"/>
        <v>1</v>
      </c>
    </row>
    <row r="772" spans="1:5" x14ac:dyDescent="0.15">
      <c r="A772" s="66" t="s">
        <v>1672</v>
      </c>
      <c r="B772" s="66" t="s">
        <v>1673</v>
      </c>
      <c r="C772" s="66" t="s">
        <v>140</v>
      </c>
      <c r="D772" s="66" t="str">
        <f t="shared" si="24"/>
        <v>0783</v>
      </c>
      <c r="E772" s="66">
        <f t="shared" si="25"/>
        <v>1</v>
      </c>
    </row>
    <row r="773" spans="1:5" x14ac:dyDescent="0.15">
      <c r="A773" s="66" t="s">
        <v>1674</v>
      </c>
      <c r="B773" s="66" t="s">
        <v>1675</v>
      </c>
      <c r="C773" s="66" t="s">
        <v>140</v>
      </c>
      <c r="D773" s="66" t="str">
        <f t="shared" si="24"/>
        <v>0784</v>
      </c>
      <c r="E773" s="66">
        <f t="shared" si="25"/>
        <v>1</v>
      </c>
    </row>
    <row r="774" spans="1:5" x14ac:dyDescent="0.15">
      <c r="A774" s="66" t="s">
        <v>1676</v>
      </c>
      <c r="B774" s="66" t="s">
        <v>1677</v>
      </c>
      <c r="C774" s="66" t="s">
        <v>133</v>
      </c>
      <c r="D774" s="66" t="str">
        <f t="shared" si="24"/>
        <v>0785</v>
      </c>
      <c r="E774" s="66">
        <f t="shared" si="25"/>
        <v>1</v>
      </c>
    </row>
    <row r="775" spans="1:5" x14ac:dyDescent="0.15">
      <c r="A775" s="66" t="s">
        <v>1678</v>
      </c>
      <c r="B775" s="66" t="s">
        <v>1679</v>
      </c>
      <c r="C775" s="66" t="s">
        <v>101</v>
      </c>
      <c r="D775" s="66" t="str">
        <f t="shared" si="24"/>
        <v>0786</v>
      </c>
      <c r="E775" s="66">
        <f t="shared" si="25"/>
        <v>1</v>
      </c>
    </row>
    <row r="776" spans="1:5" x14ac:dyDescent="0.15">
      <c r="A776" s="66" t="s">
        <v>1680</v>
      </c>
      <c r="B776" s="66" t="s">
        <v>1681</v>
      </c>
      <c r="C776" s="66" t="s">
        <v>133</v>
      </c>
      <c r="D776" s="66" t="str">
        <f t="shared" si="24"/>
        <v>0787</v>
      </c>
      <c r="E776" s="66">
        <f t="shared" si="25"/>
        <v>1</v>
      </c>
    </row>
    <row r="777" spans="1:5" x14ac:dyDescent="0.15">
      <c r="A777" s="66" t="s">
        <v>1682</v>
      </c>
      <c r="B777" s="66" t="s">
        <v>1683</v>
      </c>
      <c r="C777" s="66" t="s">
        <v>75</v>
      </c>
      <c r="D777" s="66" t="str">
        <f t="shared" si="24"/>
        <v>0788</v>
      </c>
      <c r="E777" s="66">
        <f t="shared" si="25"/>
        <v>1</v>
      </c>
    </row>
    <row r="778" spans="1:5" x14ac:dyDescent="0.15">
      <c r="A778" s="66" t="s">
        <v>1684</v>
      </c>
      <c r="B778" s="66" t="s">
        <v>1685</v>
      </c>
      <c r="C778" s="66" t="s">
        <v>133</v>
      </c>
      <c r="D778" s="66" t="str">
        <f t="shared" si="24"/>
        <v>0789</v>
      </c>
      <c r="E778" s="66">
        <f t="shared" si="25"/>
        <v>1</v>
      </c>
    </row>
    <row r="779" spans="1:5" x14ac:dyDescent="0.15">
      <c r="A779" s="66" t="s">
        <v>1686</v>
      </c>
      <c r="B779" s="66" t="s">
        <v>1687</v>
      </c>
      <c r="C779" s="66" t="s">
        <v>86</v>
      </c>
      <c r="D779" s="66" t="str">
        <f t="shared" si="24"/>
        <v>0790</v>
      </c>
      <c r="E779" s="66">
        <f t="shared" si="25"/>
        <v>1</v>
      </c>
    </row>
    <row r="780" spans="1:5" x14ac:dyDescent="0.15">
      <c r="A780" s="66" t="s">
        <v>1688</v>
      </c>
      <c r="B780" s="66" t="s">
        <v>1380</v>
      </c>
      <c r="C780" s="66" t="s">
        <v>101</v>
      </c>
      <c r="D780" s="66" t="str">
        <f t="shared" si="24"/>
        <v>0791</v>
      </c>
      <c r="E780" s="66">
        <f t="shared" si="25"/>
        <v>2</v>
      </c>
    </row>
    <row r="781" spans="1:5" x14ac:dyDescent="0.15">
      <c r="A781" s="66" t="s">
        <v>1689</v>
      </c>
      <c r="B781" s="66" t="s">
        <v>1690</v>
      </c>
      <c r="C781" s="66" t="s">
        <v>133</v>
      </c>
      <c r="D781" s="66" t="str">
        <f t="shared" si="24"/>
        <v>0792</v>
      </c>
      <c r="E781" s="66">
        <f t="shared" si="25"/>
        <v>1</v>
      </c>
    </row>
    <row r="782" spans="1:5" x14ac:dyDescent="0.15">
      <c r="A782" s="66" t="s">
        <v>1691</v>
      </c>
      <c r="B782" s="66" t="s">
        <v>1692</v>
      </c>
      <c r="C782" s="66" t="s">
        <v>133</v>
      </c>
      <c r="D782" s="66" t="str">
        <f t="shared" si="24"/>
        <v>0793</v>
      </c>
      <c r="E782" s="66">
        <f t="shared" si="25"/>
        <v>1</v>
      </c>
    </row>
    <row r="783" spans="1:5" x14ac:dyDescent="0.15">
      <c r="A783" s="66" t="s">
        <v>1693</v>
      </c>
      <c r="B783" s="66" t="s">
        <v>1694</v>
      </c>
      <c r="C783" s="66" t="s">
        <v>133</v>
      </c>
      <c r="D783" s="66" t="str">
        <f t="shared" si="24"/>
        <v>0794</v>
      </c>
      <c r="E783" s="66">
        <f t="shared" si="25"/>
        <v>1</v>
      </c>
    </row>
    <row r="784" spans="1:5" x14ac:dyDescent="0.15">
      <c r="A784" s="66" t="s">
        <v>1695</v>
      </c>
      <c r="B784" s="66" t="s">
        <v>1696</v>
      </c>
      <c r="C784" s="66" t="s">
        <v>86</v>
      </c>
      <c r="D784" s="66" t="str">
        <f t="shared" si="24"/>
        <v>0795</v>
      </c>
      <c r="E784" s="66">
        <f t="shared" si="25"/>
        <v>1</v>
      </c>
    </row>
    <row r="785" spans="1:5" x14ac:dyDescent="0.15">
      <c r="A785" s="66" t="s">
        <v>1697</v>
      </c>
      <c r="B785" s="66" t="s">
        <v>1698</v>
      </c>
      <c r="C785" s="66" t="s">
        <v>133</v>
      </c>
      <c r="D785" s="66" t="str">
        <f t="shared" si="24"/>
        <v>0796</v>
      </c>
      <c r="E785" s="66">
        <f t="shared" si="25"/>
        <v>1</v>
      </c>
    </row>
    <row r="786" spans="1:5" x14ac:dyDescent="0.15">
      <c r="A786" s="66" t="s">
        <v>1699</v>
      </c>
      <c r="B786" s="66" t="s">
        <v>1700</v>
      </c>
      <c r="C786" s="66" t="s">
        <v>133</v>
      </c>
      <c r="D786" s="66" t="str">
        <f t="shared" si="24"/>
        <v>0797</v>
      </c>
      <c r="E786" s="66">
        <f t="shared" si="25"/>
        <v>1</v>
      </c>
    </row>
    <row r="787" spans="1:5" x14ac:dyDescent="0.15">
      <c r="A787" s="66" t="s">
        <v>1701</v>
      </c>
      <c r="B787" s="66" t="s">
        <v>1702</v>
      </c>
      <c r="C787" s="66" t="s">
        <v>133</v>
      </c>
      <c r="D787" s="66" t="str">
        <f t="shared" si="24"/>
        <v>0798</v>
      </c>
      <c r="E787" s="66">
        <f t="shared" si="25"/>
        <v>1</v>
      </c>
    </row>
    <row r="788" spans="1:5" x14ac:dyDescent="0.15">
      <c r="A788" s="66" t="s">
        <v>1703</v>
      </c>
      <c r="B788" s="66" t="s">
        <v>1704</v>
      </c>
      <c r="C788" s="66" t="s">
        <v>86</v>
      </c>
      <c r="D788" s="66" t="str">
        <f t="shared" si="24"/>
        <v>0799</v>
      </c>
      <c r="E788" s="66">
        <f t="shared" si="25"/>
        <v>1</v>
      </c>
    </row>
    <row r="789" spans="1:5" x14ac:dyDescent="0.15">
      <c r="A789" s="66" t="s">
        <v>1705</v>
      </c>
      <c r="B789" s="66" t="s">
        <v>1706</v>
      </c>
      <c r="C789" s="66" t="s">
        <v>86</v>
      </c>
      <c r="D789" s="66" t="str">
        <f t="shared" si="24"/>
        <v>0800</v>
      </c>
      <c r="E789" s="66">
        <f t="shared" si="25"/>
        <v>1</v>
      </c>
    </row>
    <row r="790" spans="1:5" x14ac:dyDescent="0.15">
      <c r="A790" s="66" t="s">
        <v>1707</v>
      </c>
      <c r="B790" s="66" t="s">
        <v>1708</v>
      </c>
      <c r="C790" s="66" t="s">
        <v>133</v>
      </c>
      <c r="D790" s="66" t="str">
        <f t="shared" si="24"/>
        <v>0801</v>
      </c>
      <c r="E790" s="66">
        <f t="shared" si="25"/>
        <v>1</v>
      </c>
    </row>
    <row r="791" spans="1:5" x14ac:dyDescent="0.15">
      <c r="A791" s="66" t="s">
        <v>1709</v>
      </c>
      <c r="B791" s="66" t="s">
        <v>1710</v>
      </c>
      <c r="C791" s="66" t="s">
        <v>140</v>
      </c>
      <c r="D791" s="66" t="str">
        <f t="shared" si="24"/>
        <v>0802</v>
      </c>
      <c r="E791" s="66">
        <f t="shared" si="25"/>
        <v>1</v>
      </c>
    </row>
    <row r="792" spans="1:5" x14ac:dyDescent="0.15">
      <c r="A792" s="66" t="s">
        <v>1711</v>
      </c>
      <c r="B792" s="66" t="s">
        <v>1712</v>
      </c>
      <c r="C792" s="66" t="s">
        <v>245</v>
      </c>
      <c r="D792" s="66" t="str">
        <f t="shared" si="24"/>
        <v>0803</v>
      </c>
      <c r="E792" s="66">
        <f t="shared" si="25"/>
        <v>1</v>
      </c>
    </row>
    <row r="793" spans="1:5" x14ac:dyDescent="0.15">
      <c r="A793" s="66" t="s">
        <v>1713</v>
      </c>
      <c r="B793" s="66" t="s">
        <v>1714</v>
      </c>
      <c r="C793" s="66" t="s">
        <v>245</v>
      </c>
      <c r="D793" s="66" t="str">
        <f t="shared" si="24"/>
        <v>0804</v>
      </c>
      <c r="E793" s="66">
        <f t="shared" si="25"/>
        <v>1</v>
      </c>
    </row>
    <row r="794" spans="1:5" x14ac:dyDescent="0.15">
      <c r="A794" s="66" t="s">
        <v>1715</v>
      </c>
      <c r="B794" s="66" t="s">
        <v>1716</v>
      </c>
      <c r="C794" s="66" t="s">
        <v>245</v>
      </c>
      <c r="D794" s="66" t="str">
        <f t="shared" si="24"/>
        <v>0805</v>
      </c>
      <c r="E794" s="66">
        <f t="shared" si="25"/>
        <v>1</v>
      </c>
    </row>
    <row r="795" spans="1:5" x14ac:dyDescent="0.15">
      <c r="A795" s="66" t="s">
        <v>1717</v>
      </c>
      <c r="B795" s="66" t="s">
        <v>1718</v>
      </c>
      <c r="C795" s="66" t="s">
        <v>245</v>
      </c>
      <c r="D795" s="66" t="str">
        <f t="shared" si="24"/>
        <v>0806</v>
      </c>
      <c r="E795" s="66">
        <f t="shared" si="25"/>
        <v>1</v>
      </c>
    </row>
    <row r="796" spans="1:5" x14ac:dyDescent="0.15">
      <c r="A796" s="66" t="s">
        <v>1719</v>
      </c>
      <c r="B796" s="66" t="s">
        <v>1720</v>
      </c>
      <c r="C796" s="66" t="s">
        <v>86</v>
      </c>
      <c r="D796" s="66" t="str">
        <f t="shared" si="24"/>
        <v>0807</v>
      </c>
      <c r="E796" s="66">
        <f t="shared" si="25"/>
        <v>1</v>
      </c>
    </row>
    <row r="797" spans="1:5" x14ac:dyDescent="0.15">
      <c r="A797" s="66" t="s">
        <v>1721</v>
      </c>
      <c r="B797" s="66" t="s">
        <v>1722</v>
      </c>
      <c r="C797" s="66" t="s">
        <v>71</v>
      </c>
      <c r="D797" s="66" t="str">
        <f t="shared" si="24"/>
        <v>0808</v>
      </c>
      <c r="E797" s="66">
        <f t="shared" si="25"/>
        <v>1</v>
      </c>
    </row>
    <row r="798" spans="1:5" x14ac:dyDescent="0.15">
      <c r="A798" s="66" t="s">
        <v>1723</v>
      </c>
      <c r="B798" s="66" t="s">
        <v>1724</v>
      </c>
      <c r="C798" s="66" t="s">
        <v>71</v>
      </c>
      <c r="D798" s="66" t="str">
        <f t="shared" si="24"/>
        <v>0809</v>
      </c>
      <c r="E798" s="66">
        <f t="shared" si="25"/>
        <v>1</v>
      </c>
    </row>
    <row r="799" spans="1:5" x14ac:dyDescent="0.15">
      <c r="A799" s="66" t="s">
        <v>1725</v>
      </c>
      <c r="B799" s="66" t="s">
        <v>1726</v>
      </c>
      <c r="C799" s="66" t="s">
        <v>71</v>
      </c>
      <c r="D799" s="66" t="str">
        <f t="shared" si="24"/>
        <v>0810</v>
      </c>
      <c r="E799" s="66">
        <f t="shared" si="25"/>
        <v>1</v>
      </c>
    </row>
    <row r="800" spans="1:5" x14ac:dyDescent="0.15">
      <c r="A800" s="66" t="s">
        <v>1727</v>
      </c>
      <c r="B800" s="66" t="s">
        <v>1728</v>
      </c>
      <c r="C800" s="66" t="s">
        <v>340</v>
      </c>
      <c r="D800" s="66" t="str">
        <f t="shared" si="24"/>
        <v>0811</v>
      </c>
      <c r="E800" s="66">
        <f t="shared" si="25"/>
        <v>1</v>
      </c>
    </row>
    <row r="801" spans="1:5" x14ac:dyDescent="0.15">
      <c r="A801" s="66" t="s">
        <v>1729</v>
      </c>
      <c r="B801" s="66" t="s">
        <v>1730</v>
      </c>
      <c r="C801" s="66" t="s">
        <v>340</v>
      </c>
      <c r="D801" s="66" t="str">
        <f t="shared" si="24"/>
        <v>0812</v>
      </c>
      <c r="E801" s="66">
        <f t="shared" si="25"/>
        <v>1</v>
      </c>
    </row>
    <row r="802" spans="1:5" x14ac:dyDescent="0.15">
      <c r="A802" s="66" t="s">
        <v>1731</v>
      </c>
      <c r="B802" s="66" t="s">
        <v>1732</v>
      </c>
      <c r="C802" s="66" t="s">
        <v>340</v>
      </c>
      <c r="D802" s="66" t="str">
        <f t="shared" si="24"/>
        <v>0813</v>
      </c>
      <c r="E802" s="66">
        <f t="shared" si="25"/>
        <v>1</v>
      </c>
    </row>
    <row r="803" spans="1:5" x14ac:dyDescent="0.15">
      <c r="A803" s="66" t="s">
        <v>1733</v>
      </c>
      <c r="B803" s="66" t="s">
        <v>1734</v>
      </c>
      <c r="C803" s="66" t="s">
        <v>340</v>
      </c>
      <c r="D803" s="66" t="str">
        <f t="shared" si="24"/>
        <v>0814</v>
      </c>
      <c r="E803" s="66">
        <f t="shared" si="25"/>
        <v>1</v>
      </c>
    </row>
    <row r="804" spans="1:5" x14ac:dyDescent="0.15">
      <c r="A804" s="66" t="s">
        <v>1735</v>
      </c>
      <c r="B804" s="66" t="s">
        <v>1736</v>
      </c>
      <c r="C804" s="66" t="s">
        <v>75</v>
      </c>
      <c r="D804" s="66" t="str">
        <f t="shared" si="24"/>
        <v>0815</v>
      </c>
      <c r="E804" s="66">
        <f t="shared" si="25"/>
        <v>1</v>
      </c>
    </row>
    <row r="805" spans="1:5" x14ac:dyDescent="0.15">
      <c r="A805" s="66" t="s">
        <v>1737</v>
      </c>
      <c r="B805" s="66" t="s">
        <v>1738</v>
      </c>
      <c r="C805" s="66" t="s">
        <v>75</v>
      </c>
      <c r="D805" s="66" t="str">
        <f t="shared" si="24"/>
        <v>0816</v>
      </c>
      <c r="E805" s="66">
        <f t="shared" si="25"/>
        <v>1</v>
      </c>
    </row>
    <row r="806" spans="1:5" x14ac:dyDescent="0.15">
      <c r="A806" s="66" t="s">
        <v>1739</v>
      </c>
      <c r="B806" s="66" t="s">
        <v>1740</v>
      </c>
      <c r="C806" s="66" t="s">
        <v>75</v>
      </c>
      <c r="D806" s="66" t="str">
        <f t="shared" si="24"/>
        <v>0817</v>
      </c>
      <c r="E806" s="66">
        <f t="shared" si="25"/>
        <v>1</v>
      </c>
    </row>
    <row r="807" spans="1:5" x14ac:dyDescent="0.15">
      <c r="A807" s="66" t="s">
        <v>1741</v>
      </c>
      <c r="B807" s="66" t="s">
        <v>1742</v>
      </c>
      <c r="C807" s="66" t="s">
        <v>75</v>
      </c>
      <c r="D807" s="66" t="str">
        <f t="shared" si="24"/>
        <v>0818</v>
      </c>
      <c r="E807" s="66">
        <f t="shared" si="25"/>
        <v>1</v>
      </c>
    </row>
    <row r="808" spans="1:5" x14ac:dyDescent="0.15">
      <c r="A808" s="66" t="s">
        <v>1743</v>
      </c>
      <c r="B808" s="66" t="s">
        <v>1744</v>
      </c>
      <c r="C808" s="66" t="s">
        <v>75</v>
      </c>
      <c r="D808" s="66" t="str">
        <f t="shared" si="24"/>
        <v>0819</v>
      </c>
      <c r="E808" s="66">
        <f t="shared" si="25"/>
        <v>1</v>
      </c>
    </row>
    <row r="809" spans="1:5" x14ac:dyDescent="0.15">
      <c r="A809" s="66" t="s">
        <v>1745</v>
      </c>
      <c r="B809" s="66" t="s">
        <v>1746</v>
      </c>
      <c r="C809" s="66" t="s">
        <v>75</v>
      </c>
      <c r="D809" s="66" t="str">
        <f t="shared" si="24"/>
        <v>0820</v>
      </c>
      <c r="E809" s="66">
        <f t="shared" si="25"/>
        <v>1</v>
      </c>
    </row>
    <row r="810" spans="1:5" x14ac:dyDescent="0.15">
      <c r="A810" s="66" t="s">
        <v>1747</v>
      </c>
      <c r="B810" s="66" t="s">
        <v>1748</v>
      </c>
      <c r="C810" s="66" t="s">
        <v>133</v>
      </c>
      <c r="D810" s="66" t="str">
        <f t="shared" si="24"/>
        <v>0821</v>
      </c>
      <c r="E810" s="66">
        <f t="shared" si="25"/>
        <v>1</v>
      </c>
    </row>
    <row r="811" spans="1:5" x14ac:dyDescent="0.15">
      <c r="A811" s="66" t="s">
        <v>1749</v>
      </c>
      <c r="B811" s="66" t="s">
        <v>1750</v>
      </c>
      <c r="C811" s="66" t="s">
        <v>133</v>
      </c>
      <c r="D811" s="66" t="str">
        <f t="shared" si="24"/>
        <v>0822</v>
      </c>
      <c r="E811" s="66">
        <f t="shared" si="25"/>
        <v>1</v>
      </c>
    </row>
    <row r="812" spans="1:5" x14ac:dyDescent="0.15">
      <c r="A812" s="66" t="s">
        <v>1751</v>
      </c>
      <c r="B812" s="66" t="s">
        <v>1752</v>
      </c>
      <c r="C812" s="66" t="s">
        <v>101</v>
      </c>
      <c r="D812" s="66" t="str">
        <f t="shared" si="24"/>
        <v>0823</v>
      </c>
      <c r="E812" s="66">
        <f t="shared" si="25"/>
        <v>1</v>
      </c>
    </row>
    <row r="813" spans="1:5" x14ac:dyDescent="0.15">
      <c r="A813" s="66" t="s">
        <v>1753</v>
      </c>
      <c r="B813" s="66" t="s">
        <v>1754</v>
      </c>
      <c r="C813" s="66" t="s">
        <v>140</v>
      </c>
      <c r="D813" s="66" t="str">
        <f t="shared" si="24"/>
        <v>0824</v>
      </c>
      <c r="E813" s="66">
        <f t="shared" si="25"/>
        <v>1</v>
      </c>
    </row>
    <row r="814" spans="1:5" x14ac:dyDescent="0.15">
      <c r="A814" s="66" t="s">
        <v>1755</v>
      </c>
      <c r="B814" s="66" t="s">
        <v>1756</v>
      </c>
      <c r="C814" s="66" t="s">
        <v>133</v>
      </c>
      <c r="D814" s="66" t="str">
        <f t="shared" si="24"/>
        <v>0825</v>
      </c>
      <c r="E814" s="66">
        <f t="shared" si="25"/>
        <v>1</v>
      </c>
    </row>
    <row r="815" spans="1:5" x14ac:dyDescent="0.15">
      <c r="A815" s="66" t="s">
        <v>1757</v>
      </c>
      <c r="B815" s="66" t="s">
        <v>1758</v>
      </c>
      <c r="C815" s="66" t="s">
        <v>133</v>
      </c>
      <c r="D815" s="66" t="str">
        <f t="shared" si="24"/>
        <v>0826</v>
      </c>
      <c r="E815" s="66">
        <f t="shared" si="25"/>
        <v>1</v>
      </c>
    </row>
    <row r="816" spans="1:5" x14ac:dyDescent="0.15">
      <c r="A816" s="66" t="s">
        <v>1759</v>
      </c>
      <c r="B816" s="66" t="s">
        <v>1760</v>
      </c>
      <c r="C816" s="66" t="s">
        <v>71</v>
      </c>
      <c r="D816" s="66" t="str">
        <f t="shared" si="24"/>
        <v>0827</v>
      </c>
      <c r="E816" s="66">
        <f t="shared" si="25"/>
        <v>1</v>
      </c>
    </row>
    <row r="817" spans="1:5" x14ac:dyDescent="0.15">
      <c r="A817" s="66" t="s">
        <v>1761</v>
      </c>
      <c r="B817" s="66" t="s">
        <v>1762</v>
      </c>
      <c r="C817" s="66" t="s">
        <v>71</v>
      </c>
      <c r="D817" s="66" t="str">
        <f t="shared" si="24"/>
        <v>0828</v>
      </c>
      <c r="E817" s="66">
        <f t="shared" si="25"/>
        <v>1</v>
      </c>
    </row>
    <row r="818" spans="1:5" x14ac:dyDescent="0.15">
      <c r="A818" s="66" t="s">
        <v>1763</v>
      </c>
      <c r="B818" s="66" t="s">
        <v>1764</v>
      </c>
      <c r="C818" s="66" t="s">
        <v>133</v>
      </c>
      <c r="D818" s="66" t="str">
        <f t="shared" si="24"/>
        <v>0829</v>
      </c>
      <c r="E818" s="66">
        <f t="shared" si="25"/>
        <v>1</v>
      </c>
    </row>
    <row r="819" spans="1:5" x14ac:dyDescent="0.15">
      <c r="A819" s="66" t="s">
        <v>1765</v>
      </c>
      <c r="B819" s="66" t="s">
        <v>1766</v>
      </c>
      <c r="C819" s="66" t="s">
        <v>86</v>
      </c>
      <c r="D819" s="66" t="str">
        <f t="shared" si="24"/>
        <v>0830</v>
      </c>
      <c r="E819" s="66">
        <f t="shared" si="25"/>
        <v>1</v>
      </c>
    </row>
    <row r="820" spans="1:5" x14ac:dyDescent="0.15">
      <c r="A820" s="66" t="s">
        <v>1767</v>
      </c>
      <c r="B820" s="66" t="s">
        <v>1768</v>
      </c>
      <c r="C820" s="66" t="s">
        <v>133</v>
      </c>
      <c r="D820" s="66" t="str">
        <f t="shared" si="24"/>
        <v>0831</v>
      </c>
      <c r="E820" s="66">
        <f t="shared" si="25"/>
        <v>1</v>
      </c>
    </row>
    <row r="821" spans="1:5" x14ac:dyDescent="0.15">
      <c r="A821" s="66" t="s">
        <v>1769</v>
      </c>
      <c r="B821" s="66" t="s">
        <v>1770</v>
      </c>
      <c r="C821" s="66" t="s">
        <v>101</v>
      </c>
      <c r="D821" s="66" t="str">
        <f t="shared" si="24"/>
        <v>0832</v>
      </c>
      <c r="E821" s="66">
        <f t="shared" si="25"/>
        <v>1</v>
      </c>
    </row>
    <row r="822" spans="1:5" x14ac:dyDescent="0.15">
      <c r="A822" s="66" t="s">
        <v>1771</v>
      </c>
      <c r="B822" s="66" t="s">
        <v>1772</v>
      </c>
      <c r="C822" s="66" t="s">
        <v>133</v>
      </c>
      <c r="D822" s="66" t="str">
        <f t="shared" si="24"/>
        <v>0833</v>
      </c>
      <c r="E822" s="66">
        <f t="shared" si="25"/>
        <v>1</v>
      </c>
    </row>
    <row r="823" spans="1:5" x14ac:dyDescent="0.15">
      <c r="A823" s="66" t="s">
        <v>1773</v>
      </c>
      <c r="B823" s="66" t="s">
        <v>1774</v>
      </c>
      <c r="C823" s="66" t="s">
        <v>133</v>
      </c>
      <c r="D823" s="66" t="str">
        <f t="shared" si="24"/>
        <v>0834</v>
      </c>
      <c r="E823" s="66">
        <f t="shared" si="25"/>
        <v>1</v>
      </c>
    </row>
    <row r="824" spans="1:5" x14ac:dyDescent="0.15">
      <c r="A824" s="66" t="s">
        <v>1775</v>
      </c>
      <c r="B824" s="66" t="s">
        <v>1776</v>
      </c>
      <c r="C824" s="66" t="s">
        <v>71</v>
      </c>
      <c r="D824" s="66" t="str">
        <f t="shared" si="24"/>
        <v>0835</v>
      </c>
      <c r="E824" s="66">
        <f t="shared" si="25"/>
        <v>1</v>
      </c>
    </row>
    <row r="825" spans="1:5" x14ac:dyDescent="0.15">
      <c r="A825" s="66" t="s">
        <v>1777</v>
      </c>
      <c r="B825" s="66" t="s">
        <v>1778</v>
      </c>
      <c r="C825" s="66" t="s">
        <v>140</v>
      </c>
      <c r="D825" s="66" t="str">
        <f t="shared" si="24"/>
        <v>0836</v>
      </c>
      <c r="E825" s="66">
        <f t="shared" si="25"/>
        <v>1</v>
      </c>
    </row>
    <row r="826" spans="1:5" x14ac:dyDescent="0.15">
      <c r="A826" s="66" t="s">
        <v>1779</v>
      </c>
      <c r="B826" s="66" t="s">
        <v>1780</v>
      </c>
      <c r="C826" s="66" t="s">
        <v>140</v>
      </c>
      <c r="D826" s="66" t="str">
        <f t="shared" si="24"/>
        <v>0837</v>
      </c>
      <c r="E826" s="66">
        <f t="shared" si="25"/>
        <v>1</v>
      </c>
    </row>
    <row r="827" spans="1:5" x14ac:dyDescent="0.15">
      <c r="A827" s="66" t="s">
        <v>1781</v>
      </c>
      <c r="B827" s="66" t="s">
        <v>1782</v>
      </c>
      <c r="C827" s="66" t="s">
        <v>86</v>
      </c>
      <c r="D827" s="66" t="str">
        <f t="shared" si="24"/>
        <v>0838</v>
      </c>
      <c r="E827" s="66">
        <f t="shared" si="25"/>
        <v>1</v>
      </c>
    </row>
    <row r="828" spans="1:5" x14ac:dyDescent="0.15">
      <c r="A828" s="66" t="s">
        <v>1783</v>
      </c>
      <c r="B828" s="66" t="s">
        <v>1784</v>
      </c>
      <c r="C828" s="66" t="s">
        <v>424</v>
      </c>
      <c r="D828" s="66" t="str">
        <f t="shared" si="24"/>
        <v>0839</v>
      </c>
      <c r="E828" s="66">
        <f t="shared" si="25"/>
        <v>1</v>
      </c>
    </row>
    <row r="829" spans="1:5" x14ac:dyDescent="0.15">
      <c r="A829" s="66" t="s">
        <v>1785</v>
      </c>
      <c r="B829" s="66" t="s">
        <v>1786</v>
      </c>
      <c r="C829" s="66" t="s">
        <v>101</v>
      </c>
      <c r="D829" s="66" t="str">
        <f t="shared" si="24"/>
        <v>0840</v>
      </c>
      <c r="E829" s="66">
        <f t="shared" si="25"/>
        <v>1</v>
      </c>
    </row>
    <row r="830" spans="1:5" x14ac:dyDescent="0.15">
      <c r="A830" s="66" t="s">
        <v>1787</v>
      </c>
      <c r="B830" s="66" t="s">
        <v>1788</v>
      </c>
      <c r="C830" s="66" t="s">
        <v>131</v>
      </c>
      <c r="D830" s="66" t="str">
        <f t="shared" si="24"/>
        <v>0841</v>
      </c>
      <c r="E830" s="66">
        <f t="shared" si="25"/>
        <v>1</v>
      </c>
    </row>
    <row r="831" spans="1:5" x14ac:dyDescent="0.15">
      <c r="A831" s="66" t="s">
        <v>1789</v>
      </c>
      <c r="B831" s="66" t="s">
        <v>1790</v>
      </c>
      <c r="C831" s="66" t="s">
        <v>133</v>
      </c>
      <c r="D831" s="66" t="str">
        <f t="shared" si="24"/>
        <v>0842</v>
      </c>
      <c r="E831" s="66">
        <f t="shared" si="25"/>
        <v>1</v>
      </c>
    </row>
    <row r="832" spans="1:5" x14ac:dyDescent="0.15">
      <c r="A832" s="66" t="s">
        <v>1791</v>
      </c>
      <c r="B832" s="66" t="s">
        <v>1792</v>
      </c>
      <c r="C832" s="66" t="s">
        <v>140</v>
      </c>
      <c r="D832" s="66" t="str">
        <f t="shared" si="24"/>
        <v>0843</v>
      </c>
      <c r="E832" s="66">
        <f t="shared" si="25"/>
        <v>1</v>
      </c>
    </row>
    <row r="833" spans="1:5" x14ac:dyDescent="0.15">
      <c r="A833" s="66" t="s">
        <v>1793</v>
      </c>
      <c r="B833" s="66" t="s">
        <v>1794</v>
      </c>
      <c r="C833" s="66" t="s">
        <v>140</v>
      </c>
      <c r="D833" s="66" t="str">
        <f t="shared" si="24"/>
        <v>0844</v>
      </c>
      <c r="E833" s="66">
        <f t="shared" si="25"/>
        <v>1</v>
      </c>
    </row>
    <row r="834" spans="1:5" x14ac:dyDescent="0.15">
      <c r="A834" s="66" t="s">
        <v>1795</v>
      </c>
      <c r="B834" s="66" t="s">
        <v>1796</v>
      </c>
      <c r="C834" s="66" t="s">
        <v>133</v>
      </c>
      <c r="D834" s="66" t="str">
        <f t="shared" ref="D834:D897" si="26">A834</f>
        <v>0845</v>
      </c>
      <c r="E834" s="66">
        <f t="shared" ref="E834:E897" si="27">COUNTIFS(B:B,B834)</f>
        <v>1</v>
      </c>
    </row>
    <row r="835" spans="1:5" x14ac:dyDescent="0.15">
      <c r="A835" s="66" t="s">
        <v>1797</v>
      </c>
      <c r="B835" s="66" t="s">
        <v>1798</v>
      </c>
      <c r="C835" s="66" t="s">
        <v>71</v>
      </c>
      <c r="D835" s="66" t="str">
        <f t="shared" si="26"/>
        <v>0846</v>
      </c>
      <c r="E835" s="66">
        <f t="shared" si="27"/>
        <v>1</v>
      </c>
    </row>
    <row r="836" spans="1:5" x14ac:dyDescent="0.15">
      <c r="A836" s="66" t="s">
        <v>1799</v>
      </c>
      <c r="B836" s="66" t="s">
        <v>1800</v>
      </c>
      <c r="C836" s="66" t="s">
        <v>340</v>
      </c>
      <c r="D836" s="66" t="str">
        <f t="shared" si="26"/>
        <v>0847</v>
      </c>
      <c r="E836" s="66">
        <f t="shared" si="27"/>
        <v>1</v>
      </c>
    </row>
    <row r="837" spans="1:5" x14ac:dyDescent="0.15">
      <c r="A837" s="66" t="s">
        <v>1801</v>
      </c>
      <c r="B837" s="66" t="s">
        <v>1802</v>
      </c>
      <c r="C837" s="66" t="s">
        <v>140</v>
      </c>
      <c r="D837" s="66" t="str">
        <f t="shared" si="26"/>
        <v>0848</v>
      </c>
      <c r="E837" s="66">
        <f t="shared" si="27"/>
        <v>1</v>
      </c>
    </row>
    <row r="838" spans="1:5" x14ac:dyDescent="0.15">
      <c r="A838" s="66" t="s">
        <v>1803</v>
      </c>
      <c r="B838" s="66" t="s">
        <v>1804</v>
      </c>
      <c r="C838" s="66" t="s">
        <v>133</v>
      </c>
      <c r="D838" s="66" t="str">
        <f t="shared" si="26"/>
        <v>0849</v>
      </c>
      <c r="E838" s="66">
        <f t="shared" si="27"/>
        <v>1</v>
      </c>
    </row>
    <row r="839" spans="1:5" x14ac:dyDescent="0.15">
      <c r="A839" s="66" t="s">
        <v>1805</v>
      </c>
      <c r="B839" s="66" t="s">
        <v>1806</v>
      </c>
      <c r="C839" s="66" t="s">
        <v>245</v>
      </c>
      <c r="D839" s="66" t="str">
        <f t="shared" si="26"/>
        <v>0850</v>
      </c>
      <c r="E839" s="66">
        <f t="shared" si="27"/>
        <v>1</v>
      </c>
    </row>
    <row r="840" spans="1:5" x14ac:dyDescent="0.15">
      <c r="A840" s="66" t="s">
        <v>1807</v>
      </c>
      <c r="B840" s="66" t="s">
        <v>1808</v>
      </c>
      <c r="C840" s="66" t="s">
        <v>86</v>
      </c>
      <c r="D840" s="66" t="str">
        <f t="shared" si="26"/>
        <v>0851</v>
      </c>
      <c r="E840" s="66">
        <f t="shared" si="27"/>
        <v>1</v>
      </c>
    </row>
    <row r="841" spans="1:5" x14ac:dyDescent="0.15">
      <c r="A841" s="66" t="s">
        <v>1809</v>
      </c>
      <c r="B841" s="66" t="s">
        <v>1810</v>
      </c>
      <c r="C841" s="66" t="s">
        <v>133</v>
      </c>
      <c r="D841" s="66" t="str">
        <f t="shared" si="26"/>
        <v>0852</v>
      </c>
      <c r="E841" s="66">
        <f t="shared" si="27"/>
        <v>1</v>
      </c>
    </row>
    <row r="842" spans="1:5" x14ac:dyDescent="0.15">
      <c r="A842" s="66" t="s">
        <v>1811</v>
      </c>
      <c r="B842" s="66" t="s">
        <v>1812</v>
      </c>
      <c r="C842" s="66" t="s">
        <v>245</v>
      </c>
      <c r="D842" s="66" t="str">
        <f t="shared" si="26"/>
        <v>0853</v>
      </c>
      <c r="E842" s="66">
        <f t="shared" si="27"/>
        <v>1</v>
      </c>
    </row>
    <row r="843" spans="1:5" x14ac:dyDescent="0.15">
      <c r="A843" s="66" t="s">
        <v>1813</v>
      </c>
      <c r="B843" s="66" t="s">
        <v>1814</v>
      </c>
      <c r="C843" s="66" t="s">
        <v>133</v>
      </c>
      <c r="D843" s="66" t="str">
        <f t="shared" si="26"/>
        <v>0854</v>
      </c>
      <c r="E843" s="66">
        <f t="shared" si="27"/>
        <v>1</v>
      </c>
    </row>
    <row r="844" spans="1:5" x14ac:dyDescent="0.15">
      <c r="A844" s="66" t="s">
        <v>1815</v>
      </c>
      <c r="B844" s="66" t="s">
        <v>1816</v>
      </c>
      <c r="C844" s="66" t="s">
        <v>86</v>
      </c>
      <c r="D844" s="66" t="str">
        <f t="shared" si="26"/>
        <v>0855</v>
      </c>
      <c r="E844" s="66">
        <f t="shared" si="27"/>
        <v>1</v>
      </c>
    </row>
    <row r="845" spans="1:5" x14ac:dyDescent="0.15">
      <c r="A845" s="66" t="s">
        <v>1817</v>
      </c>
      <c r="B845" s="66" t="s">
        <v>1818</v>
      </c>
      <c r="C845" s="66" t="s">
        <v>133</v>
      </c>
      <c r="D845" s="66" t="str">
        <f t="shared" si="26"/>
        <v>0856</v>
      </c>
      <c r="E845" s="66">
        <f t="shared" si="27"/>
        <v>1</v>
      </c>
    </row>
    <row r="846" spans="1:5" x14ac:dyDescent="0.15">
      <c r="A846" s="66" t="s">
        <v>1819</v>
      </c>
      <c r="B846" s="66" t="s">
        <v>1820</v>
      </c>
      <c r="C846" s="66" t="s">
        <v>131</v>
      </c>
      <c r="D846" s="66" t="str">
        <f t="shared" si="26"/>
        <v>0857</v>
      </c>
      <c r="E846" s="66">
        <f t="shared" si="27"/>
        <v>1</v>
      </c>
    </row>
    <row r="847" spans="1:5" x14ac:dyDescent="0.15">
      <c r="A847" s="66" t="s">
        <v>1821</v>
      </c>
      <c r="B847" s="66" t="s">
        <v>1822</v>
      </c>
      <c r="C847" s="66" t="s">
        <v>86</v>
      </c>
      <c r="D847" s="66" t="str">
        <f t="shared" si="26"/>
        <v>0858</v>
      </c>
      <c r="E847" s="66">
        <f t="shared" si="27"/>
        <v>1</v>
      </c>
    </row>
    <row r="848" spans="1:5" x14ac:dyDescent="0.15">
      <c r="A848" s="66" t="s">
        <v>1823</v>
      </c>
      <c r="B848" s="66" t="s">
        <v>1824</v>
      </c>
      <c r="C848" s="66" t="s">
        <v>245</v>
      </c>
      <c r="D848" s="66" t="str">
        <f t="shared" si="26"/>
        <v>0859</v>
      </c>
      <c r="E848" s="66">
        <f t="shared" si="27"/>
        <v>1</v>
      </c>
    </row>
    <row r="849" spans="1:5" x14ac:dyDescent="0.15">
      <c r="A849" s="66" t="s">
        <v>1825</v>
      </c>
      <c r="B849" s="66" t="s">
        <v>1826</v>
      </c>
      <c r="C849" s="66" t="s">
        <v>133</v>
      </c>
      <c r="D849" s="66" t="str">
        <f t="shared" si="26"/>
        <v>0860</v>
      </c>
      <c r="E849" s="66">
        <f t="shared" si="27"/>
        <v>1</v>
      </c>
    </row>
    <row r="850" spans="1:5" x14ac:dyDescent="0.15">
      <c r="A850" s="66" t="s">
        <v>1827</v>
      </c>
      <c r="B850" s="66" t="s">
        <v>1828</v>
      </c>
      <c r="C850" s="66" t="s">
        <v>140</v>
      </c>
      <c r="D850" s="66" t="str">
        <f t="shared" si="26"/>
        <v>0861</v>
      </c>
      <c r="E850" s="66">
        <f t="shared" si="27"/>
        <v>1</v>
      </c>
    </row>
    <row r="851" spans="1:5" x14ac:dyDescent="0.15">
      <c r="A851" s="66" t="s">
        <v>1829</v>
      </c>
      <c r="B851" s="66" t="s">
        <v>1830</v>
      </c>
      <c r="C851" s="66" t="s">
        <v>140</v>
      </c>
      <c r="D851" s="66" t="str">
        <f t="shared" si="26"/>
        <v>0862</v>
      </c>
      <c r="E851" s="66">
        <f t="shared" si="27"/>
        <v>1</v>
      </c>
    </row>
    <row r="852" spans="1:5" x14ac:dyDescent="0.15">
      <c r="A852" s="66" t="s">
        <v>1831</v>
      </c>
      <c r="B852" s="66" t="s">
        <v>1832</v>
      </c>
      <c r="C852" s="66" t="s">
        <v>140</v>
      </c>
      <c r="D852" s="66" t="str">
        <f t="shared" si="26"/>
        <v>0863</v>
      </c>
      <c r="E852" s="66">
        <f t="shared" si="27"/>
        <v>1</v>
      </c>
    </row>
    <row r="853" spans="1:5" x14ac:dyDescent="0.15">
      <c r="A853" s="66" t="s">
        <v>1833</v>
      </c>
      <c r="B853" s="66" t="s">
        <v>1834</v>
      </c>
      <c r="C853" s="66" t="s">
        <v>133</v>
      </c>
      <c r="D853" s="66" t="str">
        <f t="shared" si="26"/>
        <v>0864</v>
      </c>
      <c r="E853" s="66">
        <f t="shared" si="27"/>
        <v>1</v>
      </c>
    </row>
    <row r="854" spans="1:5" x14ac:dyDescent="0.15">
      <c r="A854" s="66" t="s">
        <v>1835</v>
      </c>
      <c r="B854" s="66" t="s">
        <v>1836</v>
      </c>
      <c r="C854" s="66" t="s">
        <v>385</v>
      </c>
      <c r="D854" s="66" t="str">
        <f t="shared" si="26"/>
        <v>0865</v>
      </c>
      <c r="E854" s="66">
        <f t="shared" si="27"/>
        <v>1</v>
      </c>
    </row>
    <row r="855" spans="1:5" x14ac:dyDescent="0.15">
      <c r="A855" s="66" t="s">
        <v>1837</v>
      </c>
      <c r="B855" s="66" t="s">
        <v>1838</v>
      </c>
      <c r="C855" s="66" t="s">
        <v>133</v>
      </c>
      <c r="D855" s="66" t="str">
        <f t="shared" si="26"/>
        <v>0866</v>
      </c>
      <c r="E855" s="66">
        <f t="shared" si="27"/>
        <v>1</v>
      </c>
    </row>
    <row r="856" spans="1:5" x14ac:dyDescent="0.15">
      <c r="A856" s="66" t="s">
        <v>1839</v>
      </c>
      <c r="B856" s="66" t="s">
        <v>1840</v>
      </c>
      <c r="C856" s="66" t="s">
        <v>140</v>
      </c>
      <c r="D856" s="66" t="str">
        <f t="shared" si="26"/>
        <v>0867</v>
      </c>
      <c r="E856" s="66">
        <f t="shared" si="27"/>
        <v>1</v>
      </c>
    </row>
    <row r="857" spans="1:5" x14ac:dyDescent="0.15">
      <c r="A857" s="66" t="s">
        <v>1841</v>
      </c>
      <c r="B857" s="66" t="s">
        <v>1842</v>
      </c>
      <c r="C857" s="66" t="s">
        <v>86</v>
      </c>
      <c r="D857" s="66" t="str">
        <f t="shared" si="26"/>
        <v>0868</v>
      </c>
      <c r="E857" s="66">
        <f t="shared" si="27"/>
        <v>1</v>
      </c>
    </row>
    <row r="858" spans="1:5" x14ac:dyDescent="0.15">
      <c r="A858" s="66" t="s">
        <v>1843</v>
      </c>
      <c r="B858" s="66" t="s">
        <v>1844</v>
      </c>
      <c r="C858" s="66" t="s">
        <v>101</v>
      </c>
      <c r="D858" s="66" t="str">
        <f t="shared" si="26"/>
        <v>0869</v>
      </c>
      <c r="E858" s="66">
        <f t="shared" si="27"/>
        <v>1</v>
      </c>
    </row>
    <row r="859" spans="1:5" x14ac:dyDescent="0.15">
      <c r="A859" s="66" t="s">
        <v>1845</v>
      </c>
      <c r="B859" s="66" t="s">
        <v>1846</v>
      </c>
      <c r="C859" s="66" t="s">
        <v>140</v>
      </c>
      <c r="D859" s="66" t="str">
        <f t="shared" si="26"/>
        <v>0870</v>
      </c>
      <c r="E859" s="66">
        <f t="shared" si="27"/>
        <v>1</v>
      </c>
    </row>
    <row r="860" spans="1:5" x14ac:dyDescent="0.15">
      <c r="A860" s="66" t="s">
        <v>1847</v>
      </c>
      <c r="B860" s="66" t="s">
        <v>1848</v>
      </c>
      <c r="C860" s="66" t="s">
        <v>101</v>
      </c>
      <c r="D860" s="66" t="str">
        <f t="shared" si="26"/>
        <v>0871</v>
      </c>
      <c r="E860" s="66">
        <f t="shared" si="27"/>
        <v>1</v>
      </c>
    </row>
    <row r="861" spans="1:5" x14ac:dyDescent="0.15">
      <c r="A861" s="66" t="s">
        <v>1849</v>
      </c>
      <c r="B861" s="66" t="s">
        <v>1850</v>
      </c>
      <c r="C861" s="66" t="s">
        <v>86</v>
      </c>
      <c r="D861" s="66" t="str">
        <f t="shared" si="26"/>
        <v>0872</v>
      </c>
      <c r="E861" s="66">
        <f t="shared" si="27"/>
        <v>1</v>
      </c>
    </row>
    <row r="862" spans="1:5" x14ac:dyDescent="0.15">
      <c r="A862" s="66" t="s">
        <v>1851</v>
      </c>
      <c r="B862" s="66" t="s">
        <v>1852</v>
      </c>
      <c r="C862" s="66" t="s">
        <v>140</v>
      </c>
      <c r="D862" s="66" t="str">
        <f t="shared" si="26"/>
        <v>0873</v>
      </c>
      <c r="E862" s="66">
        <f t="shared" si="27"/>
        <v>1</v>
      </c>
    </row>
    <row r="863" spans="1:5" x14ac:dyDescent="0.15">
      <c r="A863" s="66" t="s">
        <v>1853</v>
      </c>
      <c r="B863" s="66" t="s">
        <v>1854</v>
      </c>
      <c r="C863" s="66" t="s">
        <v>140</v>
      </c>
      <c r="D863" s="66" t="str">
        <f t="shared" si="26"/>
        <v>0874</v>
      </c>
      <c r="E863" s="66">
        <f t="shared" si="27"/>
        <v>1</v>
      </c>
    </row>
    <row r="864" spans="1:5" x14ac:dyDescent="0.15">
      <c r="A864" s="66" t="s">
        <v>1855</v>
      </c>
      <c r="B864" s="66" t="s">
        <v>1856</v>
      </c>
      <c r="C864" s="66" t="s">
        <v>588</v>
      </c>
      <c r="D864" s="66" t="str">
        <f t="shared" si="26"/>
        <v>0875</v>
      </c>
      <c r="E864" s="66">
        <f t="shared" si="27"/>
        <v>3</v>
      </c>
    </row>
    <row r="865" spans="1:5" x14ac:dyDescent="0.15">
      <c r="A865" s="66" t="s">
        <v>1857</v>
      </c>
      <c r="B865" s="66" t="s">
        <v>1858</v>
      </c>
      <c r="C865" s="66" t="s">
        <v>436</v>
      </c>
      <c r="D865" s="66" t="str">
        <f t="shared" si="26"/>
        <v>0876</v>
      </c>
      <c r="E865" s="66">
        <f t="shared" si="27"/>
        <v>1</v>
      </c>
    </row>
    <row r="866" spans="1:5" x14ac:dyDescent="0.15">
      <c r="A866" s="66" t="s">
        <v>1859</v>
      </c>
      <c r="B866" s="66" t="s">
        <v>1860</v>
      </c>
      <c r="C866" s="66" t="s">
        <v>131</v>
      </c>
      <c r="D866" s="66" t="str">
        <f t="shared" si="26"/>
        <v>0877</v>
      </c>
      <c r="E866" s="66">
        <f t="shared" si="27"/>
        <v>1</v>
      </c>
    </row>
    <row r="867" spans="1:5" x14ac:dyDescent="0.15">
      <c r="A867" s="66" t="s">
        <v>1861</v>
      </c>
      <c r="B867" s="66" t="s">
        <v>1862</v>
      </c>
      <c r="C867" s="66" t="s">
        <v>75</v>
      </c>
      <c r="D867" s="66" t="str">
        <f t="shared" si="26"/>
        <v>0878</v>
      </c>
      <c r="E867" s="66">
        <f t="shared" si="27"/>
        <v>1</v>
      </c>
    </row>
    <row r="868" spans="1:5" x14ac:dyDescent="0.15">
      <c r="A868" s="66" t="s">
        <v>1863</v>
      </c>
      <c r="B868" s="66" t="s">
        <v>1864</v>
      </c>
      <c r="C868" s="66" t="s">
        <v>86</v>
      </c>
      <c r="D868" s="66" t="str">
        <f t="shared" si="26"/>
        <v>0879</v>
      </c>
      <c r="E868" s="66">
        <f t="shared" si="27"/>
        <v>1</v>
      </c>
    </row>
    <row r="869" spans="1:5" x14ac:dyDescent="0.15">
      <c r="A869" s="66" t="s">
        <v>1865</v>
      </c>
      <c r="B869" s="66" t="s">
        <v>1866</v>
      </c>
      <c r="C869" s="66" t="s">
        <v>131</v>
      </c>
      <c r="D869" s="66" t="str">
        <f t="shared" si="26"/>
        <v>0880</v>
      </c>
      <c r="E869" s="66">
        <f t="shared" si="27"/>
        <v>1</v>
      </c>
    </row>
    <row r="870" spans="1:5" x14ac:dyDescent="0.15">
      <c r="A870" s="66" t="s">
        <v>1867</v>
      </c>
      <c r="B870" s="66" t="s">
        <v>1868</v>
      </c>
      <c r="C870" s="66" t="s">
        <v>140</v>
      </c>
      <c r="D870" s="66" t="str">
        <f t="shared" si="26"/>
        <v>0881</v>
      </c>
      <c r="E870" s="66">
        <f t="shared" si="27"/>
        <v>1</v>
      </c>
    </row>
    <row r="871" spans="1:5" x14ac:dyDescent="0.15">
      <c r="A871" s="66" t="s">
        <v>1869</v>
      </c>
      <c r="B871" s="66" t="s">
        <v>1870</v>
      </c>
      <c r="C871" s="66" t="s">
        <v>436</v>
      </c>
      <c r="D871" s="66" t="str">
        <f t="shared" si="26"/>
        <v>0882</v>
      </c>
      <c r="E871" s="66">
        <f t="shared" si="27"/>
        <v>1</v>
      </c>
    </row>
    <row r="872" spans="1:5" x14ac:dyDescent="0.15">
      <c r="A872" s="66" t="s">
        <v>1871</v>
      </c>
      <c r="B872" s="66" t="s">
        <v>1872</v>
      </c>
      <c r="C872" s="66" t="s">
        <v>140</v>
      </c>
      <c r="D872" s="66" t="str">
        <f t="shared" si="26"/>
        <v>0883</v>
      </c>
      <c r="E872" s="66">
        <f t="shared" si="27"/>
        <v>1</v>
      </c>
    </row>
    <row r="873" spans="1:5" x14ac:dyDescent="0.15">
      <c r="A873" s="66" t="s">
        <v>1873</v>
      </c>
      <c r="B873" s="66" t="s">
        <v>1874</v>
      </c>
      <c r="C873" s="66" t="s">
        <v>86</v>
      </c>
      <c r="D873" s="66" t="str">
        <f t="shared" si="26"/>
        <v>0884</v>
      </c>
      <c r="E873" s="66">
        <f t="shared" si="27"/>
        <v>1</v>
      </c>
    </row>
    <row r="874" spans="1:5" x14ac:dyDescent="0.15">
      <c r="A874" s="66" t="s">
        <v>1875</v>
      </c>
      <c r="B874" s="66" t="s">
        <v>1876</v>
      </c>
      <c r="C874" s="66" t="s">
        <v>86</v>
      </c>
      <c r="D874" s="66" t="str">
        <f t="shared" si="26"/>
        <v>0885</v>
      </c>
      <c r="E874" s="66">
        <f t="shared" si="27"/>
        <v>1</v>
      </c>
    </row>
    <row r="875" spans="1:5" x14ac:dyDescent="0.15">
      <c r="A875" s="66" t="s">
        <v>1877</v>
      </c>
      <c r="B875" s="66" t="s">
        <v>1878</v>
      </c>
      <c r="C875" s="66" t="s">
        <v>86</v>
      </c>
      <c r="D875" s="66" t="str">
        <f t="shared" si="26"/>
        <v>0886</v>
      </c>
      <c r="E875" s="66">
        <f t="shared" si="27"/>
        <v>1</v>
      </c>
    </row>
    <row r="876" spans="1:5" x14ac:dyDescent="0.15">
      <c r="A876" s="66" t="s">
        <v>1879</v>
      </c>
      <c r="B876" s="66" t="s">
        <v>1880</v>
      </c>
      <c r="C876" s="66" t="s">
        <v>86</v>
      </c>
      <c r="D876" s="66" t="str">
        <f t="shared" si="26"/>
        <v>0887</v>
      </c>
      <c r="E876" s="66">
        <f t="shared" si="27"/>
        <v>1</v>
      </c>
    </row>
    <row r="877" spans="1:5" x14ac:dyDescent="0.15">
      <c r="A877" s="66" t="s">
        <v>1881</v>
      </c>
      <c r="B877" s="66" t="s">
        <v>1882</v>
      </c>
      <c r="C877" s="66" t="s">
        <v>67</v>
      </c>
      <c r="D877" s="66" t="str">
        <f t="shared" si="26"/>
        <v>0888</v>
      </c>
      <c r="E877" s="66">
        <f t="shared" si="27"/>
        <v>1</v>
      </c>
    </row>
    <row r="878" spans="1:5" x14ac:dyDescent="0.15">
      <c r="A878" s="66" t="s">
        <v>1883</v>
      </c>
      <c r="B878" s="66" t="s">
        <v>411</v>
      </c>
      <c r="C878" s="66" t="s">
        <v>140</v>
      </c>
      <c r="D878" s="66" t="str">
        <f t="shared" si="26"/>
        <v>0889</v>
      </c>
      <c r="E878" s="66">
        <f t="shared" si="27"/>
        <v>4</v>
      </c>
    </row>
    <row r="879" spans="1:5" x14ac:dyDescent="0.15">
      <c r="A879" s="66" t="s">
        <v>1884</v>
      </c>
      <c r="B879" s="66" t="s">
        <v>1885</v>
      </c>
      <c r="C879" s="66" t="s">
        <v>133</v>
      </c>
      <c r="D879" s="66" t="str">
        <f t="shared" si="26"/>
        <v>0890</v>
      </c>
      <c r="E879" s="66">
        <f t="shared" si="27"/>
        <v>1</v>
      </c>
    </row>
    <row r="880" spans="1:5" x14ac:dyDescent="0.15">
      <c r="A880" s="66" t="s">
        <v>1886</v>
      </c>
      <c r="B880" s="66" t="s">
        <v>1887</v>
      </c>
      <c r="C880" s="66" t="s">
        <v>140</v>
      </c>
      <c r="D880" s="66" t="str">
        <f t="shared" si="26"/>
        <v>0891</v>
      </c>
      <c r="E880" s="66">
        <f t="shared" si="27"/>
        <v>1</v>
      </c>
    </row>
    <row r="881" spans="1:5" x14ac:dyDescent="0.15">
      <c r="A881" s="66" t="s">
        <v>1888</v>
      </c>
      <c r="B881" s="66" t="s">
        <v>1889</v>
      </c>
      <c r="C881" s="66" t="s">
        <v>140</v>
      </c>
      <c r="D881" s="66" t="str">
        <f t="shared" si="26"/>
        <v>0892</v>
      </c>
      <c r="E881" s="66">
        <f t="shared" si="27"/>
        <v>2</v>
      </c>
    </row>
    <row r="882" spans="1:5" x14ac:dyDescent="0.15">
      <c r="A882" s="66" t="s">
        <v>1890</v>
      </c>
      <c r="B882" s="66" t="s">
        <v>1891</v>
      </c>
      <c r="C882" s="66" t="s">
        <v>140</v>
      </c>
      <c r="D882" s="66" t="str">
        <f t="shared" si="26"/>
        <v>0893</v>
      </c>
      <c r="E882" s="66">
        <f t="shared" si="27"/>
        <v>1</v>
      </c>
    </row>
    <row r="883" spans="1:5" x14ac:dyDescent="0.15">
      <c r="A883" s="66" t="s">
        <v>1892</v>
      </c>
      <c r="B883" s="66" t="s">
        <v>1893</v>
      </c>
      <c r="C883" s="66" t="s">
        <v>86</v>
      </c>
      <c r="D883" s="66" t="str">
        <f t="shared" si="26"/>
        <v>0894</v>
      </c>
      <c r="E883" s="66">
        <f t="shared" si="27"/>
        <v>1</v>
      </c>
    </row>
    <row r="884" spans="1:5" x14ac:dyDescent="0.15">
      <c r="A884" s="66" t="s">
        <v>1894</v>
      </c>
      <c r="B884" s="66" t="s">
        <v>1895</v>
      </c>
      <c r="C884" s="66" t="s">
        <v>436</v>
      </c>
      <c r="D884" s="66" t="str">
        <f t="shared" si="26"/>
        <v>0895</v>
      </c>
      <c r="E884" s="66">
        <f t="shared" si="27"/>
        <v>1</v>
      </c>
    </row>
    <row r="885" spans="1:5" x14ac:dyDescent="0.15">
      <c r="A885" s="66" t="s">
        <v>1896</v>
      </c>
      <c r="B885" s="66" t="s">
        <v>1897</v>
      </c>
      <c r="C885" s="66" t="s">
        <v>86</v>
      </c>
      <c r="D885" s="66" t="str">
        <f t="shared" si="26"/>
        <v>0896</v>
      </c>
      <c r="E885" s="66">
        <f t="shared" si="27"/>
        <v>1</v>
      </c>
    </row>
    <row r="886" spans="1:5" x14ac:dyDescent="0.15">
      <c r="A886" s="66" t="s">
        <v>1898</v>
      </c>
      <c r="B886" s="66" t="s">
        <v>1899</v>
      </c>
      <c r="C886" s="66" t="s">
        <v>86</v>
      </c>
      <c r="D886" s="66" t="str">
        <f t="shared" si="26"/>
        <v>0897</v>
      </c>
      <c r="E886" s="66">
        <f t="shared" si="27"/>
        <v>1</v>
      </c>
    </row>
    <row r="887" spans="1:5" x14ac:dyDescent="0.15">
      <c r="A887" s="66" t="s">
        <v>1900</v>
      </c>
      <c r="B887" s="66" t="s">
        <v>1901</v>
      </c>
      <c r="C887" s="66" t="s">
        <v>140</v>
      </c>
      <c r="D887" s="66" t="str">
        <f t="shared" si="26"/>
        <v>0898</v>
      </c>
      <c r="E887" s="66">
        <f t="shared" si="27"/>
        <v>1</v>
      </c>
    </row>
    <row r="888" spans="1:5" x14ac:dyDescent="0.15">
      <c r="A888" s="66" t="s">
        <v>1902</v>
      </c>
      <c r="B888" s="66" t="s">
        <v>1903</v>
      </c>
      <c r="C888" s="66" t="s">
        <v>140</v>
      </c>
      <c r="D888" s="66" t="str">
        <f t="shared" si="26"/>
        <v>0899</v>
      </c>
      <c r="E888" s="66">
        <f t="shared" si="27"/>
        <v>1</v>
      </c>
    </row>
    <row r="889" spans="1:5" x14ac:dyDescent="0.15">
      <c r="A889" s="66" t="s">
        <v>1904</v>
      </c>
      <c r="B889" s="66" t="s">
        <v>1905</v>
      </c>
      <c r="C889" s="66" t="s">
        <v>140</v>
      </c>
      <c r="D889" s="66" t="str">
        <f t="shared" si="26"/>
        <v>0900</v>
      </c>
      <c r="E889" s="66">
        <f t="shared" si="27"/>
        <v>1</v>
      </c>
    </row>
    <row r="890" spans="1:5" x14ac:dyDescent="0.15">
      <c r="A890" s="66" t="s">
        <v>1906</v>
      </c>
      <c r="B890" s="66" t="s">
        <v>1907</v>
      </c>
      <c r="C890" s="66" t="s">
        <v>86</v>
      </c>
      <c r="D890" s="66" t="str">
        <f t="shared" si="26"/>
        <v>0901</v>
      </c>
      <c r="E890" s="66">
        <f t="shared" si="27"/>
        <v>1</v>
      </c>
    </row>
    <row r="891" spans="1:5" x14ac:dyDescent="0.15">
      <c r="A891" s="66" t="s">
        <v>1908</v>
      </c>
      <c r="B891" s="66" t="s">
        <v>1909</v>
      </c>
      <c r="C891" s="66" t="s">
        <v>75</v>
      </c>
      <c r="D891" s="66" t="str">
        <f t="shared" si="26"/>
        <v>0902</v>
      </c>
      <c r="E891" s="66">
        <f t="shared" si="27"/>
        <v>1</v>
      </c>
    </row>
    <row r="892" spans="1:5" x14ac:dyDescent="0.15">
      <c r="A892" s="66" t="s">
        <v>1910</v>
      </c>
      <c r="B892" s="66" t="s">
        <v>1911</v>
      </c>
      <c r="C892" s="66" t="s">
        <v>140</v>
      </c>
      <c r="D892" s="66" t="str">
        <f t="shared" si="26"/>
        <v>0903</v>
      </c>
      <c r="E892" s="66">
        <f t="shared" si="27"/>
        <v>1</v>
      </c>
    </row>
    <row r="893" spans="1:5" x14ac:dyDescent="0.15">
      <c r="A893" s="66" t="s">
        <v>1912</v>
      </c>
      <c r="B893" s="66" t="s">
        <v>1913</v>
      </c>
      <c r="C893" s="66" t="s">
        <v>436</v>
      </c>
      <c r="D893" s="66" t="str">
        <f t="shared" si="26"/>
        <v>0904</v>
      </c>
      <c r="E893" s="66">
        <f t="shared" si="27"/>
        <v>1</v>
      </c>
    </row>
    <row r="894" spans="1:5" x14ac:dyDescent="0.15">
      <c r="A894" s="66" t="s">
        <v>1914</v>
      </c>
      <c r="B894" s="66" t="s">
        <v>1915</v>
      </c>
      <c r="C894" s="66" t="s">
        <v>67</v>
      </c>
      <c r="D894" s="66" t="str">
        <f t="shared" si="26"/>
        <v>0905</v>
      </c>
      <c r="E894" s="66">
        <f t="shared" si="27"/>
        <v>1</v>
      </c>
    </row>
    <row r="895" spans="1:5" x14ac:dyDescent="0.15">
      <c r="A895" s="66" t="s">
        <v>1916</v>
      </c>
      <c r="B895" s="66" t="s">
        <v>1917</v>
      </c>
      <c r="C895" s="66" t="s">
        <v>140</v>
      </c>
      <c r="D895" s="66" t="str">
        <f t="shared" si="26"/>
        <v>0906</v>
      </c>
      <c r="E895" s="66">
        <f t="shared" si="27"/>
        <v>1</v>
      </c>
    </row>
    <row r="896" spans="1:5" x14ac:dyDescent="0.15">
      <c r="A896" s="66" t="s">
        <v>1918</v>
      </c>
      <c r="B896" s="66" t="s">
        <v>1919</v>
      </c>
      <c r="C896" s="66" t="s">
        <v>133</v>
      </c>
      <c r="D896" s="66" t="str">
        <f t="shared" si="26"/>
        <v>0907</v>
      </c>
      <c r="E896" s="66">
        <f t="shared" si="27"/>
        <v>1</v>
      </c>
    </row>
    <row r="897" spans="1:5" x14ac:dyDescent="0.15">
      <c r="A897" s="66" t="s">
        <v>1920</v>
      </c>
      <c r="B897" s="66" t="s">
        <v>1921</v>
      </c>
      <c r="C897" s="66" t="s">
        <v>340</v>
      </c>
      <c r="D897" s="66" t="str">
        <f t="shared" si="26"/>
        <v>0908</v>
      </c>
      <c r="E897" s="66">
        <f t="shared" si="27"/>
        <v>1</v>
      </c>
    </row>
    <row r="898" spans="1:5" x14ac:dyDescent="0.15">
      <c r="A898" s="66" t="s">
        <v>1922</v>
      </c>
      <c r="B898" s="66" t="s">
        <v>1923</v>
      </c>
      <c r="C898" s="66" t="s">
        <v>133</v>
      </c>
      <c r="D898" s="66" t="str">
        <f t="shared" ref="D898:D961" si="28">A898</f>
        <v>0909</v>
      </c>
      <c r="E898" s="66">
        <f t="shared" ref="E898:E961" si="29">COUNTIFS(B:B,B898)</f>
        <v>1</v>
      </c>
    </row>
    <row r="899" spans="1:5" x14ac:dyDescent="0.15">
      <c r="A899" s="66" t="s">
        <v>1924</v>
      </c>
      <c r="B899" s="66" t="s">
        <v>1925</v>
      </c>
      <c r="C899" s="66" t="s">
        <v>133</v>
      </c>
      <c r="D899" s="66" t="str">
        <f t="shared" si="28"/>
        <v>0910</v>
      </c>
      <c r="E899" s="66">
        <f t="shared" si="29"/>
        <v>1</v>
      </c>
    </row>
    <row r="900" spans="1:5" x14ac:dyDescent="0.15">
      <c r="A900" s="66" t="s">
        <v>1926</v>
      </c>
      <c r="B900" s="66" t="s">
        <v>1927</v>
      </c>
      <c r="C900" s="66" t="s">
        <v>133</v>
      </c>
      <c r="D900" s="66" t="str">
        <f t="shared" si="28"/>
        <v>0911</v>
      </c>
      <c r="E900" s="66">
        <f t="shared" si="29"/>
        <v>1</v>
      </c>
    </row>
    <row r="901" spans="1:5" x14ac:dyDescent="0.15">
      <c r="A901" s="66" t="s">
        <v>1928</v>
      </c>
      <c r="B901" s="66" t="s">
        <v>1929</v>
      </c>
      <c r="C901" s="66" t="s">
        <v>140</v>
      </c>
      <c r="D901" s="66" t="str">
        <f t="shared" si="28"/>
        <v>0912</v>
      </c>
      <c r="E901" s="66">
        <f t="shared" si="29"/>
        <v>1</v>
      </c>
    </row>
    <row r="902" spans="1:5" x14ac:dyDescent="0.15">
      <c r="A902" s="66" t="s">
        <v>1930</v>
      </c>
      <c r="B902" s="66" t="s">
        <v>1931</v>
      </c>
      <c r="C902" s="66" t="s">
        <v>385</v>
      </c>
      <c r="D902" s="66" t="str">
        <f t="shared" si="28"/>
        <v>0913</v>
      </c>
      <c r="E902" s="66">
        <f t="shared" si="29"/>
        <v>1</v>
      </c>
    </row>
    <row r="903" spans="1:5" x14ac:dyDescent="0.15">
      <c r="A903" s="66" t="s">
        <v>1932</v>
      </c>
      <c r="B903" s="66" t="s">
        <v>1933</v>
      </c>
      <c r="C903" s="66" t="s">
        <v>140</v>
      </c>
      <c r="D903" s="66" t="str">
        <f t="shared" si="28"/>
        <v>0914</v>
      </c>
      <c r="E903" s="66">
        <f t="shared" si="29"/>
        <v>1</v>
      </c>
    </row>
    <row r="904" spans="1:5" x14ac:dyDescent="0.15">
      <c r="A904" s="66" t="s">
        <v>1934</v>
      </c>
      <c r="B904" s="66" t="s">
        <v>1935</v>
      </c>
      <c r="C904" s="66" t="s">
        <v>133</v>
      </c>
      <c r="D904" s="66" t="str">
        <f t="shared" si="28"/>
        <v>0915</v>
      </c>
      <c r="E904" s="66">
        <f t="shared" si="29"/>
        <v>1</v>
      </c>
    </row>
    <row r="905" spans="1:5" x14ac:dyDescent="0.15">
      <c r="A905" s="66" t="s">
        <v>1936</v>
      </c>
      <c r="B905" s="66" t="s">
        <v>1937</v>
      </c>
      <c r="C905" s="66" t="s">
        <v>436</v>
      </c>
      <c r="D905" s="66" t="str">
        <f t="shared" si="28"/>
        <v>0916</v>
      </c>
      <c r="E905" s="66">
        <f t="shared" si="29"/>
        <v>1</v>
      </c>
    </row>
    <row r="906" spans="1:5" x14ac:dyDescent="0.15">
      <c r="A906" s="66" t="s">
        <v>1938</v>
      </c>
      <c r="B906" s="66" t="s">
        <v>1939</v>
      </c>
      <c r="C906" s="66" t="s">
        <v>131</v>
      </c>
      <c r="D906" s="66" t="str">
        <f t="shared" si="28"/>
        <v>0917</v>
      </c>
      <c r="E906" s="66">
        <f t="shared" si="29"/>
        <v>1</v>
      </c>
    </row>
    <row r="907" spans="1:5" x14ac:dyDescent="0.15">
      <c r="A907" s="66" t="s">
        <v>1940</v>
      </c>
      <c r="B907" s="66" t="s">
        <v>1941</v>
      </c>
      <c r="C907" s="66" t="s">
        <v>86</v>
      </c>
      <c r="D907" s="66" t="str">
        <f t="shared" si="28"/>
        <v>0918</v>
      </c>
      <c r="E907" s="66">
        <f t="shared" si="29"/>
        <v>1</v>
      </c>
    </row>
    <row r="908" spans="1:5" x14ac:dyDescent="0.15">
      <c r="A908" s="66" t="s">
        <v>1942</v>
      </c>
      <c r="B908" s="66" t="s">
        <v>1943</v>
      </c>
      <c r="C908" s="66" t="s">
        <v>71</v>
      </c>
      <c r="D908" s="66" t="str">
        <f t="shared" si="28"/>
        <v>0919</v>
      </c>
      <c r="E908" s="66">
        <f t="shared" si="29"/>
        <v>1</v>
      </c>
    </row>
    <row r="909" spans="1:5" x14ac:dyDescent="0.15">
      <c r="A909" s="66" t="s">
        <v>1944</v>
      </c>
      <c r="B909" s="66" t="s">
        <v>1945</v>
      </c>
      <c r="C909" s="66" t="s">
        <v>340</v>
      </c>
      <c r="D909" s="66" t="str">
        <f t="shared" si="28"/>
        <v>0920</v>
      </c>
      <c r="E909" s="66">
        <f t="shared" si="29"/>
        <v>1</v>
      </c>
    </row>
    <row r="910" spans="1:5" x14ac:dyDescent="0.15">
      <c r="A910" s="66" t="s">
        <v>1946</v>
      </c>
      <c r="B910" s="66" t="s">
        <v>1947</v>
      </c>
      <c r="C910" s="66" t="s">
        <v>75</v>
      </c>
      <c r="D910" s="66" t="str">
        <f t="shared" si="28"/>
        <v>0921</v>
      </c>
      <c r="E910" s="66">
        <f t="shared" si="29"/>
        <v>1</v>
      </c>
    </row>
    <row r="911" spans="1:5" x14ac:dyDescent="0.15">
      <c r="A911" s="66" t="s">
        <v>1948</v>
      </c>
      <c r="B911" s="66" t="s">
        <v>1949</v>
      </c>
      <c r="C911" s="66" t="s">
        <v>101</v>
      </c>
      <c r="D911" s="66" t="str">
        <f t="shared" si="28"/>
        <v>0922</v>
      </c>
      <c r="E911" s="66">
        <f t="shared" si="29"/>
        <v>1</v>
      </c>
    </row>
    <row r="912" spans="1:5" x14ac:dyDescent="0.15">
      <c r="A912" s="66" t="s">
        <v>1950</v>
      </c>
      <c r="B912" s="66" t="s">
        <v>1951</v>
      </c>
      <c r="C912" s="66" t="s">
        <v>75</v>
      </c>
      <c r="D912" s="66" t="str">
        <f t="shared" si="28"/>
        <v>0923</v>
      </c>
      <c r="E912" s="66">
        <f t="shared" si="29"/>
        <v>1</v>
      </c>
    </row>
    <row r="913" spans="1:5" x14ac:dyDescent="0.15">
      <c r="A913" s="66" t="s">
        <v>1952</v>
      </c>
      <c r="B913" s="66" t="s">
        <v>1953</v>
      </c>
      <c r="C913" s="66" t="s">
        <v>133</v>
      </c>
      <c r="D913" s="66" t="str">
        <f t="shared" si="28"/>
        <v>0924</v>
      </c>
      <c r="E913" s="66">
        <f t="shared" si="29"/>
        <v>1</v>
      </c>
    </row>
    <row r="914" spans="1:5" x14ac:dyDescent="0.15">
      <c r="A914" s="66" t="s">
        <v>1954</v>
      </c>
      <c r="B914" s="66" t="s">
        <v>1955</v>
      </c>
      <c r="C914" s="66" t="s">
        <v>101</v>
      </c>
      <c r="D914" s="66" t="str">
        <f t="shared" si="28"/>
        <v>0925</v>
      </c>
      <c r="E914" s="66">
        <f t="shared" si="29"/>
        <v>1</v>
      </c>
    </row>
    <row r="915" spans="1:5" x14ac:dyDescent="0.15">
      <c r="A915" s="66" t="s">
        <v>1956</v>
      </c>
      <c r="B915" s="66" t="s">
        <v>1957</v>
      </c>
      <c r="C915" s="66" t="s">
        <v>101</v>
      </c>
      <c r="D915" s="66" t="str">
        <f t="shared" si="28"/>
        <v>0926</v>
      </c>
      <c r="E915" s="66">
        <f t="shared" si="29"/>
        <v>1</v>
      </c>
    </row>
    <row r="916" spans="1:5" x14ac:dyDescent="0.15">
      <c r="A916" s="66" t="s">
        <v>1958</v>
      </c>
      <c r="B916" s="66" t="s">
        <v>1959</v>
      </c>
      <c r="C916" s="66" t="s">
        <v>86</v>
      </c>
      <c r="D916" s="66" t="str">
        <f t="shared" si="28"/>
        <v>0927</v>
      </c>
      <c r="E916" s="66">
        <f t="shared" si="29"/>
        <v>1</v>
      </c>
    </row>
    <row r="917" spans="1:5" x14ac:dyDescent="0.15">
      <c r="A917" s="66" t="s">
        <v>1960</v>
      </c>
      <c r="B917" s="66" t="s">
        <v>1961</v>
      </c>
      <c r="C917" s="66" t="s">
        <v>86</v>
      </c>
      <c r="D917" s="66" t="str">
        <f t="shared" si="28"/>
        <v>0928</v>
      </c>
      <c r="E917" s="66">
        <f t="shared" si="29"/>
        <v>1</v>
      </c>
    </row>
    <row r="918" spans="1:5" x14ac:dyDescent="0.15">
      <c r="A918" s="66" t="s">
        <v>1962</v>
      </c>
      <c r="B918" s="66" t="s">
        <v>1963</v>
      </c>
      <c r="C918" s="66" t="s">
        <v>340</v>
      </c>
      <c r="D918" s="66" t="str">
        <f t="shared" si="28"/>
        <v>0929</v>
      </c>
      <c r="E918" s="66">
        <f t="shared" si="29"/>
        <v>1</v>
      </c>
    </row>
    <row r="919" spans="1:5" x14ac:dyDescent="0.15">
      <c r="A919" s="66" t="s">
        <v>1964</v>
      </c>
      <c r="B919" s="66" t="s">
        <v>1965</v>
      </c>
      <c r="C919" s="66" t="s">
        <v>443</v>
      </c>
      <c r="D919" s="66" t="str">
        <f t="shared" si="28"/>
        <v>0930</v>
      </c>
      <c r="E919" s="66">
        <f t="shared" si="29"/>
        <v>1</v>
      </c>
    </row>
    <row r="920" spans="1:5" x14ac:dyDescent="0.15">
      <c r="A920" s="66" t="s">
        <v>1966</v>
      </c>
      <c r="B920" s="66" t="s">
        <v>1967</v>
      </c>
      <c r="C920" s="66" t="s">
        <v>443</v>
      </c>
      <c r="D920" s="66" t="str">
        <f t="shared" si="28"/>
        <v>0931</v>
      </c>
      <c r="E920" s="66">
        <f t="shared" si="29"/>
        <v>1</v>
      </c>
    </row>
    <row r="921" spans="1:5" x14ac:dyDescent="0.15">
      <c r="A921" s="66" t="s">
        <v>1968</v>
      </c>
      <c r="B921" s="66" t="s">
        <v>1969</v>
      </c>
      <c r="C921" s="66" t="s">
        <v>86</v>
      </c>
      <c r="D921" s="66" t="str">
        <f t="shared" si="28"/>
        <v>0932</v>
      </c>
      <c r="E921" s="66">
        <f t="shared" si="29"/>
        <v>1</v>
      </c>
    </row>
    <row r="922" spans="1:5" x14ac:dyDescent="0.15">
      <c r="A922" s="66" t="s">
        <v>1970</v>
      </c>
      <c r="B922" s="66" t="s">
        <v>1971</v>
      </c>
      <c r="C922" s="66" t="s">
        <v>131</v>
      </c>
      <c r="D922" s="66" t="str">
        <f t="shared" si="28"/>
        <v>0933</v>
      </c>
      <c r="E922" s="66">
        <f t="shared" si="29"/>
        <v>1</v>
      </c>
    </row>
    <row r="923" spans="1:5" x14ac:dyDescent="0.15">
      <c r="A923" s="66" t="s">
        <v>1972</v>
      </c>
      <c r="B923" s="66" t="s">
        <v>1973</v>
      </c>
      <c r="C923" s="66" t="s">
        <v>340</v>
      </c>
      <c r="D923" s="66" t="str">
        <f t="shared" si="28"/>
        <v>0934</v>
      </c>
      <c r="E923" s="66">
        <f t="shared" si="29"/>
        <v>1</v>
      </c>
    </row>
    <row r="924" spans="1:5" x14ac:dyDescent="0.15">
      <c r="A924" s="66" t="s">
        <v>1974</v>
      </c>
      <c r="B924" s="66" t="s">
        <v>1975</v>
      </c>
      <c r="C924" s="66" t="s">
        <v>588</v>
      </c>
      <c r="D924" s="66" t="str">
        <f t="shared" si="28"/>
        <v>0935</v>
      </c>
      <c r="E924" s="66">
        <f t="shared" si="29"/>
        <v>1</v>
      </c>
    </row>
    <row r="925" spans="1:5" x14ac:dyDescent="0.15">
      <c r="A925" s="66" t="s">
        <v>1976</v>
      </c>
      <c r="B925" s="66" t="s">
        <v>1977</v>
      </c>
      <c r="C925" s="66" t="s">
        <v>133</v>
      </c>
      <c r="D925" s="66" t="str">
        <f t="shared" si="28"/>
        <v>0936</v>
      </c>
      <c r="E925" s="66">
        <f t="shared" si="29"/>
        <v>1</v>
      </c>
    </row>
    <row r="926" spans="1:5" x14ac:dyDescent="0.15">
      <c r="A926" s="66" t="s">
        <v>1978</v>
      </c>
      <c r="B926" s="66" t="s">
        <v>1979</v>
      </c>
      <c r="C926" s="66" t="s">
        <v>385</v>
      </c>
      <c r="D926" s="66" t="str">
        <f t="shared" si="28"/>
        <v>0937</v>
      </c>
      <c r="E926" s="66">
        <f t="shared" si="29"/>
        <v>1</v>
      </c>
    </row>
    <row r="927" spans="1:5" x14ac:dyDescent="0.15">
      <c r="A927" s="66" t="s">
        <v>1980</v>
      </c>
      <c r="B927" s="66" t="s">
        <v>1981</v>
      </c>
      <c r="C927" s="66" t="s">
        <v>140</v>
      </c>
      <c r="D927" s="66" t="str">
        <f t="shared" si="28"/>
        <v>0938</v>
      </c>
      <c r="E927" s="66">
        <f t="shared" si="29"/>
        <v>1</v>
      </c>
    </row>
    <row r="928" spans="1:5" x14ac:dyDescent="0.15">
      <c r="A928" s="66" t="s">
        <v>1982</v>
      </c>
      <c r="B928" s="66" t="s">
        <v>1983</v>
      </c>
      <c r="C928" s="66" t="s">
        <v>458</v>
      </c>
      <c r="D928" s="66" t="str">
        <f t="shared" si="28"/>
        <v>0939</v>
      </c>
      <c r="E928" s="66">
        <f t="shared" si="29"/>
        <v>1</v>
      </c>
    </row>
    <row r="929" spans="1:5" x14ac:dyDescent="0.15">
      <c r="A929" s="66" t="s">
        <v>1984</v>
      </c>
      <c r="B929" s="66" t="s">
        <v>1985</v>
      </c>
      <c r="C929" s="66" t="s">
        <v>133</v>
      </c>
      <c r="D929" s="66" t="str">
        <f t="shared" si="28"/>
        <v>0940</v>
      </c>
      <c r="E929" s="66">
        <f t="shared" si="29"/>
        <v>1</v>
      </c>
    </row>
    <row r="930" spans="1:5" x14ac:dyDescent="0.15">
      <c r="A930" s="66" t="s">
        <v>1986</v>
      </c>
      <c r="B930" s="66" t="s">
        <v>1987</v>
      </c>
      <c r="C930" s="66" t="s">
        <v>140</v>
      </c>
      <c r="D930" s="66" t="str">
        <f t="shared" si="28"/>
        <v>0941</v>
      </c>
      <c r="E930" s="66">
        <f t="shared" si="29"/>
        <v>1</v>
      </c>
    </row>
    <row r="931" spans="1:5" x14ac:dyDescent="0.15">
      <c r="A931" s="66" t="s">
        <v>1988</v>
      </c>
      <c r="B931" s="66" t="s">
        <v>1989</v>
      </c>
      <c r="C931" s="66" t="s">
        <v>436</v>
      </c>
      <c r="D931" s="66" t="str">
        <f t="shared" si="28"/>
        <v>0942</v>
      </c>
      <c r="E931" s="66">
        <f t="shared" si="29"/>
        <v>1</v>
      </c>
    </row>
    <row r="932" spans="1:5" x14ac:dyDescent="0.15">
      <c r="A932" s="66" t="s">
        <v>1990</v>
      </c>
      <c r="B932" s="66" t="s">
        <v>1991</v>
      </c>
      <c r="C932" s="66" t="s">
        <v>101</v>
      </c>
      <c r="D932" s="66" t="str">
        <f t="shared" si="28"/>
        <v>0943</v>
      </c>
      <c r="E932" s="66">
        <f t="shared" si="29"/>
        <v>1</v>
      </c>
    </row>
    <row r="933" spans="1:5" x14ac:dyDescent="0.15">
      <c r="A933" s="66" t="s">
        <v>1992</v>
      </c>
      <c r="B933" s="66" t="s">
        <v>1993</v>
      </c>
      <c r="C933" s="66" t="s">
        <v>101</v>
      </c>
      <c r="D933" s="66" t="str">
        <f t="shared" si="28"/>
        <v>0944</v>
      </c>
      <c r="E933" s="66">
        <f t="shared" si="29"/>
        <v>1</v>
      </c>
    </row>
    <row r="934" spans="1:5" x14ac:dyDescent="0.15">
      <c r="A934" s="66" t="s">
        <v>1994</v>
      </c>
      <c r="B934" s="66" t="s">
        <v>1995</v>
      </c>
      <c r="C934" s="66" t="s">
        <v>71</v>
      </c>
      <c r="D934" s="66" t="str">
        <f t="shared" si="28"/>
        <v>0945</v>
      </c>
      <c r="E934" s="66">
        <f t="shared" si="29"/>
        <v>1</v>
      </c>
    </row>
    <row r="935" spans="1:5" x14ac:dyDescent="0.15">
      <c r="A935" s="66" t="s">
        <v>1996</v>
      </c>
      <c r="B935" s="66" t="s">
        <v>1997</v>
      </c>
      <c r="C935" s="66" t="s">
        <v>86</v>
      </c>
      <c r="D935" s="66" t="str">
        <f t="shared" si="28"/>
        <v>0946</v>
      </c>
      <c r="E935" s="66">
        <f t="shared" si="29"/>
        <v>1</v>
      </c>
    </row>
    <row r="936" spans="1:5" x14ac:dyDescent="0.15">
      <c r="A936" s="66" t="s">
        <v>1998</v>
      </c>
      <c r="B936" s="66" t="s">
        <v>1999</v>
      </c>
      <c r="C936" s="66" t="s">
        <v>140</v>
      </c>
      <c r="D936" s="66" t="str">
        <f t="shared" si="28"/>
        <v>0947</v>
      </c>
      <c r="E936" s="66">
        <f t="shared" si="29"/>
        <v>1</v>
      </c>
    </row>
    <row r="937" spans="1:5" x14ac:dyDescent="0.15">
      <c r="A937" s="66" t="s">
        <v>2000</v>
      </c>
      <c r="B937" s="66" t="s">
        <v>2001</v>
      </c>
      <c r="C937" s="66" t="s">
        <v>101</v>
      </c>
      <c r="D937" s="66" t="str">
        <f t="shared" si="28"/>
        <v>0948</v>
      </c>
      <c r="E937" s="66">
        <f t="shared" si="29"/>
        <v>1</v>
      </c>
    </row>
    <row r="938" spans="1:5" x14ac:dyDescent="0.15">
      <c r="A938" s="66" t="s">
        <v>2002</v>
      </c>
      <c r="B938" s="66" t="s">
        <v>2003</v>
      </c>
      <c r="C938" s="66" t="s">
        <v>385</v>
      </c>
      <c r="D938" s="66" t="str">
        <f t="shared" si="28"/>
        <v>0949</v>
      </c>
      <c r="E938" s="66">
        <f t="shared" si="29"/>
        <v>1</v>
      </c>
    </row>
    <row r="939" spans="1:5" x14ac:dyDescent="0.15">
      <c r="A939" s="66" t="s">
        <v>2004</v>
      </c>
      <c r="B939" s="66" t="s">
        <v>2005</v>
      </c>
      <c r="C939" s="66" t="s">
        <v>467</v>
      </c>
      <c r="D939" s="66" t="str">
        <f t="shared" si="28"/>
        <v>0950</v>
      </c>
      <c r="E939" s="66">
        <f t="shared" si="29"/>
        <v>1</v>
      </c>
    </row>
    <row r="940" spans="1:5" x14ac:dyDescent="0.15">
      <c r="A940" s="66" t="s">
        <v>2006</v>
      </c>
      <c r="B940" s="66" t="s">
        <v>2007</v>
      </c>
      <c r="C940" s="66" t="s">
        <v>133</v>
      </c>
      <c r="D940" s="66" t="str">
        <f t="shared" si="28"/>
        <v>0951</v>
      </c>
      <c r="E940" s="66">
        <f t="shared" si="29"/>
        <v>1</v>
      </c>
    </row>
    <row r="941" spans="1:5" x14ac:dyDescent="0.15">
      <c r="A941" s="66" t="s">
        <v>2008</v>
      </c>
      <c r="B941" s="66" t="s">
        <v>2009</v>
      </c>
      <c r="C941" s="66" t="s">
        <v>133</v>
      </c>
      <c r="D941" s="66" t="str">
        <f t="shared" si="28"/>
        <v>0952</v>
      </c>
      <c r="E941" s="66">
        <f t="shared" si="29"/>
        <v>1</v>
      </c>
    </row>
    <row r="942" spans="1:5" x14ac:dyDescent="0.15">
      <c r="A942" s="66" t="s">
        <v>2010</v>
      </c>
      <c r="B942" s="66" t="s">
        <v>2011</v>
      </c>
      <c r="C942" s="66" t="s">
        <v>133</v>
      </c>
      <c r="D942" s="66" t="str">
        <f t="shared" si="28"/>
        <v>0953</v>
      </c>
      <c r="E942" s="66">
        <f t="shared" si="29"/>
        <v>1</v>
      </c>
    </row>
    <row r="943" spans="1:5" x14ac:dyDescent="0.15">
      <c r="A943" s="66" t="s">
        <v>2012</v>
      </c>
      <c r="B943" s="66" t="s">
        <v>2013</v>
      </c>
      <c r="C943" s="66" t="s">
        <v>133</v>
      </c>
      <c r="D943" s="66" t="str">
        <f t="shared" si="28"/>
        <v>0954</v>
      </c>
      <c r="E943" s="66">
        <f t="shared" si="29"/>
        <v>1</v>
      </c>
    </row>
    <row r="944" spans="1:5" x14ac:dyDescent="0.15">
      <c r="A944" s="66" t="s">
        <v>2014</v>
      </c>
      <c r="B944" s="66" t="s">
        <v>2015</v>
      </c>
      <c r="C944" s="66" t="s">
        <v>133</v>
      </c>
      <c r="D944" s="66" t="str">
        <f t="shared" si="28"/>
        <v>0955</v>
      </c>
      <c r="E944" s="66">
        <f t="shared" si="29"/>
        <v>1</v>
      </c>
    </row>
    <row r="945" spans="1:5" x14ac:dyDescent="0.15">
      <c r="A945" s="66" t="s">
        <v>2016</v>
      </c>
      <c r="B945" s="66" t="s">
        <v>2017</v>
      </c>
      <c r="C945" s="66" t="s">
        <v>385</v>
      </c>
      <c r="D945" s="66" t="str">
        <f t="shared" si="28"/>
        <v>0956</v>
      </c>
      <c r="E945" s="66">
        <f t="shared" si="29"/>
        <v>1</v>
      </c>
    </row>
    <row r="946" spans="1:5" x14ac:dyDescent="0.15">
      <c r="A946" s="66" t="s">
        <v>2018</v>
      </c>
      <c r="B946" s="66" t="s">
        <v>2019</v>
      </c>
      <c r="C946" s="66" t="s">
        <v>140</v>
      </c>
      <c r="D946" s="66" t="str">
        <f t="shared" si="28"/>
        <v>0957</v>
      </c>
      <c r="E946" s="66">
        <f t="shared" si="29"/>
        <v>1</v>
      </c>
    </row>
    <row r="947" spans="1:5" x14ac:dyDescent="0.15">
      <c r="A947" s="66" t="s">
        <v>2020</v>
      </c>
      <c r="B947" s="66" t="s">
        <v>2021</v>
      </c>
      <c r="C947" s="66" t="s">
        <v>71</v>
      </c>
      <c r="D947" s="66" t="str">
        <f t="shared" si="28"/>
        <v>0958</v>
      </c>
      <c r="E947" s="66">
        <f t="shared" si="29"/>
        <v>1</v>
      </c>
    </row>
    <row r="948" spans="1:5" x14ac:dyDescent="0.15">
      <c r="A948" s="66" t="s">
        <v>2022</v>
      </c>
      <c r="B948" s="66" t="s">
        <v>2023</v>
      </c>
      <c r="C948" s="66" t="s">
        <v>133</v>
      </c>
      <c r="D948" s="66" t="str">
        <f t="shared" si="28"/>
        <v>0959</v>
      </c>
      <c r="E948" s="66">
        <f t="shared" si="29"/>
        <v>1</v>
      </c>
    </row>
    <row r="949" spans="1:5" x14ac:dyDescent="0.15">
      <c r="A949" s="66" t="s">
        <v>2024</v>
      </c>
      <c r="B949" s="66" t="s">
        <v>2025</v>
      </c>
      <c r="C949" s="66" t="s">
        <v>133</v>
      </c>
      <c r="D949" s="66" t="str">
        <f t="shared" si="28"/>
        <v>0960</v>
      </c>
      <c r="E949" s="66">
        <f t="shared" si="29"/>
        <v>1</v>
      </c>
    </row>
    <row r="950" spans="1:5" x14ac:dyDescent="0.15">
      <c r="A950" s="66" t="s">
        <v>2026</v>
      </c>
      <c r="B950" s="66" t="s">
        <v>2027</v>
      </c>
      <c r="C950" s="66" t="s">
        <v>86</v>
      </c>
      <c r="D950" s="66" t="str">
        <f t="shared" si="28"/>
        <v>0961</v>
      </c>
      <c r="E950" s="66">
        <f t="shared" si="29"/>
        <v>1</v>
      </c>
    </row>
    <row r="951" spans="1:5" x14ac:dyDescent="0.15">
      <c r="A951" s="66" t="s">
        <v>2028</v>
      </c>
      <c r="B951" s="66" t="s">
        <v>2029</v>
      </c>
      <c r="C951" s="66" t="s">
        <v>86</v>
      </c>
      <c r="D951" s="66" t="str">
        <f t="shared" si="28"/>
        <v>0962</v>
      </c>
      <c r="E951" s="66">
        <f t="shared" si="29"/>
        <v>1</v>
      </c>
    </row>
    <row r="952" spans="1:5" x14ac:dyDescent="0.15">
      <c r="A952" s="66" t="s">
        <v>2030</v>
      </c>
      <c r="B952" s="66" t="s">
        <v>2031</v>
      </c>
      <c r="C952" s="66" t="s">
        <v>86</v>
      </c>
      <c r="D952" s="66" t="str">
        <f t="shared" si="28"/>
        <v>0963</v>
      </c>
      <c r="E952" s="66">
        <f t="shared" si="29"/>
        <v>1</v>
      </c>
    </row>
    <row r="953" spans="1:5" x14ac:dyDescent="0.15">
      <c r="A953" s="66" t="s">
        <v>2032</v>
      </c>
      <c r="B953" s="66" t="s">
        <v>2033</v>
      </c>
      <c r="C953" s="66" t="s">
        <v>86</v>
      </c>
      <c r="D953" s="66" t="str">
        <f t="shared" si="28"/>
        <v>0964</v>
      </c>
      <c r="E953" s="66">
        <f t="shared" si="29"/>
        <v>1</v>
      </c>
    </row>
    <row r="954" spans="1:5" x14ac:dyDescent="0.15">
      <c r="A954" s="66" t="s">
        <v>2034</v>
      </c>
      <c r="B954" s="66" t="s">
        <v>2035</v>
      </c>
      <c r="C954" s="66" t="s">
        <v>86</v>
      </c>
      <c r="D954" s="66" t="str">
        <f t="shared" si="28"/>
        <v>0965</v>
      </c>
      <c r="E954" s="66">
        <f t="shared" si="29"/>
        <v>1</v>
      </c>
    </row>
    <row r="955" spans="1:5" x14ac:dyDescent="0.15">
      <c r="A955" s="66" t="s">
        <v>2036</v>
      </c>
      <c r="B955" s="66" t="s">
        <v>2037</v>
      </c>
      <c r="C955" s="66" t="s">
        <v>86</v>
      </c>
      <c r="D955" s="66" t="str">
        <f t="shared" si="28"/>
        <v>0966</v>
      </c>
      <c r="E955" s="66">
        <f t="shared" si="29"/>
        <v>1</v>
      </c>
    </row>
    <row r="956" spans="1:5" x14ac:dyDescent="0.15">
      <c r="A956" s="66" t="s">
        <v>2038</v>
      </c>
      <c r="B956" s="66" t="s">
        <v>2039</v>
      </c>
      <c r="C956" s="66" t="s">
        <v>86</v>
      </c>
      <c r="D956" s="66" t="str">
        <f t="shared" si="28"/>
        <v>0967</v>
      </c>
      <c r="E956" s="66">
        <f t="shared" si="29"/>
        <v>1</v>
      </c>
    </row>
    <row r="957" spans="1:5" x14ac:dyDescent="0.15">
      <c r="A957" s="66" t="s">
        <v>2040</v>
      </c>
      <c r="B957" s="66" t="s">
        <v>2041</v>
      </c>
      <c r="C957" s="66" t="s">
        <v>67</v>
      </c>
      <c r="D957" s="66" t="str">
        <f t="shared" si="28"/>
        <v>0968</v>
      </c>
      <c r="E957" s="66">
        <f t="shared" si="29"/>
        <v>1</v>
      </c>
    </row>
    <row r="958" spans="1:5" x14ac:dyDescent="0.15">
      <c r="A958" s="66" t="s">
        <v>2042</v>
      </c>
      <c r="B958" s="66" t="s">
        <v>2043</v>
      </c>
      <c r="C958" s="66" t="s">
        <v>245</v>
      </c>
      <c r="D958" s="66" t="str">
        <f t="shared" si="28"/>
        <v>0969</v>
      </c>
      <c r="E958" s="66">
        <f t="shared" si="29"/>
        <v>1</v>
      </c>
    </row>
    <row r="959" spans="1:5" x14ac:dyDescent="0.15">
      <c r="A959" s="66" t="s">
        <v>2044</v>
      </c>
      <c r="B959" s="66" t="s">
        <v>2045</v>
      </c>
      <c r="C959" s="66" t="s">
        <v>86</v>
      </c>
      <c r="D959" s="66" t="str">
        <f t="shared" si="28"/>
        <v>0970</v>
      </c>
      <c r="E959" s="66">
        <f t="shared" si="29"/>
        <v>1</v>
      </c>
    </row>
    <row r="960" spans="1:5" x14ac:dyDescent="0.15">
      <c r="A960" s="66" t="s">
        <v>2046</v>
      </c>
      <c r="B960" s="66" t="s">
        <v>2047</v>
      </c>
      <c r="C960" s="66" t="s">
        <v>86</v>
      </c>
      <c r="D960" s="66" t="str">
        <f t="shared" si="28"/>
        <v>0971</v>
      </c>
      <c r="E960" s="66">
        <f t="shared" si="29"/>
        <v>1</v>
      </c>
    </row>
    <row r="961" spans="1:5" x14ac:dyDescent="0.15">
      <c r="A961" s="66" t="s">
        <v>2048</v>
      </c>
      <c r="B961" s="66" t="s">
        <v>2049</v>
      </c>
      <c r="C961" s="66" t="s">
        <v>86</v>
      </c>
      <c r="D961" s="66" t="str">
        <f t="shared" si="28"/>
        <v>0972</v>
      </c>
      <c r="E961" s="66">
        <f t="shared" si="29"/>
        <v>1</v>
      </c>
    </row>
    <row r="962" spans="1:5" x14ac:dyDescent="0.15">
      <c r="A962" s="66" t="s">
        <v>2050</v>
      </c>
      <c r="B962" s="66" t="s">
        <v>2051</v>
      </c>
      <c r="C962" s="66" t="s">
        <v>86</v>
      </c>
      <c r="D962" s="66" t="str">
        <f t="shared" ref="D962:D1025" si="30">A962</f>
        <v>0973</v>
      </c>
      <c r="E962" s="66">
        <f t="shared" ref="E962:E1025" si="31">COUNTIFS(B:B,B962)</f>
        <v>1</v>
      </c>
    </row>
    <row r="963" spans="1:5" x14ac:dyDescent="0.15">
      <c r="A963" s="66" t="s">
        <v>2052</v>
      </c>
      <c r="B963" s="66" t="s">
        <v>2053</v>
      </c>
      <c r="C963" s="66" t="s">
        <v>86</v>
      </c>
      <c r="D963" s="66" t="str">
        <f t="shared" si="30"/>
        <v>0974</v>
      </c>
      <c r="E963" s="66">
        <f t="shared" si="31"/>
        <v>1</v>
      </c>
    </row>
    <row r="964" spans="1:5" x14ac:dyDescent="0.15">
      <c r="A964" s="66" t="s">
        <v>2054</v>
      </c>
      <c r="B964" s="66" t="s">
        <v>2055</v>
      </c>
      <c r="C964" s="66" t="s">
        <v>133</v>
      </c>
      <c r="D964" s="66" t="str">
        <f t="shared" si="30"/>
        <v>0975</v>
      </c>
      <c r="E964" s="66">
        <f t="shared" si="31"/>
        <v>1</v>
      </c>
    </row>
    <row r="965" spans="1:5" x14ac:dyDescent="0.15">
      <c r="A965" s="66" t="s">
        <v>2056</v>
      </c>
      <c r="B965" s="66" t="s">
        <v>2057</v>
      </c>
      <c r="C965" s="66" t="s">
        <v>67</v>
      </c>
      <c r="D965" s="66" t="str">
        <f t="shared" si="30"/>
        <v>0976</v>
      </c>
      <c r="E965" s="66">
        <f t="shared" si="31"/>
        <v>1</v>
      </c>
    </row>
    <row r="966" spans="1:5" x14ac:dyDescent="0.15">
      <c r="A966" s="66" t="s">
        <v>2058</v>
      </c>
      <c r="B966" s="66" t="s">
        <v>2059</v>
      </c>
      <c r="C966" s="66" t="s">
        <v>67</v>
      </c>
      <c r="D966" s="66" t="str">
        <f t="shared" si="30"/>
        <v>0977</v>
      </c>
      <c r="E966" s="66">
        <f t="shared" si="31"/>
        <v>2</v>
      </c>
    </row>
    <row r="967" spans="1:5" x14ac:dyDescent="0.15">
      <c r="A967" s="66" t="s">
        <v>2060</v>
      </c>
      <c r="B967" s="66" t="s">
        <v>2061</v>
      </c>
      <c r="C967" s="66" t="s">
        <v>86</v>
      </c>
      <c r="D967" s="66" t="str">
        <f t="shared" si="30"/>
        <v>0978</v>
      </c>
      <c r="E967" s="66">
        <f t="shared" si="31"/>
        <v>1</v>
      </c>
    </row>
    <row r="968" spans="1:5" x14ac:dyDescent="0.15">
      <c r="A968" s="66" t="s">
        <v>2062</v>
      </c>
      <c r="B968" s="66" t="s">
        <v>2063</v>
      </c>
      <c r="C968" s="66" t="s">
        <v>131</v>
      </c>
      <c r="D968" s="66" t="str">
        <f t="shared" si="30"/>
        <v>0979</v>
      </c>
      <c r="E968" s="66">
        <f t="shared" si="31"/>
        <v>1</v>
      </c>
    </row>
    <row r="969" spans="1:5" x14ac:dyDescent="0.15">
      <c r="A969" s="66" t="s">
        <v>2064</v>
      </c>
      <c r="B969" s="66" t="s">
        <v>2065</v>
      </c>
      <c r="C969" s="66" t="s">
        <v>133</v>
      </c>
      <c r="D969" s="66" t="str">
        <f t="shared" si="30"/>
        <v>0980</v>
      </c>
      <c r="E969" s="66">
        <f t="shared" si="31"/>
        <v>1</v>
      </c>
    </row>
    <row r="970" spans="1:5" x14ac:dyDescent="0.15">
      <c r="A970" s="66" t="s">
        <v>2066</v>
      </c>
      <c r="B970" s="66" t="s">
        <v>2067</v>
      </c>
      <c r="C970" s="66" t="s">
        <v>133</v>
      </c>
      <c r="D970" s="66" t="str">
        <f t="shared" si="30"/>
        <v>0981</v>
      </c>
      <c r="E970" s="66">
        <f t="shared" si="31"/>
        <v>1</v>
      </c>
    </row>
    <row r="971" spans="1:5" x14ac:dyDescent="0.15">
      <c r="A971" s="66" t="s">
        <v>2068</v>
      </c>
      <c r="B971" s="66" t="s">
        <v>2069</v>
      </c>
      <c r="C971" s="66" t="s">
        <v>86</v>
      </c>
      <c r="D971" s="66" t="str">
        <f t="shared" si="30"/>
        <v>0982</v>
      </c>
      <c r="E971" s="66">
        <f t="shared" si="31"/>
        <v>1</v>
      </c>
    </row>
    <row r="972" spans="1:5" x14ac:dyDescent="0.15">
      <c r="A972" s="66" t="s">
        <v>2070</v>
      </c>
      <c r="B972" s="66" t="s">
        <v>2071</v>
      </c>
      <c r="C972" s="66" t="s">
        <v>86</v>
      </c>
      <c r="D972" s="66" t="str">
        <f t="shared" si="30"/>
        <v>0983</v>
      </c>
      <c r="E972" s="66">
        <f t="shared" si="31"/>
        <v>1</v>
      </c>
    </row>
    <row r="973" spans="1:5" x14ac:dyDescent="0.15">
      <c r="A973" s="66" t="s">
        <v>2072</v>
      </c>
      <c r="B973" s="66" t="s">
        <v>2073</v>
      </c>
      <c r="C973" s="66" t="s">
        <v>131</v>
      </c>
      <c r="D973" s="66" t="str">
        <f t="shared" si="30"/>
        <v>0984</v>
      </c>
      <c r="E973" s="66">
        <f t="shared" si="31"/>
        <v>1</v>
      </c>
    </row>
    <row r="974" spans="1:5" x14ac:dyDescent="0.15">
      <c r="A974" s="66" t="s">
        <v>2074</v>
      </c>
      <c r="B974" s="66" t="s">
        <v>2075</v>
      </c>
      <c r="C974" s="66" t="s">
        <v>131</v>
      </c>
      <c r="D974" s="66" t="str">
        <f t="shared" si="30"/>
        <v>0985</v>
      </c>
      <c r="E974" s="66">
        <f t="shared" si="31"/>
        <v>1</v>
      </c>
    </row>
    <row r="975" spans="1:5" x14ac:dyDescent="0.15">
      <c r="A975" s="66" t="s">
        <v>2076</v>
      </c>
      <c r="B975" s="66" t="s">
        <v>2077</v>
      </c>
      <c r="C975" s="66" t="s">
        <v>133</v>
      </c>
      <c r="D975" s="66" t="str">
        <f t="shared" si="30"/>
        <v>0986</v>
      </c>
      <c r="E975" s="66">
        <f t="shared" si="31"/>
        <v>1</v>
      </c>
    </row>
    <row r="976" spans="1:5" x14ac:dyDescent="0.15">
      <c r="A976" s="66" t="s">
        <v>2078</v>
      </c>
      <c r="B976" s="66" t="s">
        <v>2079</v>
      </c>
      <c r="C976" s="66" t="s">
        <v>86</v>
      </c>
      <c r="D976" s="66" t="str">
        <f t="shared" si="30"/>
        <v>0987</v>
      </c>
      <c r="E976" s="66">
        <f t="shared" si="31"/>
        <v>1</v>
      </c>
    </row>
    <row r="977" spans="1:5" x14ac:dyDescent="0.15">
      <c r="A977" s="66" t="s">
        <v>2080</v>
      </c>
      <c r="B977" s="66" t="s">
        <v>2081</v>
      </c>
      <c r="C977" s="66" t="s">
        <v>385</v>
      </c>
      <c r="D977" s="66" t="str">
        <f t="shared" si="30"/>
        <v>0988</v>
      </c>
      <c r="E977" s="66">
        <f t="shared" si="31"/>
        <v>1</v>
      </c>
    </row>
    <row r="978" spans="1:5" x14ac:dyDescent="0.15">
      <c r="A978" s="66" t="s">
        <v>2082</v>
      </c>
      <c r="B978" s="66" t="s">
        <v>2083</v>
      </c>
      <c r="C978" s="66" t="s">
        <v>443</v>
      </c>
      <c r="D978" s="66" t="str">
        <f t="shared" si="30"/>
        <v>0989</v>
      </c>
      <c r="E978" s="66">
        <f t="shared" si="31"/>
        <v>1</v>
      </c>
    </row>
    <row r="979" spans="1:5" x14ac:dyDescent="0.15">
      <c r="A979" s="66" t="s">
        <v>2084</v>
      </c>
      <c r="B979" s="66" t="s">
        <v>2085</v>
      </c>
      <c r="C979" s="66" t="s">
        <v>385</v>
      </c>
      <c r="D979" s="66" t="str">
        <f t="shared" si="30"/>
        <v>0990</v>
      </c>
      <c r="E979" s="66">
        <f t="shared" si="31"/>
        <v>1</v>
      </c>
    </row>
    <row r="980" spans="1:5" x14ac:dyDescent="0.15">
      <c r="A980" s="66" t="s">
        <v>2086</v>
      </c>
      <c r="B980" s="66" t="s">
        <v>2087</v>
      </c>
      <c r="C980" s="66" t="s">
        <v>101</v>
      </c>
      <c r="D980" s="66" t="str">
        <f t="shared" si="30"/>
        <v>0991</v>
      </c>
      <c r="E980" s="66">
        <f t="shared" si="31"/>
        <v>1</v>
      </c>
    </row>
    <row r="981" spans="1:5" x14ac:dyDescent="0.15">
      <c r="A981" s="66" t="s">
        <v>2088</v>
      </c>
      <c r="B981" s="66" t="s">
        <v>2089</v>
      </c>
      <c r="C981" s="66" t="s">
        <v>133</v>
      </c>
      <c r="D981" s="66" t="str">
        <f t="shared" si="30"/>
        <v>0992</v>
      </c>
      <c r="E981" s="66">
        <f t="shared" si="31"/>
        <v>1</v>
      </c>
    </row>
    <row r="982" spans="1:5" x14ac:dyDescent="0.15">
      <c r="A982" s="66" t="s">
        <v>2090</v>
      </c>
      <c r="B982" s="66" t="s">
        <v>2091</v>
      </c>
      <c r="C982" s="66" t="s">
        <v>433</v>
      </c>
      <c r="D982" s="66" t="str">
        <f t="shared" si="30"/>
        <v>0993</v>
      </c>
      <c r="E982" s="66">
        <f t="shared" si="31"/>
        <v>1</v>
      </c>
    </row>
    <row r="983" spans="1:5" x14ac:dyDescent="0.15">
      <c r="A983" s="66" t="s">
        <v>2092</v>
      </c>
      <c r="B983" s="66" t="s">
        <v>2093</v>
      </c>
      <c r="C983" s="66" t="s">
        <v>813</v>
      </c>
      <c r="D983" s="66" t="str">
        <f t="shared" si="30"/>
        <v>0994</v>
      </c>
      <c r="E983" s="66">
        <f t="shared" si="31"/>
        <v>1</v>
      </c>
    </row>
    <row r="984" spans="1:5" x14ac:dyDescent="0.15">
      <c r="A984" s="66" t="s">
        <v>2094</v>
      </c>
      <c r="B984" s="66" t="s">
        <v>2095</v>
      </c>
      <c r="C984" s="66" t="s">
        <v>140</v>
      </c>
      <c r="D984" s="66" t="str">
        <f t="shared" si="30"/>
        <v>0995</v>
      </c>
      <c r="E984" s="66">
        <f t="shared" si="31"/>
        <v>1</v>
      </c>
    </row>
    <row r="985" spans="1:5" x14ac:dyDescent="0.15">
      <c r="A985" s="66" t="s">
        <v>2096</v>
      </c>
      <c r="B985" s="66" t="s">
        <v>2097</v>
      </c>
      <c r="C985" s="66" t="s">
        <v>140</v>
      </c>
      <c r="D985" s="66" t="str">
        <f t="shared" si="30"/>
        <v>0996</v>
      </c>
      <c r="E985" s="66">
        <f t="shared" si="31"/>
        <v>1</v>
      </c>
    </row>
    <row r="986" spans="1:5" x14ac:dyDescent="0.15">
      <c r="A986" s="66" t="s">
        <v>2098</v>
      </c>
      <c r="B986" s="66" t="s">
        <v>2099</v>
      </c>
      <c r="C986" s="66" t="s">
        <v>140</v>
      </c>
      <c r="D986" s="66" t="str">
        <f t="shared" si="30"/>
        <v>0997</v>
      </c>
      <c r="E986" s="66">
        <f t="shared" si="31"/>
        <v>1</v>
      </c>
    </row>
    <row r="987" spans="1:5" x14ac:dyDescent="0.15">
      <c r="A987" s="66" t="s">
        <v>2100</v>
      </c>
      <c r="B987" s="66" t="s">
        <v>2101</v>
      </c>
      <c r="C987" s="66" t="s">
        <v>75</v>
      </c>
      <c r="D987" s="66" t="str">
        <f t="shared" si="30"/>
        <v>0998</v>
      </c>
      <c r="E987" s="66">
        <f t="shared" si="31"/>
        <v>1</v>
      </c>
    </row>
    <row r="988" spans="1:5" x14ac:dyDescent="0.15">
      <c r="A988" s="66" t="s">
        <v>2102</v>
      </c>
      <c r="B988" s="66" t="s">
        <v>2103</v>
      </c>
      <c r="C988" s="66" t="s">
        <v>245</v>
      </c>
      <c r="D988" s="66" t="str">
        <f t="shared" si="30"/>
        <v>0999</v>
      </c>
      <c r="E988" s="66">
        <f t="shared" si="31"/>
        <v>1</v>
      </c>
    </row>
    <row r="989" spans="1:5" x14ac:dyDescent="0.15">
      <c r="A989" s="66" t="s">
        <v>2104</v>
      </c>
      <c r="B989" s="66" t="s">
        <v>2105</v>
      </c>
      <c r="C989" s="66" t="s">
        <v>86</v>
      </c>
      <c r="D989" s="66" t="str">
        <f t="shared" si="30"/>
        <v>1000</v>
      </c>
      <c r="E989" s="66">
        <f t="shared" si="31"/>
        <v>1</v>
      </c>
    </row>
    <row r="990" spans="1:5" x14ac:dyDescent="0.15">
      <c r="A990" s="66" t="s">
        <v>2106</v>
      </c>
      <c r="B990" s="66" t="s">
        <v>2107</v>
      </c>
      <c r="C990" s="66" t="s">
        <v>86</v>
      </c>
      <c r="D990" s="66" t="str">
        <f t="shared" si="30"/>
        <v>1001</v>
      </c>
      <c r="E990" s="66">
        <f t="shared" si="31"/>
        <v>1</v>
      </c>
    </row>
    <row r="991" spans="1:5" x14ac:dyDescent="0.15">
      <c r="A991" s="66" t="s">
        <v>2108</v>
      </c>
      <c r="B991" s="66" t="s">
        <v>2109</v>
      </c>
      <c r="C991" s="66" t="s">
        <v>86</v>
      </c>
      <c r="D991" s="66" t="str">
        <f t="shared" si="30"/>
        <v>1002</v>
      </c>
      <c r="E991" s="66">
        <f t="shared" si="31"/>
        <v>1</v>
      </c>
    </row>
    <row r="992" spans="1:5" x14ac:dyDescent="0.15">
      <c r="A992" s="66" t="s">
        <v>2110</v>
      </c>
      <c r="B992" s="66" t="s">
        <v>2111</v>
      </c>
      <c r="C992" s="66" t="s">
        <v>86</v>
      </c>
      <c r="D992" s="66" t="str">
        <f t="shared" si="30"/>
        <v>1003</v>
      </c>
      <c r="E992" s="66">
        <f t="shared" si="31"/>
        <v>1</v>
      </c>
    </row>
    <row r="993" spans="1:5" x14ac:dyDescent="0.15">
      <c r="A993" s="66" t="s">
        <v>2112</v>
      </c>
      <c r="B993" s="66" t="s">
        <v>2113</v>
      </c>
      <c r="C993" s="66" t="s">
        <v>140</v>
      </c>
      <c r="D993" s="66" t="str">
        <f t="shared" si="30"/>
        <v>1004</v>
      </c>
      <c r="E993" s="66">
        <f t="shared" si="31"/>
        <v>1</v>
      </c>
    </row>
    <row r="994" spans="1:5" x14ac:dyDescent="0.15">
      <c r="A994" s="66" t="s">
        <v>2114</v>
      </c>
      <c r="B994" s="66" t="s">
        <v>2115</v>
      </c>
      <c r="C994" s="66" t="s">
        <v>101</v>
      </c>
      <c r="D994" s="66" t="str">
        <f t="shared" si="30"/>
        <v>1005</v>
      </c>
      <c r="E994" s="66">
        <f t="shared" si="31"/>
        <v>1</v>
      </c>
    </row>
    <row r="995" spans="1:5" x14ac:dyDescent="0.15">
      <c r="A995" s="66" t="s">
        <v>2116</v>
      </c>
      <c r="B995" s="66" t="s">
        <v>2117</v>
      </c>
      <c r="C995" s="66" t="s">
        <v>71</v>
      </c>
      <c r="D995" s="66" t="str">
        <f t="shared" si="30"/>
        <v>1006</v>
      </c>
      <c r="E995" s="66">
        <f t="shared" si="31"/>
        <v>1</v>
      </c>
    </row>
    <row r="996" spans="1:5" x14ac:dyDescent="0.15">
      <c r="A996" s="66" t="s">
        <v>2118</v>
      </c>
      <c r="B996" s="66" t="s">
        <v>2119</v>
      </c>
      <c r="C996" s="66" t="s">
        <v>133</v>
      </c>
      <c r="D996" s="66" t="str">
        <f t="shared" si="30"/>
        <v>1007</v>
      </c>
      <c r="E996" s="66">
        <f t="shared" si="31"/>
        <v>1</v>
      </c>
    </row>
    <row r="997" spans="1:5" x14ac:dyDescent="0.15">
      <c r="A997" s="66" t="s">
        <v>2120</v>
      </c>
      <c r="B997" s="66" t="s">
        <v>2121</v>
      </c>
      <c r="C997" s="66" t="s">
        <v>340</v>
      </c>
      <c r="D997" s="66" t="str">
        <f t="shared" si="30"/>
        <v>1008</v>
      </c>
      <c r="E997" s="66">
        <f t="shared" si="31"/>
        <v>1</v>
      </c>
    </row>
    <row r="998" spans="1:5" x14ac:dyDescent="0.15">
      <c r="A998" s="66" t="s">
        <v>2122</v>
      </c>
      <c r="B998" s="66" t="s">
        <v>2123</v>
      </c>
      <c r="C998" s="66" t="s">
        <v>101</v>
      </c>
      <c r="D998" s="66" t="str">
        <f t="shared" si="30"/>
        <v>1009</v>
      </c>
      <c r="E998" s="66">
        <f t="shared" si="31"/>
        <v>1</v>
      </c>
    </row>
    <row r="999" spans="1:5" x14ac:dyDescent="0.15">
      <c r="A999" s="66" t="s">
        <v>2124</v>
      </c>
      <c r="B999" s="66" t="s">
        <v>2125</v>
      </c>
      <c r="C999" s="66" t="s">
        <v>140</v>
      </c>
      <c r="D999" s="66" t="str">
        <f t="shared" si="30"/>
        <v>1010</v>
      </c>
      <c r="E999" s="66">
        <f t="shared" si="31"/>
        <v>1</v>
      </c>
    </row>
    <row r="1000" spans="1:5" x14ac:dyDescent="0.15">
      <c r="A1000" s="66" t="s">
        <v>2126</v>
      </c>
      <c r="B1000" s="66" t="s">
        <v>2127</v>
      </c>
      <c r="C1000" s="66" t="s">
        <v>75</v>
      </c>
      <c r="D1000" s="66" t="str">
        <f t="shared" si="30"/>
        <v>1011</v>
      </c>
      <c r="E1000" s="66">
        <f t="shared" si="31"/>
        <v>1</v>
      </c>
    </row>
    <row r="1001" spans="1:5" x14ac:dyDescent="0.15">
      <c r="A1001" s="66" t="s">
        <v>2128</v>
      </c>
      <c r="B1001" s="66" t="s">
        <v>2129</v>
      </c>
      <c r="C1001" s="66" t="s">
        <v>433</v>
      </c>
      <c r="D1001" s="66" t="str">
        <f t="shared" si="30"/>
        <v>1012</v>
      </c>
      <c r="E1001" s="66">
        <f t="shared" si="31"/>
        <v>1</v>
      </c>
    </row>
    <row r="1002" spans="1:5" x14ac:dyDescent="0.15">
      <c r="A1002" s="66" t="s">
        <v>2130</v>
      </c>
      <c r="B1002" s="66" t="s">
        <v>2131</v>
      </c>
      <c r="C1002" s="66" t="s">
        <v>86</v>
      </c>
      <c r="D1002" s="66" t="str">
        <f t="shared" si="30"/>
        <v>1013</v>
      </c>
      <c r="E1002" s="66">
        <f t="shared" si="31"/>
        <v>1</v>
      </c>
    </row>
    <row r="1003" spans="1:5" x14ac:dyDescent="0.15">
      <c r="A1003" s="66" t="s">
        <v>2132</v>
      </c>
      <c r="B1003" s="66" t="s">
        <v>2133</v>
      </c>
      <c r="C1003" s="66" t="s">
        <v>101</v>
      </c>
      <c r="D1003" s="66" t="str">
        <f t="shared" si="30"/>
        <v>1014</v>
      </c>
      <c r="E1003" s="66">
        <f t="shared" si="31"/>
        <v>1</v>
      </c>
    </row>
    <row r="1004" spans="1:5" x14ac:dyDescent="0.15">
      <c r="A1004" s="66" t="s">
        <v>2134</v>
      </c>
      <c r="B1004" s="66" t="s">
        <v>2135</v>
      </c>
      <c r="C1004" s="66" t="s">
        <v>133</v>
      </c>
      <c r="D1004" s="66" t="str">
        <f t="shared" si="30"/>
        <v>1015</v>
      </c>
      <c r="E1004" s="66">
        <f t="shared" si="31"/>
        <v>1</v>
      </c>
    </row>
    <row r="1005" spans="1:5" x14ac:dyDescent="0.15">
      <c r="A1005" s="66" t="s">
        <v>2136</v>
      </c>
      <c r="B1005" s="66" t="s">
        <v>2137</v>
      </c>
      <c r="C1005" s="66" t="s">
        <v>133</v>
      </c>
      <c r="D1005" s="66" t="str">
        <f t="shared" si="30"/>
        <v>1016</v>
      </c>
      <c r="E1005" s="66">
        <f t="shared" si="31"/>
        <v>1</v>
      </c>
    </row>
    <row r="1006" spans="1:5" x14ac:dyDescent="0.15">
      <c r="A1006" s="66" t="s">
        <v>2138</v>
      </c>
      <c r="B1006" s="66" t="s">
        <v>2139</v>
      </c>
      <c r="C1006" s="66" t="s">
        <v>75</v>
      </c>
      <c r="D1006" s="66" t="str">
        <f t="shared" si="30"/>
        <v>1017</v>
      </c>
      <c r="E1006" s="66">
        <f t="shared" si="31"/>
        <v>1</v>
      </c>
    </row>
    <row r="1007" spans="1:5" x14ac:dyDescent="0.15">
      <c r="A1007" s="66" t="s">
        <v>2140</v>
      </c>
      <c r="B1007" s="66" t="s">
        <v>2141</v>
      </c>
      <c r="C1007" s="66" t="s">
        <v>340</v>
      </c>
      <c r="D1007" s="66" t="str">
        <f t="shared" si="30"/>
        <v>1018</v>
      </c>
      <c r="E1007" s="66">
        <f t="shared" si="31"/>
        <v>1</v>
      </c>
    </row>
    <row r="1008" spans="1:5" x14ac:dyDescent="0.15">
      <c r="A1008" s="66" t="s">
        <v>2142</v>
      </c>
      <c r="B1008" s="66" t="s">
        <v>2143</v>
      </c>
      <c r="C1008" s="66" t="s">
        <v>133</v>
      </c>
      <c r="D1008" s="66" t="str">
        <f t="shared" si="30"/>
        <v>1019</v>
      </c>
      <c r="E1008" s="66">
        <f t="shared" si="31"/>
        <v>1</v>
      </c>
    </row>
    <row r="1009" spans="1:5" x14ac:dyDescent="0.15">
      <c r="A1009" s="66" t="s">
        <v>2144</v>
      </c>
      <c r="B1009" s="66" t="s">
        <v>2145</v>
      </c>
      <c r="C1009" s="66" t="s">
        <v>458</v>
      </c>
      <c r="D1009" s="66" t="str">
        <f t="shared" si="30"/>
        <v>1020</v>
      </c>
      <c r="E1009" s="66">
        <f t="shared" si="31"/>
        <v>1</v>
      </c>
    </row>
    <row r="1010" spans="1:5" x14ac:dyDescent="0.15">
      <c r="A1010" s="66" t="s">
        <v>2146</v>
      </c>
      <c r="B1010" s="66" t="s">
        <v>2147</v>
      </c>
      <c r="C1010" s="66" t="s">
        <v>140</v>
      </c>
      <c r="D1010" s="66" t="str">
        <f t="shared" si="30"/>
        <v>1021</v>
      </c>
      <c r="E1010" s="66">
        <f t="shared" si="31"/>
        <v>1</v>
      </c>
    </row>
    <row r="1011" spans="1:5" x14ac:dyDescent="0.15">
      <c r="A1011" s="66" t="s">
        <v>2148</v>
      </c>
      <c r="B1011" s="66" t="s">
        <v>2149</v>
      </c>
      <c r="C1011" s="66" t="s">
        <v>340</v>
      </c>
      <c r="D1011" s="66" t="str">
        <f t="shared" si="30"/>
        <v>1022</v>
      </c>
      <c r="E1011" s="66">
        <f t="shared" si="31"/>
        <v>1</v>
      </c>
    </row>
    <row r="1012" spans="1:5" x14ac:dyDescent="0.15">
      <c r="A1012" s="66" t="s">
        <v>2150</v>
      </c>
      <c r="B1012" s="66" t="s">
        <v>2151</v>
      </c>
      <c r="C1012" s="66" t="s">
        <v>245</v>
      </c>
      <c r="D1012" s="66" t="str">
        <f t="shared" si="30"/>
        <v>1023</v>
      </c>
      <c r="E1012" s="66">
        <f t="shared" si="31"/>
        <v>1</v>
      </c>
    </row>
    <row r="1013" spans="1:5" x14ac:dyDescent="0.15">
      <c r="A1013" s="66" t="s">
        <v>2152</v>
      </c>
      <c r="B1013" s="66" t="s">
        <v>2153</v>
      </c>
      <c r="C1013" s="66" t="s">
        <v>133</v>
      </c>
      <c r="D1013" s="66" t="str">
        <f t="shared" si="30"/>
        <v>1024</v>
      </c>
      <c r="E1013" s="66">
        <f t="shared" si="31"/>
        <v>1</v>
      </c>
    </row>
    <row r="1014" spans="1:5" x14ac:dyDescent="0.15">
      <c r="A1014" s="66" t="s">
        <v>2154</v>
      </c>
      <c r="B1014" s="66" t="s">
        <v>2155</v>
      </c>
      <c r="C1014" s="66" t="s">
        <v>340</v>
      </c>
      <c r="D1014" s="66" t="str">
        <f t="shared" si="30"/>
        <v>1025</v>
      </c>
      <c r="E1014" s="66">
        <f t="shared" si="31"/>
        <v>1</v>
      </c>
    </row>
    <row r="1015" spans="1:5" x14ac:dyDescent="0.15">
      <c r="A1015" s="66" t="s">
        <v>2156</v>
      </c>
      <c r="B1015" s="66" t="s">
        <v>2157</v>
      </c>
      <c r="C1015" s="66" t="s">
        <v>370</v>
      </c>
      <c r="D1015" s="66" t="str">
        <f t="shared" si="30"/>
        <v>1026</v>
      </c>
      <c r="E1015" s="66">
        <f t="shared" si="31"/>
        <v>1</v>
      </c>
    </row>
    <row r="1016" spans="1:5" x14ac:dyDescent="0.15">
      <c r="A1016" s="66" t="s">
        <v>2158</v>
      </c>
      <c r="B1016" s="66" t="s">
        <v>2159</v>
      </c>
      <c r="C1016" s="66" t="s">
        <v>75</v>
      </c>
      <c r="D1016" s="66" t="str">
        <f t="shared" si="30"/>
        <v>1027</v>
      </c>
      <c r="E1016" s="66">
        <f t="shared" si="31"/>
        <v>1</v>
      </c>
    </row>
    <row r="1017" spans="1:5" x14ac:dyDescent="0.15">
      <c r="A1017" s="66" t="s">
        <v>2160</v>
      </c>
      <c r="B1017" s="66" t="s">
        <v>2161</v>
      </c>
      <c r="C1017" s="66" t="s">
        <v>71</v>
      </c>
      <c r="D1017" s="66" t="str">
        <f t="shared" si="30"/>
        <v>1028</v>
      </c>
      <c r="E1017" s="66">
        <f t="shared" si="31"/>
        <v>2</v>
      </c>
    </row>
    <row r="1018" spans="1:5" x14ac:dyDescent="0.15">
      <c r="A1018" s="66" t="s">
        <v>2162</v>
      </c>
      <c r="B1018" s="66" t="s">
        <v>2163</v>
      </c>
      <c r="C1018" s="66" t="s">
        <v>340</v>
      </c>
      <c r="D1018" s="66" t="str">
        <f t="shared" si="30"/>
        <v>1029</v>
      </c>
      <c r="E1018" s="66">
        <f t="shared" si="31"/>
        <v>1</v>
      </c>
    </row>
    <row r="1019" spans="1:5" x14ac:dyDescent="0.15">
      <c r="A1019" s="66" t="s">
        <v>2164</v>
      </c>
      <c r="B1019" s="66" t="s">
        <v>2165</v>
      </c>
      <c r="C1019" s="66" t="s">
        <v>340</v>
      </c>
      <c r="D1019" s="66" t="str">
        <f t="shared" si="30"/>
        <v>1030</v>
      </c>
      <c r="E1019" s="66">
        <f t="shared" si="31"/>
        <v>1</v>
      </c>
    </row>
    <row r="1020" spans="1:5" x14ac:dyDescent="0.15">
      <c r="A1020" s="66" t="s">
        <v>2166</v>
      </c>
      <c r="B1020" s="66" t="s">
        <v>2167</v>
      </c>
      <c r="C1020" s="66" t="s">
        <v>86</v>
      </c>
      <c r="D1020" s="66" t="str">
        <f t="shared" si="30"/>
        <v>1031</v>
      </c>
      <c r="E1020" s="66">
        <f t="shared" si="31"/>
        <v>1</v>
      </c>
    </row>
    <row r="1021" spans="1:5" x14ac:dyDescent="0.15">
      <c r="A1021" s="66" t="s">
        <v>2168</v>
      </c>
      <c r="B1021" s="66" t="s">
        <v>2169</v>
      </c>
      <c r="C1021" s="66" t="s">
        <v>101</v>
      </c>
      <c r="D1021" s="66" t="str">
        <f t="shared" si="30"/>
        <v>1032</v>
      </c>
      <c r="E1021" s="66">
        <f t="shared" si="31"/>
        <v>1</v>
      </c>
    </row>
    <row r="1022" spans="1:5" x14ac:dyDescent="0.15">
      <c r="A1022" s="66" t="s">
        <v>2170</v>
      </c>
      <c r="B1022" s="66" t="s">
        <v>2171</v>
      </c>
      <c r="C1022" s="66" t="s">
        <v>140</v>
      </c>
      <c r="D1022" s="66" t="str">
        <f t="shared" si="30"/>
        <v>1033</v>
      </c>
      <c r="E1022" s="66">
        <f t="shared" si="31"/>
        <v>1</v>
      </c>
    </row>
    <row r="1023" spans="1:5" x14ac:dyDescent="0.15">
      <c r="A1023" s="66" t="s">
        <v>2172</v>
      </c>
      <c r="B1023" s="66" t="s">
        <v>2173</v>
      </c>
      <c r="C1023" s="66" t="s">
        <v>75</v>
      </c>
      <c r="D1023" s="66" t="str">
        <f t="shared" si="30"/>
        <v>1034</v>
      </c>
      <c r="E1023" s="66">
        <f t="shared" si="31"/>
        <v>1</v>
      </c>
    </row>
    <row r="1024" spans="1:5" x14ac:dyDescent="0.15">
      <c r="A1024" s="66" t="s">
        <v>2174</v>
      </c>
      <c r="B1024" s="66" t="s">
        <v>2175</v>
      </c>
      <c r="C1024" s="66" t="s">
        <v>71</v>
      </c>
      <c r="D1024" s="66" t="str">
        <f t="shared" si="30"/>
        <v>1035</v>
      </c>
      <c r="E1024" s="66">
        <f t="shared" si="31"/>
        <v>1</v>
      </c>
    </row>
    <row r="1025" spans="1:5" x14ac:dyDescent="0.15">
      <c r="A1025" s="66" t="s">
        <v>2176</v>
      </c>
      <c r="B1025" s="66" t="s">
        <v>2177</v>
      </c>
      <c r="C1025" s="66" t="s">
        <v>467</v>
      </c>
      <c r="D1025" s="66" t="str">
        <f t="shared" si="30"/>
        <v>1037</v>
      </c>
      <c r="E1025" s="66">
        <f t="shared" si="31"/>
        <v>1</v>
      </c>
    </row>
    <row r="1026" spans="1:5" x14ac:dyDescent="0.15">
      <c r="A1026" s="66" t="s">
        <v>2178</v>
      </c>
      <c r="B1026" s="66" t="s">
        <v>2179</v>
      </c>
      <c r="C1026" s="66" t="s">
        <v>467</v>
      </c>
      <c r="D1026" s="66" t="str">
        <f t="shared" ref="D1026:D1089" si="32">A1026</f>
        <v>1038</v>
      </c>
      <c r="E1026" s="66">
        <f t="shared" ref="E1026:E1089" si="33">COUNTIFS(B:B,B1026)</f>
        <v>1</v>
      </c>
    </row>
    <row r="1027" spans="1:5" x14ac:dyDescent="0.15">
      <c r="A1027" s="66" t="s">
        <v>2180</v>
      </c>
      <c r="B1027" s="66" t="s">
        <v>411</v>
      </c>
      <c r="C1027" s="66" t="s">
        <v>140</v>
      </c>
      <c r="D1027" s="66" t="str">
        <f t="shared" si="32"/>
        <v>1039</v>
      </c>
      <c r="E1027" s="66">
        <f t="shared" si="33"/>
        <v>4</v>
      </c>
    </row>
    <row r="1028" spans="1:5" x14ac:dyDescent="0.15">
      <c r="A1028" s="66" t="s">
        <v>2181</v>
      </c>
      <c r="B1028" s="66" t="s">
        <v>2182</v>
      </c>
      <c r="C1028" s="66" t="s">
        <v>133</v>
      </c>
      <c r="D1028" s="66" t="str">
        <f t="shared" si="32"/>
        <v>1040</v>
      </c>
      <c r="E1028" s="66">
        <f t="shared" si="33"/>
        <v>1</v>
      </c>
    </row>
    <row r="1029" spans="1:5" x14ac:dyDescent="0.15">
      <c r="A1029" s="66" t="s">
        <v>2183</v>
      </c>
      <c r="B1029" s="66" t="s">
        <v>2184</v>
      </c>
      <c r="C1029" s="66" t="s">
        <v>133</v>
      </c>
      <c r="D1029" s="66" t="str">
        <f t="shared" si="32"/>
        <v>1041</v>
      </c>
      <c r="E1029" s="66">
        <f t="shared" si="33"/>
        <v>1</v>
      </c>
    </row>
    <row r="1030" spans="1:5" x14ac:dyDescent="0.15">
      <c r="A1030" s="66" t="s">
        <v>2185</v>
      </c>
      <c r="B1030" s="66" t="s">
        <v>2186</v>
      </c>
      <c r="C1030" s="66" t="s">
        <v>86</v>
      </c>
      <c r="D1030" s="66" t="str">
        <f t="shared" si="32"/>
        <v>1042</v>
      </c>
      <c r="E1030" s="66">
        <f t="shared" si="33"/>
        <v>1</v>
      </c>
    </row>
    <row r="1031" spans="1:5" x14ac:dyDescent="0.15">
      <c r="A1031" s="66" t="s">
        <v>2187</v>
      </c>
      <c r="B1031" s="66" t="s">
        <v>2188</v>
      </c>
      <c r="C1031" s="66" t="s">
        <v>101</v>
      </c>
      <c r="D1031" s="66" t="str">
        <f t="shared" si="32"/>
        <v>1043</v>
      </c>
      <c r="E1031" s="66">
        <f t="shared" si="33"/>
        <v>1</v>
      </c>
    </row>
    <row r="1032" spans="1:5" x14ac:dyDescent="0.15">
      <c r="A1032" s="66" t="s">
        <v>2189</v>
      </c>
      <c r="B1032" s="66" t="s">
        <v>2190</v>
      </c>
      <c r="C1032" s="66" t="s">
        <v>140</v>
      </c>
      <c r="D1032" s="66" t="str">
        <f t="shared" si="32"/>
        <v>1044</v>
      </c>
      <c r="E1032" s="66">
        <f t="shared" si="33"/>
        <v>1</v>
      </c>
    </row>
    <row r="1033" spans="1:5" x14ac:dyDescent="0.15">
      <c r="A1033" s="66" t="s">
        <v>2191</v>
      </c>
      <c r="B1033" s="66" t="s">
        <v>2192</v>
      </c>
      <c r="C1033" s="66" t="s">
        <v>75</v>
      </c>
      <c r="D1033" s="66" t="str">
        <f t="shared" si="32"/>
        <v>1045</v>
      </c>
      <c r="E1033" s="66">
        <f t="shared" si="33"/>
        <v>1</v>
      </c>
    </row>
    <row r="1034" spans="1:5" x14ac:dyDescent="0.15">
      <c r="A1034" s="66" t="s">
        <v>2193</v>
      </c>
      <c r="B1034" s="66" t="s">
        <v>2194</v>
      </c>
      <c r="C1034" s="66" t="s">
        <v>86</v>
      </c>
      <c r="D1034" s="66" t="str">
        <f t="shared" si="32"/>
        <v>1046</v>
      </c>
      <c r="E1034" s="66">
        <f t="shared" si="33"/>
        <v>1</v>
      </c>
    </row>
    <row r="1035" spans="1:5" x14ac:dyDescent="0.15">
      <c r="A1035" s="66" t="s">
        <v>2195</v>
      </c>
      <c r="B1035" s="66" t="s">
        <v>2196</v>
      </c>
      <c r="C1035" s="66" t="s">
        <v>813</v>
      </c>
      <c r="D1035" s="66" t="str">
        <f t="shared" si="32"/>
        <v>1047</v>
      </c>
      <c r="E1035" s="66">
        <f t="shared" si="33"/>
        <v>1</v>
      </c>
    </row>
    <row r="1036" spans="1:5" x14ac:dyDescent="0.15">
      <c r="A1036" s="66" t="s">
        <v>2197</v>
      </c>
      <c r="B1036" s="66" t="s">
        <v>2198</v>
      </c>
      <c r="C1036" s="66" t="s">
        <v>86</v>
      </c>
      <c r="D1036" s="66" t="str">
        <f t="shared" si="32"/>
        <v>1048</v>
      </c>
      <c r="E1036" s="66">
        <f t="shared" si="33"/>
        <v>1</v>
      </c>
    </row>
    <row r="1037" spans="1:5" x14ac:dyDescent="0.15">
      <c r="A1037" s="66" t="s">
        <v>2199</v>
      </c>
      <c r="B1037" s="66" t="s">
        <v>1187</v>
      </c>
      <c r="C1037" s="66" t="s">
        <v>75</v>
      </c>
      <c r="D1037" s="66" t="str">
        <f t="shared" si="32"/>
        <v>1049</v>
      </c>
      <c r="E1037" s="66">
        <f t="shared" si="33"/>
        <v>2</v>
      </c>
    </row>
    <row r="1038" spans="1:5" x14ac:dyDescent="0.15">
      <c r="A1038" s="66" t="s">
        <v>2200</v>
      </c>
      <c r="B1038" s="66" t="s">
        <v>2201</v>
      </c>
      <c r="C1038" s="66" t="s">
        <v>75</v>
      </c>
      <c r="D1038" s="66" t="str">
        <f t="shared" si="32"/>
        <v>1050</v>
      </c>
      <c r="E1038" s="66">
        <f t="shared" si="33"/>
        <v>1</v>
      </c>
    </row>
    <row r="1039" spans="1:5" x14ac:dyDescent="0.15">
      <c r="A1039" s="66" t="s">
        <v>2202</v>
      </c>
      <c r="B1039" s="66" t="s">
        <v>2203</v>
      </c>
      <c r="C1039" s="66" t="s">
        <v>75</v>
      </c>
      <c r="D1039" s="66" t="str">
        <f t="shared" si="32"/>
        <v>1051</v>
      </c>
      <c r="E1039" s="66">
        <f t="shared" si="33"/>
        <v>1</v>
      </c>
    </row>
    <row r="1040" spans="1:5" x14ac:dyDescent="0.15">
      <c r="A1040" s="66" t="s">
        <v>2204</v>
      </c>
      <c r="B1040" s="66" t="s">
        <v>2205</v>
      </c>
      <c r="C1040" s="66" t="s">
        <v>75</v>
      </c>
      <c r="D1040" s="66" t="str">
        <f t="shared" si="32"/>
        <v>1052</v>
      </c>
      <c r="E1040" s="66">
        <f t="shared" si="33"/>
        <v>1</v>
      </c>
    </row>
    <row r="1041" spans="1:5" x14ac:dyDescent="0.15">
      <c r="A1041" s="66" t="s">
        <v>2206</v>
      </c>
      <c r="B1041" s="66" t="s">
        <v>2207</v>
      </c>
      <c r="C1041" s="66" t="s">
        <v>75</v>
      </c>
      <c r="D1041" s="66" t="str">
        <f t="shared" si="32"/>
        <v>1053</v>
      </c>
      <c r="E1041" s="66">
        <f t="shared" si="33"/>
        <v>1</v>
      </c>
    </row>
    <row r="1042" spans="1:5" x14ac:dyDescent="0.15">
      <c r="A1042" s="66" t="s">
        <v>2208</v>
      </c>
      <c r="B1042" s="66" t="s">
        <v>2209</v>
      </c>
      <c r="C1042" s="66" t="s">
        <v>75</v>
      </c>
      <c r="D1042" s="66" t="str">
        <f t="shared" si="32"/>
        <v>1054</v>
      </c>
      <c r="E1042" s="66">
        <f t="shared" si="33"/>
        <v>1</v>
      </c>
    </row>
    <row r="1043" spans="1:5" x14ac:dyDescent="0.15">
      <c r="A1043" s="66" t="s">
        <v>2210</v>
      </c>
      <c r="B1043" s="66" t="s">
        <v>2211</v>
      </c>
      <c r="C1043" s="66" t="s">
        <v>75</v>
      </c>
      <c r="D1043" s="66" t="str">
        <f t="shared" si="32"/>
        <v>1055</v>
      </c>
      <c r="E1043" s="66">
        <f t="shared" si="33"/>
        <v>1</v>
      </c>
    </row>
    <row r="1044" spans="1:5" x14ac:dyDescent="0.15">
      <c r="A1044" s="66" t="s">
        <v>2212</v>
      </c>
      <c r="B1044" s="66" t="s">
        <v>2213</v>
      </c>
      <c r="C1044" s="66" t="s">
        <v>75</v>
      </c>
      <c r="D1044" s="66" t="str">
        <f t="shared" si="32"/>
        <v>1056</v>
      </c>
      <c r="E1044" s="66">
        <f t="shared" si="33"/>
        <v>1</v>
      </c>
    </row>
    <row r="1045" spans="1:5" x14ac:dyDescent="0.15">
      <c r="A1045" s="66" t="s">
        <v>2214</v>
      </c>
      <c r="B1045" s="66" t="s">
        <v>2215</v>
      </c>
      <c r="C1045" s="66" t="s">
        <v>71</v>
      </c>
      <c r="D1045" s="66" t="str">
        <f t="shared" si="32"/>
        <v>1057</v>
      </c>
      <c r="E1045" s="66">
        <f t="shared" si="33"/>
        <v>1</v>
      </c>
    </row>
    <row r="1046" spans="1:5" x14ac:dyDescent="0.15">
      <c r="A1046" s="66" t="s">
        <v>2216</v>
      </c>
      <c r="B1046" s="66" t="s">
        <v>2217</v>
      </c>
      <c r="C1046" s="66" t="s">
        <v>71</v>
      </c>
      <c r="D1046" s="66" t="str">
        <f t="shared" si="32"/>
        <v>1058</v>
      </c>
      <c r="E1046" s="66">
        <f t="shared" si="33"/>
        <v>1</v>
      </c>
    </row>
    <row r="1047" spans="1:5" x14ac:dyDescent="0.15">
      <c r="A1047" s="66" t="s">
        <v>2218</v>
      </c>
      <c r="B1047" s="66" t="s">
        <v>2219</v>
      </c>
      <c r="C1047" s="66" t="s">
        <v>71</v>
      </c>
      <c r="D1047" s="66" t="str">
        <f t="shared" si="32"/>
        <v>1059</v>
      </c>
      <c r="E1047" s="66">
        <f t="shared" si="33"/>
        <v>1</v>
      </c>
    </row>
    <row r="1048" spans="1:5" x14ac:dyDescent="0.15">
      <c r="A1048" s="66" t="s">
        <v>2220</v>
      </c>
      <c r="B1048" s="66" t="s">
        <v>2221</v>
      </c>
      <c r="C1048" s="66" t="s">
        <v>71</v>
      </c>
      <c r="D1048" s="66" t="str">
        <f t="shared" si="32"/>
        <v>1060</v>
      </c>
      <c r="E1048" s="66">
        <f t="shared" si="33"/>
        <v>1</v>
      </c>
    </row>
    <row r="1049" spans="1:5" x14ac:dyDescent="0.15">
      <c r="A1049" s="66" t="s">
        <v>2222</v>
      </c>
      <c r="B1049" s="66" t="s">
        <v>2223</v>
      </c>
      <c r="C1049" s="66" t="s">
        <v>71</v>
      </c>
      <c r="D1049" s="66" t="str">
        <f t="shared" si="32"/>
        <v>1061</v>
      </c>
      <c r="E1049" s="66">
        <f t="shared" si="33"/>
        <v>2</v>
      </c>
    </row>
    <row r="1050" spans="1:5" x14ac:dyDescent="0.15">
      <c r="A1050" s="66" t="s">
        <v>2224</v>
      </c>
      <c r="B1050" s="66" t="s">
        <v>2225</v>
      </c>
      <c r="C1050" s="66" t="s">
        <v>71</v>
      </c>
      <c r="D1050" s="66" t="str">
        <f t="shared" si="32"/>
        <v>1062</v>
      </c>
      <c r="E1050" s="66">
        <f t="shared" si="33"/>
        <v>1</v>
      </c>
    </row>
    <row r="1051" spans="1:5" x14ac:dyDescent="0.15">
      <c r="A1051" s="66" t="s">
        <v>2226</v>
      </c>
      <c r="B1051" s="66" t="s">
        <v>2227</v>
      </c>
      <c r="C1051" s="66" t="s">
        <v>71</v>
      </c>
      <c r="D1051" s="66" t="str">
        <f t="shared" si="32"/>
        <v>1063</v>
      </c>
      <c r="E1051" s="66">
        <f t="shared" si="33"/>
        <v>1</v>
      </c>
    </row>
    <row r="1052" spans="1:5" x14ac:dyDescent="0.15">
      <c r="A1052" s="66" t="s">
        <v>2228</v>
      </c>
      <c r="B1052" s="66" t="s">
        <v>2229</v>
      </c>
      <c r="C1052" s="66" t="s">
        <v>71</v>
      </c>
      <c r="D1052" s="66" t="str">
        <f t="shared" si="32"/>
        <v>1064</v>
      </c>
      <c r="E1052" s="66">
        <f t="shared" si="33"/>
        <v>1</v>
      </c>
    </row>
    <row r="1053" spans="1:5" x14ac:dyDescent="0.15">
      <c r="A1053" s="66" t="s">
        <v>2230</v>
      </c>
      <c r="B1053" s="66" t="s">
        <v>2231</v>
      </c>
      <c r="C1053" s="66" t="s">
        <v>101</v>
      </c>
      <c r="D1053" s="66" t="str">
        <f t="shared" si="32"/>
        <v>1065</v>
      </c>
      <c r="E1053" s="66">
        <f t="shared" si="33"/>
        <v>1</v>
      </c>
    </row>
    <row r="1054" spans="1:5" x14ac:dyDescent="0.15">
      <c r="A1054" s="66" t="s">
        <v>2232</v>
      </c>
      <c r="B1054" s="66" t="s">
        <v>2233</v>
      </c>
      <c r="C1054" s="66" t="s">
        <v>71</v>
      </c>
      <c r="D1054" s="66" t="str">
        <f t="shared" si="32"/>
        <v>1066</v>
      </c>
      <c r="E1054" s="66">
        <f t="shared" si="33"/>
        <v>1</v>
      </c>
    </row>
    <row r="1055" spans="1:5" x14ac:dyDescent="0.15">
      <c r="A1055" s="66" t="s">
        <v>2234</v>
      </c>
      <c r="B1055" s="66" t="s">
        <v>2235</v>
      </c>
      <c r="C1055" s="66" t="s">
        <v>71</v>
      </c>
      <c r="D1055" s="66" t="str">
        <f t="shared" si="32"/>
        <v>1067</v>
      </c>
      <c r="E1055" s="66">
        <f t="shared" si="33"/>
        <v>1</v>
      </c>
    </row>
    <row r="1056" spans="1:5" x14ac:dyDescent="0.15">
      <c r="A1056" s="66" t="s">
        <v>2236</v>
      </c>
      <c r="B1056" s="66" t="s">
        <v>2237</v>
      </c>
      <c r="C1056" s="66" t="s">
        <v>71</v>
      </c>
      <c r="D1056" s="66" t="str">
        <f t="shared" si="32"/>
        <v>1068</v>
      </c>
      <c r="E1056" s="66">
        <f t="shared" si="33"/>
        <v>1</v>
      </c>
    </row>
    <row r="1057" spans="1:5" x14ac:dyDescent="0.15">
      <c r="A1057" s="66" t="s">
        <v>2238</v>
      </c>
      <c r="B1057" s="66" t="s">
        <v>2239</v>
      </c>
      <c r="C1057" s="66" t="s">
        <v>75</v>
      </c>
      <c r="D1057" s="66" t="str">
        <f t="shared" si="32"/>
        <v>1069</v>
      </c>
      <c r="E1057" s="66">
        <f t="shared" si="33"/>
        <v>1</v>
      </c>
    </row>
    <row r="1058" spans="1:5" x14ac:dyDescent="0.15">
      <c r="A1058" s="66" t="s">
        <v>2240</v>
      </c>
      <c r="B1058" s="66" t="s">
        <v>2241</v>
      </c>
      <c r="C1058" s="66" t="s">
        <v>75</v>
      </c>
      <c r="D1058" s="66" t="str">
        <f t="shared" si="32"/>
        <v>1070</v>
      </c>
      <c r="E1058" s="66">
        <f t="shared" si="33"/>
        <v>1</v>
      </c>
    </row>
    <row r="1059" spans="1:5" x14ac:dyDescent="0.15">
      <c r="A1059" s="66" t="s">
        <v>2242</v>
      </c>
      <c r="B1059" s="66" t="s">
        <v>2243</v>
      </c>
      <c r="C1059" s="66" t="s">
        <v>101</v>
      </c>
      <c r="D1059" s="66" t="str">
        <f t="shared" si="32"/>
        <v>1071</v>
      </c>
      <c r="E1059" s="66">
        <f t="shared" si="33"/>
        <v>1</v>
      </c>
    </row>
    <row r="1060" spans="1:5" x14ac:dyDescent="0.15">
      <c r="A1060" s="66" t="s">
        <v>2244</v>
      </c>
      <c r="B1060" s="66" t="s">
        <v>2245</v>
      </c>
      <c r="C1060" s="66" t="s">
        <v>813</v>
      </c>
      <c r="D1060" s="66" t="str">
        <f t="shared" si="32"/>
        <v>1072</v>
      </c>
      <c r="E1060" s="66">
        <f t="shared" si="33"/>
        <v>1</v>
      </c>
    </row>
    <row r="1061" spans="1:5" x14ac:dyDescent="0.15">
      <c r="A1061" s="66" t="s">
        <v>2246</v>
      </c>
      <c r="B1061" s="66" t="s">
        <v>2247</v>
      </c>
      <c r="C1061" s="66" t="s">
        <v>359</v>
      </c>
      <c r="D1061" s="66" t="str">
        <f t="shared" si="32"/>
        <v>1073</v>
      </c>
      <c r="E1061" s="66">
        <f t="shared" si="33"/>
        <v>1</v>
      </c>
    </row>
    <row r="1062" spans="1:5" x14ac:dyDescent="0.15">
      <c r="A1062" s="66" t="s">
        <v>2248</v>
      </c>
      <c r="B1062" s="66" t="s">
        <v>2249</v>
      </c>
      <c r="C1062" s="66" t="s">
        <v>340</v>
      </c>
      <c r="D1062" s="66" t="str">
        <f t="shared" si="32"/>
        <v>1074</v>
      </c>
      <c r="E1062" s="66">
        <f t="shared" si="33"/>
        <v>1</v>
      </c>
    </row>
    <row r="1063" spans="1:5" x14ac:dyDescent="0.15">
      <c r="A1063" s="66" t="s">
        <v>2250</v>
      </c>
      <c r="B1063" s="66" t="s">
        <v>2251</v>
      </c>
      <c r="C1063" s="66" t="s">
        <v>133</v>
      </c>
      <c r="D1063" s="66" t="str">
        <f t="shared" si="32"/>
        <v>1075</v>
      </c>
      <c r="E1063" s="66">
        <f t="shared" si="33"/>
        <v>1</v>
      </c>
    </row>
    <row r="1064" spans="1:5" x14ac:dyDescent="0.15">
      <c r="A1064" s="66" t="s">
        <v>2252</v>
      </c>
      <c r="B1064" s="66" t="s">
        <v>2253</v>
      </c>
      <c r="C1064" s="66" t="s">
        <v>71</v>
      </c>
      <c r="D1064" s="66" t="str">
        <f t="shared" si="32"/>
        <v>1076</v>
      </c>
      <c r="E1064" s="66">
        <f t="shared" si="33"/>
        <v>1</v>
      </c>
    </row>
    <row r="1065" spans="1:5" x14ac:dyDescent="0.15">
      <c r="A1065" s="66" t="s">
        <v>2254</v>
      </c>
      <c r="B1065" s="66" t="s">
        <v>2255</v>
      </c>
      <c r="C1065" s="66" t="s">
        <v>71</v>
      </c>
      <c r="D1065" s="66" t="str">
        <f t="shared" si="32"/>
        <v>1077</v>
      </c>
      <c r="E1065" s="66">
        <f t="shared" si="33"/>
        <v>1</v>
      </c>
    </row>
    <row r="1066" spans="1:5" x14ac:dyDescent="0.15">
      <c r="A1066" s="66" t="s">
        <v>2256</v>
      </c>
      <c r="B1066" s="66" t="s">
        <v>2257</v>
      </c>
      <c r="C1066" s="66" t="s">
        <v>340</v>
      </c>
      <c r="D1066" s="66" t="str">
        <f t="shared" si="32"/>
        <v>1078</v>
      </c>
      <c r="E1066" s="66">
        <f t="shared" si="33"/>
        <v>1</v>
      </c>
    </row>
    <row r="1067" spans="1:5" x14ac:dyDescent="0.15">
      <c r="A1067" s="66" t="s">
        <v>2258</v>
      </c>
      <c r="B1067" s="66" t="s">
        <v>2259</v>
      </c>
      <c r="C1067" s="66" t="s">
        <v>75</v>
      </c>
      <c r="D1067" s="66" t="str">
        <f t="shared" si="32"/>
        <v>1079</v>
      </c>
      <c r="E1067" s="66">
        <f t="shared" si="33"/>
        <v>1</v>
      </c>
    </row>
    <row r="1068" spans="1:5" x14ac:dyDescent="0.15">
      <c r="A1068" s="66" t="s">
        <v>2260</v>
      </c>
      <c r="B1068" s="66" t="s">
        <v>2261</v>
      </c>
      <c r="C1068" s="66" t="s">
        <v>75</v>
      </c>
      <c r="D1068" s="66" t="str">
        <f t="shared" si="32"/>
        <v>1080</v>
      </c>
      <c r="E1068" s="66">
        <f t="shared" si="33"/>
        <v>1</v>
      </c>
    </row>
    <row r="1069" spans="1:5" x14ac:dyDescent="0.15">
      <c r="A1069" s="66" t="s">
        <v>2262</v>
      </c>
      <c r="B1069" s="66" t="s">
        <v>2263</v>
      </c>
      <c r="C1069" s="66" t="s">
        <v>133</v>
      </c>
      <c r="D1069" s="66" t="str">
        <f t="shared" si="32"/>
        <v>1081</v>
      </c>
      <c r="E1069" s="66">
        <f t="shared" si="33"/>
        <v>1</v>
      </c>
    </row>
    <row r="1070" spans="1:5" x14ac:dyDescent="0.15">
      <c r="A1070" s="66" t="s">
        <v>2264</v>
      </c>
      <c r="B1070" s="66" t="s">
        <v>2265</v>
      </c>
      <c r="C1070" s="66" t="s">
        <v>133</v>
      </c>
      <c r="D1070" s="66" t="str">
        <f t="shared" si="32"/>
        <v>1082</v>
      </c>
      <c r="E1070" s="66">
        <f t="shared" si="33"/>
        <v>1</v>
      </c>
    </row>
    <row r="1071" spans="1:5" x14ac:dyDescent="0.15">
      <c r="A1071" s="66" t="s">
        <v>2266</v>
      </c>
      <c r="B1071" s="66" t="s">
        <v>2267</v>
      </c>
      <c r="C1071" s="66" t="s">
        <v>133</v>
      </c>
      <c r="D1071" s="66" t="str">
        <f t="shared" si="32"/>
        <v>1083</v>
      </c>
      <c r="E1071" s="66">
        <f t="shared" si="33"/>
        <v>1</v>
      </c>
    </row>
    <row r="1072" spans="1:5" x14ac:dyDescent="0.15">
      <c r="A1072" s="66" t="s">
        <v>2268</v>
      </c>
      <c r="B1072" s="66" t="s">
        <v>2269</v>
      </c>
      <c r="C1072" s="66" t="s">
        <v>133</v>
      </c>
      <c r="D1072" s="66" t="str">
        <f t="shared" si="32"/>
        <v>1084</v>
      </c>
      <c r="E1072" s="66">
        <f t="shared" si="33"/>
        <v>1</v>
      </c>
    </row>
    <row r="1073" spans="1:5" x14ac:dyDescent="0.15">
      <c r="A1073" s="66" t="s">
        <v>2270</v>
      </c>
      <c r="B1073" s="66" t="s">
        <v>2271</v>
      </c>
      <c r="C1073" s="66" t="s">
        <v>813</v>
      </c>
      <c r="D1073" s="66" t="str">
        <f t="shared" si="32"/>
        <v>1085</v>
      </c>
      <c r="E1073" s="66">
        <f t="shared" si="33"/>
        <v>1</v>
      </c>
    </row>
    <row r="1074" spans="1:5" x14ac:dyDescent="0.15">
      <c r="A1074" s="66" t="s">
        <v>2272</v>
      </c>
      <c r="B1074" s="66" t="s">
        <v>2273</v>
      </c>
      <c r="C1074" s="66" t="s">
        <v>71</v>
      </c>
      <c r="D1074" s="66" t="str">
        <f t="shared" si="32"/>
        <v>1086</v>
      </c>
      <c r="E1074" s="66">
        <f t="shared" si="33"/>
        <v>1</v>
      </c>
    </row>
    <row r="1075" spans="1:5" x14ac:dyDescent="0.15">
      <c r="A1075" s="66" t="s">
        <v>2274</v>
      </c>
      <c r="B1075" s="66" t="s">
        <v>2275</v>
      </c>
      <c r="C1075" s="66" t="s">
        <v>340</v>
      </c>
      <c r="D1075" s="66" t="str">
        <f t="shared" si="32"/>
        <v>1087</v>
      </c>
      <c r="E1075" s="66">
        <f t="shared" si="33"/>
        <v>1</v>
      </c>
    </row>
    <row r="1076" spans="1:5" x14ac:dyDescent="0.15">
      <c r="A1076" s="66" t="s">
        <v>2276</v>
      </c>
      <c r="B1076" s="66" t="s">
        <v>2277</v>
      </c>
      <c r="C1076" s="66" t="s">
        <v>133</v>
      </c>
      <c r="D1076" s="66" t="str">
        <f t="shared" si="32"/>
        <v>1088</v>
      </c>
      <c r="E1076" s="66">
        <f t="shared" si="33"/>
        <v>1</v>
      </c>
    </row>
    <row r="1077" spans="1:5" x14ac:dyDescent="0.15">
      <c r="A1077" s="66" t="s">
        <v>2278</v>
      </c>
      <c r="B1077" s="66" t="s">
        <v>2279</v>
      </c>
      <c r="C1077" s="66" t="s">
        <v>133</v>
      </c>
      <c r="D1077" s="66" t="str">
        <f t="shared" si="32"/>
        <v>1089</v>
      </c>
      <c r="E1077" s="66">
        <f t="shared" si="33"/>
        <v>1</v>
      </c>
    </row>
    <row r="1078" spans="1:5" x14ac:dyDescent="0.15">
      <c r="A1078" s="66" t="s">
        <v>2280</v>
      </c>
      <c r="B1078" s="66" t="s">
        <v>2281</v>
      </c>
      <c r="C1078" s="66" t="s">
        <v>133</v>
      </c>
      <c r="D1078" s="66" t="str">
        <f t="shared" si="32"/>
        <v>1090</v>
      </c>
      <c r="E1078" s="66">
        <f t="shared" si="33"/>
        <v>1</v>
      </c>
    </row>
    <row r="1079" spans="1:5" x14ac:dyDescent="0.15">
      <c r="A1079" s="66" t="s">
        <v>2282</v>
      </c>
      <c r="B1079" s="66" t="s">
        <v>2283</v>
      </c>
      <c r="C1079" s="66" t="s">
        <v>67</v>
      </c>
      <c r="D1079" s="66" t="str">
        <f t="shared" si="32"/>
        <v>1091</v>
      </c>
      <c r="E1079" s="66">
        <f t="shared" si="33"/>
        <v>1</v>
      </c>
    </row>
    <row r="1080" spans="1:5" x14ac:dyDescent="0.15">
      <c r="A1080" s="66" t="s">
        <v>2284</v>
      </c>
      <c r="B1080" s="66" t="s">
        <v>2285</v>
      </c>
      <c r="C1080" s="66" t="s">
        <v>140</v>
      </c>
      <c r="D1080" s="66" t="str">
        <f t="shared" si="32"/>
        <v>1092</v>
      </c>
      <c r="E1080" s="66">
        <f t="shared" si="33"/>
        <v>1</v>
      </c>
    </row>
    <row r="1081" spans="1:5" x14ac:dyDescent="0.15">
      <c r="A1081" s="66" t="s">
        <v>2286</v>
      </c>
      <c r="B1081" s="66" t="s">
        <v>2287</v>
      </c>
      <c r="C1081" s="66" t="s">
        <v>86</v>
      </c>
      <c r="D1081" s="66" t="str">
        <f t="shared" si="32"/>
        <v>1093</v>
      </c>
      <c r="E1081" s="66">
        <f t="shared" si="33"/>
        <v>1</v>
      </c>
    </row>
    <row r="1082" spans="1:5" x14ac:dyDescent="0.15">
      <c r="A1082" s="66" t="s">
        <v>2288</v>
      </c>
      <c r="B1082" s="66" t="s">
        <v>2289</v>
      </c>
      <c r="C1082" s="66" t="s">
        <v>424</v>
      </c>
      <c r="D1082" s="66" t="str">
        <f t="shared" si="32"/>
        <v>1094</v>
      </c>
      <c r="E1082" s="66">
        <f t="shared" si="33"/>
        <v>1</v>
      </c>
    </row>
    <row r="1083" spans="1:5" x14ac:dyDescent="0.15">
      <c r="A1083" s="66" t="s">
        <v>2290</v>
      </c>
      <c r="B1083" s="66" t="s">
        <v>2291</v>
      </c>
      <c r="C1083" s="66" t="s">
        <v>133</v>
      </c>
      <c r="D1083" s="66" t="str">
        <f t="shared" si="32"/>
        <v>1095</v>
      </c>
      <c r="E1083" s="66">
        <f t="shared" si="33"/>
        <v>1</v>
      </c>
    </row>
    <row r="1084" spans="1:5" x14ac:dyDescent="0.15">
      <c r="A1084" s="66" t="s">
        <v>2292</v>
      </c>
      <c r="B1084" s="66" t="s">
        <v>2293</v>
      </c>
      <c r="C1084" s="66" t="s">
        <v>140</v>
      </c>
      <c r="D1084" s="66" t="str">
        <f t="shared" si="32"/>
        <v>1096</v>
      </c>
      <c r="E1084" s="66">
        <f t="shared" si="33"/>
        <v>1</v>
      </c>
    </row>
    <row r="1085" spans="1:5" x14ac:dyDescent="0.15">
      <c r="A1085" s="66" t="s">
        <v>2294</v>
      </c>
      <c r="B1085" s="66" t="s">
        <v>2295</v>
      </c>
      <c r="C1085" s="66" t="s">
        <v>86</v>
      </c>
      <c r="D1085" s="66" t="str">
        <f t="shared" si="32"/>
        <v>1097</v>
      </c>
      <c r="E1085" s="66">
        <f t="shared" si="33"/>
        <v>1</v>
      </c>
    </row>
    <row r="1086" spans="1:5" x14ac:dyDescent="0.15">
      <c r="A1086" s="66" t="s">
        <v>2296</v>
      </c>
      <c r="B1086" s="66" t="s">
        <v>2297</v>
      </c>
      <c r="C1086" s="66" t="s">
        <v>75</v>
      </c>
      <c r="D1086" s="66" t="str">
        <f t="shared" si="32"/>
        <v>1098</v>
      </c>
      <c r="E1086" s="66">
        <f t="shared" si="33"/>
        <v>1</v>
      </c>
    </row>
    <row r="1087" spans="1:5" x14ac:dyDescent="0.15">
      <c r="A1087" s="66" t="s">
        <v>2298</v>
      </c>
      <c r="B1087" s="66" t="s">
        <v>2299</v>
      </c>
      <c r="C1087" s="66" t="s">
        <v>86</v>
      </c>
      <c r="D1087" s="66" t="str">
        <f t="shared" si="32"/>
        <v>1099</v>
      </c>
      <c r="E1087" s="66">
        <f t="shared" si="33"/>
        <v>1</v>
      </c>
    </row>
    <row r="1088" spans="1:5" x14ac:dyDescent="0.15">
      <c r="A1088" s="66" t="s">
        <v>2300</v>
      </c>
      <c r="B1088" s="66" t="s">
        <v>2301</v>
      </c>
      <c r="C1088" s="66" t="s">
        <v>86</v>
      </c>
      <c r="D1088" s="66" t="str">
        <f t="shared" si="32"/>
        <v>1100</v>
      </c>
      <c r="E1088" s="66">
        <f t="shared" si="33"/>
        <v>1</v>
      </c>
    </row>
    <row r="1089" spans="1:5" x14ac:dyDescent="0.15">
      <c r="A1089" s="66" t="s">
        <v>2302</v>
      </c>
      <c r="B1089" s="66" t="s">
        <v>2303</v>
      </c>
      <c r="C1089" s="66" t="s">
        <v>140</v>
      </c>
      <c r="D1089" s="66" t="str">
        <f t="shared" si="32"/>
        <v>1101</v>
      </c>
      <c r="E1089" s="66">
        <f t="shared" si="33"/>
        <v>1</v>
      </c>
    </row>
    <row r="1090" spans="1:5" x14ac:dyDescent="0.15">
      <c r="A1090" s="66" t="s">
        <v>2304</v>
      </c>
      <c r="B1090" s="66" t="s">
        <v>2305</v>
      </c>
      <c r="C1090" s="66" t="s">
        <v>140</v>
      </c>
      <c r="D1090" s="66" t="str">
        <f t="shared" ref="D1090:D1153" si="34">A1090</f>
        <v>1102</v>
      </c>
      <c r="E1090" s="66">
        <f t="shared" ref="E1090:E1153" si="35">COUNTIFS(B:B,B1090)</f>
        <v>1</v>
      </c>
    </row>
    <row r="1091" spans="1:5" x14ac:dyDescent="0.15">
      <c r="A1091" s="66" t="s">
        <v>2306</v>
      </c>
      <c r="B1091" s="66" t="s">
        <v>2307</v>
      </c>
      <c r="C1091" s="66" t="s">
        <v>340</v>
      </c>
      <c r="D1091" s="66" t="str">
        <f t="shared" si="34"/>
        <v>1103</v>
      </c>
      <c r="E1091" s="66">
        <f t="shared" si="35"/>
        <v>1</v>
      </c>
    </row>
    <row r="1092" spans="1:5" x14ac:dyDescent="0.15">
      <c r="A1092" s="66" t="s">
        <v>2308</v>
      </c>
      <c r="B1092" s="66" t="s">
        <v>2309</v>
      </c>
      <c r="C1092" s="66" t="s">
        <v>340</v>
      </c>
      <c r="D1092" s="66" t="str">
        <f t="shared" si="34"/>
        <v>1104</v>
      </c>
      <c r="E1092" s="66">
        <f t="shared" si="35"/>
        <v>1</v>
      </c>
    </row>
    <row r="1093" spans="1:5" x14ac:dyDescent="0.15">
      <c r="A1093" s="66" t="s">
        <v>2310</v>
      </c>
      <c r="B1093" s="66" t="s">
        <v>2311</v>
      </c>
      <c r="C1093" s="66" t="s">
        <v>340</v>
      </c>
      <c r="D1093" s="66" t="str">
        <f t="shared" si="34"/>
        <v>1105</v>
      </c>
      <c r="E1093" s="66">
        <f t="shared" si="35"/>
        <v>1</v>
      </c>
    </row>
    <row r="1094" spans="1:5" x14ac:dyDescent="0.15">
      <c r="A1094" s="66" t="s">
        <v>2312</v>
      </c>
      <c r="B1094" s="66" t="s">
        <v>2313</v>
      </c>
      <c r="C1094" s="66" t="s">
        <v>86</v>
      </c>
      <c r="D1094" s="66" t="str">
        <f t="shared" si="34"/>
        <v>1106</v>
      </c>
      <c r="E1094" s="66">
        <f t="shared" si="35"/>
        <v>1</v>
      </c>
    </row>
    <row r="1095" spans="1:5" x14ac:dyDescent="0.15">
      <c r="A1095" s="66" t="s">
        <v>2314</v>
      </c>
      <c r="B1095" s="66" t="s">
        <v>2315</v>
      </c>
      <c r="C1095" s="66" t="s">
        <v>140</v>
      </c>
      <c r="D1095" s="66" t="str">
        <f t="shared" si="34"/>
        <v>1107</v>
      </c>
      <c r="E1095" s="66">
        <f t="shared" si="35"/>
        <v>1</v>
      </c>
    </row>
    <row r="1096" spans="1:5" x14ac:dyDescent="0.15">
      <c r="A1096" s="66" t="s">
        <v>2316</v>
      </c>
      <c r="B1096" s="66" t="s">
        <v>2317</v>
      </c>
      <c r="C1096" s="66" t="s">
        <v>86</v>
      </c>
      <c r="D1096" s="66" t="str">
        <f t="shared" si="34"/>
        <v>1108</v>
      </c>
      <c r="E1096" s="66">
        <f t="shared" si="35"/>
        <v>1</v>
      </c>
    </row>
    <row r="1097" spans="1:5" x14ac:dyDescent="0.15">
      <c r="A1097" s="66" t="s">
        <v>2318</v>
      </c>
      <c r="B1097" s="66" t="s">
        <v>2319</v>
      </c>
      <c r="C1097" s="66" t="s">
        <v>86</v>
      </c>
      <c r="D1097" s="66" t="str">
        <f t="shared" si="34"/>
        <v>1109</v>
      </c>
      <c r="E1097" s="66">
        <f t="shared" si="35"/>
        <v>1</v>
      </c>
    </row>
    <row r="1098" spans="1:5" x14ac:dyDescent="0.15">
      <c r="A1098" s="66" t="s">
        <v>2320</v>
      </c>
      <c r="B1098" s="66" t="s">
        <v>2321</v>
      </c>
      <c r="C1098" s="66" t="s">
        <v>86</v>
      </c>
      <c r="D1098" s="66" t="str">
        <f t="shared" si="34"/>
        <v>1110</v>
      </c>
      <c r="E1098" s="66">
        <f t="shared" si="35"/>
        <v>1</v>
      </c>
    </row>
    <row r="1099" spans="1:5" x14ac:dyDescent="0.15">
      <c r="A1099" s="66" t="s">
        <v>2322</v>
      </c>
      <c r="B1099" s="66" t="s">
        <v>2323</v>
      </c>
      <c r="C1099" s="66" t="s">
        <v>458</v>
      </c>
      <c r="D1099" s="66" t="str">
        <f t="shared" si="34"/>
        <v>1111</v>
      </c>
      <c r="E1099" s="66">
        <f t="shared" si="35"/>
        <v>1</v>
      </c>
    </row>
    <row r="1100" spans="1:5" x14ac:dyDescent="0.15">
      <c r="A1100" s="66" t="s">
        <v>2324</v>
      </c>
      <c r="B1100" s="66" t="s">
        <v>2325</v>
      </c>
      <c r="C1100" s="66" t="s">
        <v>101</v>
      </c>
      <c r="D1100" s="66" t="str">
        <f t="shared" si="34"/>
        <v>1112</v>
      </c>
      <c r="E1100" s="66">
        <f t="shared" si="35"/>
        <v>1</v>
      </c>
    </row>
    <row r="1101" spans="1:5" x14ac:dyDescent="0.15">
      <c r="A1101" s="66" t="s">
        <v>2326</v>
      </c>
      <c r="B1101" s="66" t="s">
        <v>2327</v>
      </c>
      <c r="C1101" s="66" t="s">
        <v>101</v>
      </c>
      <c r="D1101" s="66" t="str">
        <f t="shared" si="34"/>
        <v>1113</v>
      </c>
      <c r="E1101" s="66">
        <f t="shared" si="35"/>
        <v>1</v>
      </c>
    </row>
    <row r="1102" spans="1:5" x14ac:dyDescent="0.15">
      <c r="A1102" s="66" t="s">
        <v>2328</v>
      </c>
      <c r="B1102" s="66" t="s">
        <v>2329</v>
      </c>
      <c r="C1102" s="66" t="s">
        <v>340</v>
      </c>
      <c r="D1102" s="66" t="str">
        <f t="shared" si="34"/>
        <v>1114</v>
      </c>
      <c r="E1102" s="66">
        <f t="shared" si="35"/>
        <v>1</v>
      </c>
    </row>
    <row r="1103" spans="1:5" x14ac:dyDescent="0.15">
      <c r="A1103" s="66" t="s">
        <v>2330</v>
      </c>
      <c r="B1103" s="66" t="s">
        <v>2331</v>
      </c>
      <c r="C1103" s="66" t="s">
        <v>436</v>
      </c>
      <c r="D1103" s="66" t="str">
        <f t="shared" si="34"/>
        <v>1115</v>
      </c>
      <c r="E1103" s="66">
        <f t="shared" si="35"/>
        <v>1</v>
      </c>
    </row>
    <row r="1104" spans="1:5" x14ac:dyDescent="0.15">
      <c r="A1104" s="66" t="s">
        <v>2332</v>
      </c>
      <c r="B1104" s="66" t="s">
        <v>2333</v>
      </c>
      <c r="C1104" s="66" t="s">
        <v>385</v>
      </c>
      <c r="D1104" s="66" t="str">
        <f t="shared" si="34"/>
        <v>1116</v>
      </c>
      <c r="E1104" s="66">
        <f t="shared" si="35"/>
        <v>1</v>
      </c>
    </row>
    <row r="1105" spans="1:5" x14ac:dyDescent="0.15">
      <c r="A1105" s="66" t="s">
        <v>84</v>
      </c>
      <c r="B1105" s="66" t="s">
        <v>87</v>
      </c>
      <c r="C1105" s="66" t="s">
        <v>86</v>
      </c>
      <c r="D1105" s="66" t="str">
        <f t="shared" si="34"/>
        <v>1117</v>
      </c>
      <c r="E1105" s="66">
        <f t="shared" si="35"/>
        <v>1</v>
      </c>
    </row>
    <row r="1106" spans="1:5" x14ac:dyDescent="0.15">
      <c r="A1106" s="66" t="s">
        <v>2334</v>
      </c>
      <c r="B1106" s="66" t="s">
        <v>2335</v>
      </c>
      <c r="C1106" s="66" t="s">
        <v>140</v>
      </c>
      <c r="D1106" s="66" t="str">
        <f t="shared" si="34"/>
        <v>1118</v>
      </c>
      <c r="E1106" s="66">
        <f t="shared" si="35"/>
        <v>1</v>
      </c>
    </row>
    <row r="1107" spans="1:5" x14ac:dyDescent="0.15">
      <c r="A1107" s="66" t="s">
        <v>2336</v>
      </c>
      <c r="B1107" s="66" t="s">
        <v>2337</v>
      </c>
      <c r="C1107" s="66" t="s">
        <v>436</v>
      </c>
      <c r="D1107" s="66" t="str">
        <f t="shared" si="34"/>
        <v>1119</v>
      </c>
      <c r="E1107" s="66">
        <f t="shared" si="35"/>
        <v>1</v>
      </c>
    </row>
    <row r="1108" spans="1:5" x14ac:dyDescent="0.15">
      <c r="A1108" s="66" t="s">
        <v>2338</v>
      </c>
      <c r="B1108" s="66" t="s">
        <v>2339</v>
      </c>
      <c r="C1108" s="66" t="s">
        <v>101</v>
      </c>
      <c r="D1108" s="66" t="str">
        <f t="shared" si="34"/>
        <v>1120</v>
      </c>
      <c r="E1108" s="66">
        <f t="shared" si="35"/>
        <v>1</v>
      </c>
    </row>
    <row r="1109" spans="1:5" x14ac:dyDescent="0.15">
      <c r="A1109" s="66" t="s">
        <v>2340</v>
      </c>
      <c r="B1109" s="66" t="s">
        <v>2341</v>
      </c>
      <c r="C1109" s="66" t="s">
        <v>86</v>
      </c>
      <c r="D1109" s="66" t="str">
        <f t="shared" si="34"/>
        <v>1121</v>
      </c>
      <c r="E1109" s="66">
        <f t="shared" si="35"/>
        <v>1</v>
      </c>
    </row>
    <row r="1110" spans="1:5" x14ac:dyDescent="0.15">
      <c r="A1110" s="66" t="s">
        <v>2342</v>
      </c>
      <c r="B1110" s="66" t="s">
        <v>2343</v>
      </c>
      <c r="C1110" s="66" t="s">
        <v>86</v>
      </c>
      <c r="D1110" s="66" t="str">
        <f t="shared" si="34"/>
        <v>1122</v>
      </c>
      <c r="E1110" s="66">
        <f t="shared" si="35"/>
        <v>1</v>
      </c>
    </row>
    <row r="1111" spans="1:5" x14ac:dyDescent="0.15">
      <c r="A1111" s="66" t="s">
        <v>2344</v>
      </c>
      <c r="B1111" s="66" t="s">
        <v>2345</v>
      </c>
      <c r="C1111" s="66" t="s">
        <v>340</v>
      </c>
      <c r="D1111" s="66" t="str">
        <f t="shared" si="34"/>
        <v>1123</v>
      </c>
      <c r="E1111" s="66">
        <f t="shared" si="35"/>
        <v>1</v>
      </c>
    </row>
    <row r="1112" spans="1:5" x14ac:dyDescent="0.15">
      <c r="A1112" s="66" t="s">
        <v>2346</v>
      </c>
      <c r="B1112" s="66" t="s">
        <v>2347</v>
      </c>
      <c r="C1112" s="66" t="s">
        <v>86</v>
      </c>
      <c r="D1112" s="66" t="str">
        <f t="shared" si="34"/>
        <v>1124</v>
      </c>
      <c r="E1112" s="66">
        <f t="shared" si="35"/>
        <v>1</v>
      </c>
    </row>
    <row r="1113" spans="1:5" x14ac:dyDescent="0.15">
      <c r="A1113" s="66" t="s">
        <v>2348</v>
      </c>
      <c r="B1113" s="66" t="s">
        <v>2349</v>
      </c>
      <c r="C1113" s="66" t="s">
        <v>340</v>
      </c>
      <c r="D1113" s="66" t="str">
        <f t="shared" si="34"/>
        <v>1125</v>
      </c>
      <c r="E1113" s="66">
        <f t="shared" si="35"/>
        <v>1</v>
      </c>
    </row>
    <row r="1114" spans="1:5" x14ac:dyDescent="0.15">
      <c r="A1114" s="66" t="s">
        <v>2350</v>
      </c>
      <c r="B1114" s="66" t="s">
        <v>2351</v>
      </c>
      <c r="C1114" s="66" t="s">
        <v>133</v>
      </c>
      <c r="D1114" s="66" t="str">
        <f t="shared" si="34"/>
        <v>1126</v>
      </c>
      <c r="E1114" s="66">
        <f t="shared" si="35"/>
        <v>1</v>
      </c>
    </row>
    <row r="1115" spans="1:5" x14ac:dyDescent="0.15">
      <c r="A1115" s="66" t="s">
        <v>2352</v>
      </c>
      <c r="B1115" s="66" t="s">
        <v>2353</v>
      </c>
      <c r="C1115" s="66" t="s">
        <v>340</v>
      </c>
      <c r="D1115" s="66" t="str">
        <f t="shared" si="34"/>
        <v>1127</v>
      </c>
      <c r="E1115" s="66">
        <f t="shared" si="35"/>
        <v>1</v>
      </c>
    </row>
    <row r="1116" spans="1:5" x14ac:dyDescent="0.15">
      <c r="A1116" s="66" t="s">
        <v>2354</v>
      </c>
      <c r="B1116" s="66" t="s">
        <v>2355</v>
      </c>
      <c r="C1116" s="66" t="s">
        <v>340</v>
      </c>
      <c r="D1116" s="66" t="str">
        <f t="shared" si="34"/>
        <v>1128</v>
      </c>
      <c r="E1116" s="66">
        <f t="shared" si="35"/>
        <v>1</v>
      </c>
    </row>
    <row r="1117" spans="1:5" x14ac:dyDescent="0.15">
      <c r="A1117" s="66" t="s">
        <v>2356</v>
      </c>
      <c r="B1117" s="66" t="s">
        <v>2357</v>
      </c>
      <c r="C1117" s="66" t="s">
        <v>101</v>
      </c>
      <c r="D1117" s="66" t="str">
        <f t="shared" si="34"/>
        <v>1129</v>
      </c>
      <c r="E1117" s="66">
        <f t="shared" si="35"/>
        <v>1</v>
      </c>
    </row>
    <row r="1118" spans="1:5" x14ac:dyDescent="0.15">
      <c r="A1118" s="66" t="s">
        <v>2358</v>
      </c>
      <c r="B1118" s="66" t="s">
        <v>2359</v>
      </c>
      <c r="C1118" s="66" t="s">
        <v>101</v>
      </c>
      <c r="D1118" s="66" t="str">
        <f t="shared" si="34"/>
        <v>1130</v>
      </c>
      <c r="E1118" s="66">
        <f t="shared" si="35"/>
        <v>1</v>
      </c>
    </row>
    <row r="1119" spans="1:5" x14ac:dyDescent="0.15">
      <c r="A1119" s="66" t="s">
        <v>2360</v>
      </c>
      <c r="B1119" s="66" t="s">
        <v>2361</v>
      </c>
      <c r="C1119" s="66" t="s">
        <v>133</v>
      </c>
      <c r="D1119" s="66" t="str">
        <f t="shared" si="34"/>
        <v>1131</v>
      </c>
      <c r="E1119" s="66">
        <f t="shared" si="35"/>
        <v>1</v>
      </c>
    </row>
    <row r="1120" spans="1:5" x14ac:dyDescent="0.15">
      <c r="A1120" s="66" t="s">
        <v>2362</v>
      </c>
      <c r="B1120" s="66" t="s">
        <v>2363</v>
      </c>
      <c r="C1120" s="66" t="s">
        <v>101</v>
      </c>
      <c r="D1120" s="66" t="str">
        <f t="shared" si="34"/>
        <v>1132</v>
      </c>
      <c r="E1120" s="66">
        <f t="shared" si="35"/>
        <v>1</v>
      </c>
    </row>
    <row r="1121" spans="1:5" x14ac:dyDescent="0.15">
      <c r="A1121" s="66" t="s">
        <v>2364</v>
      </c>
      <c r="B1121" s="66" t="s">
        <v>2365</v>
      </c>
      <c r="C1121" s="66" t="s">
        <v>75</v>
      </c>
      <c r="D1121" s="66" t="str">
        <f t="shared" si="34"/>
        <v>1133</v>
      </c>
      <c r="E1121" s="66">
        <f t="shared" si="35"/>
        <v>1</v>
      </c>
    </row>
    <row r="1122" spans="1:5" x14ac:dyDescent="0.15">
      <c r="A1122" s="66" t="s">
        <v>2366</v>
      </c>
      <c r="B1122" s="66" t="s">
        <v>2367</v>
      </c>
      <c r="C1122" s="66" t="s">
        <v>874</v>
      </c>
      <c r="D1122" s="66" t="str">
        <f t="shared" si="34"/>
        <v>1134</v>
      </c>
      <c r="E1122" s="66">
        <f t="shared" si="35"/>
        <v>1</v>
      </c>
    </row>
    <row r="1123" spans="1:5" x14ac:dyDescent="0.15">
      <c r="A1123" s="66" t="s">
        <v>2368</v>
      </c>
      <c r="B1123" s="66" t="s">
        <v>2369</v>
      </c>
      <c r="C1123" s="66" t="s">
        <v>359</v>
      </c>
      <c r="D1123" s="66" t="str">
        <f t="shared" si="34"/>
        <v>1135</v>
      </c>
      <c r="E1123" s="66">
        <f t="shared" si="35"/>
        <v>1</v>
      </c>
    </row>
    <row r="1124" spans="1:5" x14ac:dyDescent="0.15">
      <c r="A1124" s="66" t="s">
        <v>2370</v>
      </c>
      <c r="B1124" s="66" t="s">
        <v>2371</v>
      </c>
      <c r="C1124" s="66" t="s">
        <v>131</v>
      </c>
      <c r="D1124" s="66" t="str">
        <f t="shared" si="34"/>
        <v>1136</v>
      </c>
      <c r="E1124" s="66">
        <f t="shared" si="35"/>
        <v>1</v>
      </c>
    </row>
    <row r="1125" spans="1:5" x14ac:dyDescent="0.15">
      <c r="A1125" s="66" t="s">
        <v>2372</v>
      </c>
      <c r="B1125" s="66" t="s">
        <v>2373</v>
      </c>
      <c r="C1125" s="66" t="s">
        <v>133</v>
      </c>
      <c r="D1125" s="66" t="str">
        <f t="shared" si="34"/>
        <v>1137</v>
      </c>
      <c r="E1125" s="66">
        <f t="shared" si="35"/>
        <v>1</v>
      </c>
    </row>
    <row r="1126" spans="1:5" x14ac:dyDescent="0.15">
      <c r="A1126" s="66" t="s">
        <v>2374</v>
      </c>
      <c r="B1126" s="66" t="s">
        <v>2375</v>
      </c>
      <c r="C1126" s="66" t="s">
        <v>359</v>
      </c>
      <c r="D1126" s="66" t="str">
        <f t="shared" si="34"/>
        <v>1138</v>
      </c>
      <c r="E1126" s="66">
        <f t="shared" si="35"/>
        <v>1</v>
      </c>
    </row>
    <row r="1127" spans="1:5" x14ac:dyDescent="0.15">
      <c r="A1127" s="66" t="s">
        <v>2376</v>
      </c>
      <c r="B1127" s="66" t="s">
        <v>2377</v>
      </c>
      <c r="C1127" s="66" t="s">
        <v>79</v>
      </c>
      <c r="D1127" s="66" t="str">
        <f t="shared" si="34"/>
        <v>1139</v>
      </c>
      <c r="E1127" s="66">
        <f t="shared" si="35"/>
        <v>1</v>
      </c>
    </row>
    <row r="1128" spans="1:5" x14ac:dyDescent="0.15">
      <c r="A1128" s="66" t="s">
        <v>2378</v>
      </c>
      <c r="B1128" s="66" t="s">
        <v>2379</v>
      </c>
      <c r="C1128" s="66" t="s">
        <v>79</v>
      </c>
      <c r="D1128" s="66" t="str">
        <f t="shared" si="34"/>
        <v>1140</v>
      </c>
      <c r="E1128" s="66">
        <f t="shared" si="35"/>
        <v>1</v>
      </c>
    </row>
    <row r="1129" spans="1:5" x14ac:dyDescent="0.15">
      <c r="A1129" s="66" t="s">
        <v>2380</v>
      </c>
      <c r="B1129" s="66" t="s">
        <v>2381</v>
      </c>
      <c r="C1129" s="66" t="s">
        <v>79</v>
      </c>
      <c r="D1129" s="66" t="str">
        <f t="shared" si="34"/>
        <v>1141</v>
      </c>
      <c r="E1129" s="66">
        <f t="shared" si="35"/>
        <v>1</v>
      </c>
    </row>
    <row r="1130" spans="1:5" x14ac:dyDescent="0.15">
      <c r="A1130" s="66" t="s">
        <v>2382</v>
      </c>
      <c r="B1130" s="66" t="s">
        <v>2383</v>
      </c>
      <c r="C1130" s="66" t="s">
        <v>79</v>
      </c>
      <c r="D1130" s="66" t="str">
        <f t="shared" si="34"/>
        <v>1142</v>
      </c>
      <c r="E1130" s="66">
        <f t="shared" si="35"/>
        <v>2</v>
      </c>
    </row>
    <row r="1131" spans="1:5" x14ac:dyDescent="0.15">
      <c r="A1131" s="66" t="s">
        <v>2384</v>
      </c>
      <c r="B1131" s="66" t="s">
        <v>2385</v>
      </c>
      <c r="C1131" s="66" t="s">
        <v>79</v>
      </c>
      <c r="D1131" s="66" t="str">
        <f t="shared" si="34"/>
        <v>1143</v>
      </c>
      <c r="E1131" s="66">
        <f t="shared" si="35"/>
        <v>1</v>
      </c>
    </row>
    <row r="1132" spans="1:5" x14ac:dyDescent="0.15">
      <c r="A1132" s="66" t="s">
        <v>2386</v>
      </c>
      <c r="B1132" s="66" t="s">
        <v>2387</v>
      </c>
      <c r="C1132" s="66" t="s">
        <v>79</v>
      </c>
      <c r="D1132" s="66" t="str">
        <f t="shared" si="34"/>
        <v>1144</v>
      </c>
      <c r="E1132" s="66">
        <f t="shared" si="35"/>
        <v>1</v>
      </c>
    </row>
    <row r="1133" spans="1:5" x14ac:dyDescent="0.15">
      <c r="A1133" s="66" t="s">
        <v>2388</v>
      </c>
      <c r="B1133" s="66" t="s">
        <v>2389</v>
      </c>
      <c r="C1133" s="66" t="s">
        <v>79</v>
      </c>
      <c r="D1133" s="66" t="str">
        <f t="shared" si="34"/>
        <v>1145</v>
      </c>
      <c r="E1133" s="66">
        <f t="shared" si="35"/>
        <v>1</v>
      </c>
    </row>
    <row r="1134" spans="1:5" x14ac:dyDescent="0.15">
      <c r="A1134" s="66" t="s">
        <v>2390</v>
      </c>
      <c r="B1134" s="66" t="s">
        <v>2391</v>
      </c>
      <c r="C1134" s="66" t="s">
        <v>101</v>
      </c>
      <c r="D1134" s="66" t="str">
        <f t="shared" si="34"/>
        <v>1146</v>
      </c>
      <c r="E1134" s="66">
        <f t="shared" si="35"/>
        <v>1</v>
      </c>
    </row>
    <row r="1135" spans="1:5" x14ac:dyDescent="0.15">
      <c r="A1135" s="66" t="s">
        <v>2392</v>
      </c>
      <c r="B1135" s="66" t="s">
        <v>2393</v>
      </c>
      <c r="C1135" s="66" t="s">
        <v>79</v>
      </c>
      <c r="D1135" s="66" t="str">
        <f t="shared" si="34"/>
        <v>1147</v>
      </c>
      <c r="E1135" s="66">
        <f t="shared" si="35"/>
        <v>1</v>
      </c>
    </row>
    <row r="1136" spans="1:5" x14ac:dyDescent="0.15">
      <c r="A1136" s="66" t="s">
        <v>2394</v>
      </c>
      <c r="B1136" s="66" t="s">
        <v>2395</v>
      </c>
      <c r="C1136" s="66" t="s">
        <v>101</v>
      </c>
      <c r="D1136" s="66" t="str">
        <f t="shared" si="34"/>
        <v>1148</v>
      </c>
      <c r="E1136" s="66">
        <f t="shared" si="35"/>
        <v>1</v>
      </c>
    </row>
    <row r="1137" spans="1:5" x14ac:dyDescent="0.15">
      <c r="A1137" s="66" t="s">
        <v>2396</v>
      </c>
      <c r="B1137" s="66" t="s">
        <v>2397</v>
      </c>
      <c r="C1137" s="66" t="s">
        <v>79</v>
      </c>
      <c r="D1137" s="66" t="str">
        <f t="shared" si="34"/>
        <v>1149</v>
      </c>
      <c r="E1137" s="66">
        <f t="shared" si="35"/>
        <v>1</v>
      </c>
    </row>
    <row r="1138" spans="1:5" x14ac:dyDescent="0.15">
      <c r="A1138" s="66" t="s">
        <v>2398</v>
      </c>
      <c r="B1138" s="66" t="s">
        <v>2399</v>
      </c>
      <c r="C1138" s="66" t="s">
        <v>79</v>
      </c>
      <c r="D1138" s="66" t="str">
        <f t="shared" si="34"/>
        <v>1150</v>
      </c>
      <c r="E1138" s="66">
        <f t="shared" si="35"/>
        <v>1</v>
      </c>
    </row>
    <row r="1139" spans="1:5" x14ac:dyDescent="0.15">
      <c r="A1139" s="66" t="s">
        <v>2400</v>
      </c>
      <c r="B1139" s="66" t="s">
        <v>2401</v>
      </c>
      <c r="C1139" s="66" t="s">
        <v>79</v>
      </c>
      <c r="D1139" s="66" t="str">
        <f t="shared" si="34"/>
        <v>1151</v>
      </c>
      <c r="E1139" s="66">
        <f t="shared" si="35"/>
        <v>1</v>
      </c>
    </row>
    <row r="1140" spans="1:5" x14ac:dyDescent="0.15">
      <c r="A1140" s="66" t="s">
        <v>73</v>
      </c>
      <c r="B1140" s="66" t="s">
        <v>76</v>
      </c>
      <c r="C1140" s="66" t="s">
        <v>75</v>
      </c>
      <c r="D1140" s="66" t="str">
        <f t="shared" si="34"/>
        <v>1152</v>
      </c>
      <c r="E1140" s="66">
        <f t="shared" si="35"/>
        <v>1</v>
      </c>
    </row>
    <row r="1141" spans="1:5" x14ac:dyDescent="0.15">
      <c r="A1141" s="66" t="s">
        <v>2402</v>
      </c>
      <c r="B1141" s="66" t="s">
        <v>2403</v>
      </c>
      <c r="C1141" s="66" t="s">
        <v>79</v>
      </c>
      <c r="D1141" s="66" t="str">
        <f t="shared" si="34"/>
        <v>1153</v>
      </c>
      <c r="E1141" s="66">
        <f t="shared" si="35"/>
        <v>1</v>
      </c>
    </row>
    <row r="1142" spans="1:5" x14ac:dyDescent="0.15">
      <c r="A1142" s="66" t="s">
        <v>2404</v>
      </c>
      <c r="B1142" s="66" t="s">
        <v>2405</v>
      </c>
      <c r="C1142" s="66" t="s">
        <v>79</v>
      </c>
      <c r="D1142" s="66" t="str">
        <f t="shared" si="34"/>
        <v>1154</v>
      </c>
      <c r="E1142" s="66">
        <f t="shared" si="35"/>
        <v>1</v>
      </c>
    </row>
    <row r="1143" spans="1:5" x14ac:dyDescent="0.15">
      <c r="A1143" s="66" t="s">
        <v>2406</v>
      </c>
      <c r="B1143" s="66" t="s">
        <v>2407</v>
      </c>
      <c r="C1143" s="66" t="s">
        <v>79</v>
      </c>
      <c r="D1143" s="66" t="str">
        <f t="shared" si="34"/>
        <v>1155</v>
      </c>
      <c r="E1143" s="66">
        <f t="shared" si="35"/>
        <v>1</v>
      </c>
    </row>
    <row r="1144" spans="1:5" x14ac:dyDescent="0.15">
      <c r="A1144" s="66" t="s">
        <v>2408</v>
      </c>
      <c r="B1144" s="66" t="s">
        <v>2409</v>
      </c>
      <c r="C1144" s="66" t="s">
        <v>79</v>
      </c>
      <c r="D1144" s="66" t="str">
        <f t="shared" si="34"/>
        <v>1156</v>
      </c>
      <c r="E1144" s="66">
        <f t="shared" si="35"/>
        <v>1</v>
      </c>
    </row>
    <row r="1145" spans="1:5" x14ac:dyDescent="0.15">
      <c r="A1145" s="66" t="s">
        <v>2410</v>
      </c>
      <c r="B1145" s="66" t="s">
        <v>2411</v>
      </c>
      <c r="C1145" s="66" t="s">
        <v>75</v>
      </c>
      <c r="D1145" s="66" t="str">
        <f t="shared" si="34"/>
        <v>1157</v>
      </c>
      <c r="E1145" s="66">
        <f t="shared" si="35"/>
        <v>1</v>
      </c>
    </row>
    <row r="1146" spans="1:5" x14ac:dyDescent="0.15">
      <c r="A1146" s="66" t="s">
        <v>2412</v>
      </c>
      <c r="B1146" s="66" t="s">
        <v>2413</v>
      </c>
      <c r="C1146" s="66" t="s">
        <v>79</v>
      </c>
      <c r="D1146" s="66" t="str">
        <f t="shared" si="34"/>
        <v>1158</v>
      </c>
      <c r="E1146" s="66">
        <f t="shared" si="35"/>
        <v>1</v>
      </c>
    </row>
    <row r="1147" spans="1:5" x14ac:dyDescent="0.15">
      <c r="A1147" s="66" t="s">
        <v>2414</v>
      </c>
      <c r="B1147" s="66" t="s">
        <v>2415</v>
      </c>
      <c r="C1147" s="66" t="s">
        <v>79</v>
      </c>
      <c r="D1147" s="66" t="str">
        <f t="shared" si="34"/>
        <v>1159</v>
      </c>
      <c r="E1147" s="66">
        <f t="shared" si="35"/>
        <v>1</v>
      </c>
    </row>
    <row r="1148" spans="1:5" x14ac:dyDescent="0.15">
      <c r="A1148" s="66" t="s">
        <v>2416</v>
      </c>
      <c r="B1148" s="66" t="s">
        <v>2417</v>
      </c>
      <c r="C1148" s="66" t="s">
        <v>79</v>
      </c>
      <c r="D1148" s="66" t="str">
        <f t="shared" si="34"/>
        <v>1160</v>
      </c>
      <c r="E1148" s="66">
        <f t="shared" si="35"/>
        <v>1</v>
      </c>
    </row>
    <row r="1149" spans="1:5" x14ac:dyDescent="0.15">
      <c r="A1149" s="66" t="s">
        <v>2418</v>
      </c>
      <c r="B1149" s="66" t="s">
        <v>2419</v>
      </c>
      <c r="C1149" s="66" t="s">
        <v>79</v>
      </c>
      <c r="D1149" s="66" t="str">
        <f t="shared" si="34"/>
        <v>1161</v>
      </c>
      <c r="E1149" s="66">
        <f t="shared" si="35"/>
        <v>1</v>
      </c>
    </row>
    <row r="1150" spans="1:5" x14ac:dyDescent="0.15">
      <c r="A1150" s="66" t="s">
        <v>2420</v>
      </c>
      <c r="B1150" s="66" t="s">
        <v>2421</v>
      </c>
      <c r="C1150" s="66" t="s">
        <v>79</v>
      </c>
      <c r="D1150" s="66" t="str">
        <f t="shared" si="34"/>
        <v>1162</v>
      </c>
      <c r="E1150" s="66">
        <f t="shared" si="35"/>
        <v>1</v>
      </c>
    </row>
    <row r="1151" spans="1:5" x14ac:dyDescent="0.15">
      <c r="A1151" s="66" t="s">
        <v>2422</v>
      </c>
      <c r="B1151" s="66" t="s">
        <v>2423</v>
      </c>
      <c r="C1151" s="66" t="s">
        <v>79</v>
      </c>
      <c r="D1151" s="66" t="str">
        <f t="shared" si="34"/>
        <v>1163</v>
      </c>
      <c r="E1151" s="66">
        <f t="shared" si="35"/>
        <v>1</v>
      </c>
    </row>
    <row r="1152" spans="1:5" x14ac:dyDescent="0.15">
      <c r="A1152" s="66" t="s">
        <v>2424</v>
      </c>
      <c r="B1152" s="66" t="s">
        <v>2425</v>
      </c>
      <c r="C1152" s="66" t="s">
        <v>79</v>
      </c>
      <c r="D1152" s="66" t="str">
        <f t="shared" si="34"/>
        <v>1164</v>
      </c>
      <c r="E1152" s="66">
        <f t="shared" si="35"/>
        <v>1</v>
      </c>
    </row>
    <row r="1153" spans="1:5" x14ac:dyDescent="0.15">
      <c r="A1153" s="66" t="s">
        <v>2426</v>
      </c>
      <c r="B1153" s="66" t="s">
        <v>2427</v>
      </c>
      <c r="C1153" s="66" t="s">
        <v>79</v>
      </c>
      <c r="D1153" s="66" t="str">
        <f t="shared" si="34"/>
        <v>1165</v>
      </c>
      <c r="E1153" s="66">
        <f t="shared" si="35"/>
        <v>1</v>
      </c>
    </row>
    <row r="1154" spans="1:5" x14ac:dyDescent="0.15">
      <c r="A1154" s="66" t="s">
        <v>2428</v>
      </c>
      <c r="B1154" s="66" t="s">
        <v>2429</v>
      </c>
      <c r="C1154" s="66" t="s">
        <v>79</v>
      </c>
      <c r="D1154" s="66" t="str">
        <f t="shared" ref="D1154:D1217" si="36">A1154</f>
        <v>1166</v>
      </c>
      <c r="E1154" s="66">
        <f t="shared" ref="E1154:E1217" si="37">COUNTIFS(B:B,B1154)</f>
        <v>1</v>
      </c>
    </row>
    <row r="1155" spans="1:5" x14ac:dyDescent="0.15">
      <c r="A1155" s="66" t="s">
        <v>2430</v>
      </c>
      <c r="B1155" s="66" t="s">
        <v>2431</v>
      </c>
      <c r="C1155" s="66" t="s">
        <v>79</v>
      </c>
      <c r="D1155" s="66" t="str">
        <f t="shared" si="36"/>
        <v>1167</v>
      </c>
      <c r="E1155" s="66">
        <f t="shared" si="37"/>
        <v>1</v>
      </c>
    </row>
    <row r="1156" spans="1:5" x14ac:dyDescent="0.15">
      <c r="A1156" s="66" t="s">
        <v>2432</v>
      </c>
      <c r="B1156" s="66" t="s">
        <v>2433</v>
      </c>
      <c r="C1156" s="66" t="s">
        <v>79</v>
      </c>
      <c r="D1156" s="66" t="str">
        <f t="shared" si="36"/>
        <v>1168</v>
      </c>
      <c r="E1156" s="66">
        <f t="shared" si="37"/>
        <v>1</v>
      </c>
    </row>
    <row r="1157" spans="1:5" x14ac:dyDescent="0.15">
      <c r="A1157" s="66" t="s">
        <v>2434</v>
      </c>
      <c r="B1157" s="66" t="s">
        <v>2435</v>
      </c>
      <c r="C1157" s="66" t="s">
        <v>79</v>
      </c>
      <c r="D1157" s="66" t="str">
        <f t="shared" si="36"/>
        <v>1169</v>
      </c>
      <c r="E1157" s="66">
        <f t="shared" si="37"/>
        <v>1</v>
      </c>
    </row>
    <row r="1158" spans="1:5" x14ac:dyDescent="0.15">
      <c r="A1158" s="66" t="s">
        <v>2436</v>
      </c>
      <c r="B1158" s="66" t="s">
        <v>2437</v>
      </c>
      <c r="C1158" s="66" t="s">
        <v>79</v>
      </c>
      <c r="D1158" s="66" t="str">
        <f t="shared" si="36"/>
        <v>1170</v>
      </c>
      <c r="E1158" s="66">
        <f t="shared" si="37"/>
        <v>1</v>
      </c>
    </row>
    <row r="1159" spans="1:5" x14ac:dyDescent="0.15">
      <c r="A1159" s="66" t="s">
        <v>2438</v>
      </c>
      <c r="B1159" s="66" t="s">
        <v>2439</v>
      </c>
      <c r="C1159" s="66" t="s">
        <v>79</v>
      </c>
      <c r="D1159" s="66" t="str">
        <f t="shared" si="36"/>
        <v>1171</v>
      </c>
      <c r="E1159" s="66">
        <f t="shared" si="37"/>
        <v>1</v>
      </c>
    </row>
    <row r="1160" spans="1:5" x14ac:dyDescent="0.15">
      <c r="A1160" s="66" t="s">
        <v>2440</v>
      </c>
      <c r="B1160" s="66" t="s">
        <v>2441</v>
      </c>
      <c r="C1160" s="66" t="s">
        <v>79</v>
      </c>
      <c r="D1160" s="66" t="str">
        <f t="shared" si="36"/>
        <v>1172</v>
      </c>
      <c r="E1160" s="66">
        <f t="shared" si="37"/>
        <v>1</v>
      </c>
    </row>
    <row r="1161" spans="1:5" x14ac:dyDescent="0.15">
      <c r="A1161" s="66" t="s">
        <v>2442</v>
      </c>
      <c r="B1161" s="66" t="s">
        <v>2443</v>
      </c>
      <c r="C1161" s="66" t="s">
        <v>71</v>
      </c>
      <c r="D1161" s="66" t="str">
        <f t="shared" si="36"/>
        <v>1173</v>
      </c>
      <c r="E1161" s="66">
        <f t="shared" si="37"/>
        <v>1</v>
      </c>
    </row>
    <row r="1162" spans="1:5" x14ac:dyDescent="0.15">
      <c r="A1162" s="66" t="s">
        <v>99</v>
      </c>
      <c r="B1162" s="66" t="s">
        <v>102</v>
      </c>
      <c r="C1162" s="66" t="s">
        <v>101</v>
      </c>
      <c r="D1162" s="66" t="str">
        <f t="shared" si="36"/>
        <v>1174</v>
      </c>
      <c r="E1162" s="66">
        <f t="shared" si="37"/>
        <v>1</v>
      </c>
    </row>
    <row r="1163" spans="1:5" x14ac:dyDescent="0.15">
      <c r="A1163" s="66" t="s">
        <v>2444</v>
      </c>
      <c r="B1163" s="66" t="s">
        <v>2445</v>
      </c>
      <c r="C1163" s="66" t="s">
        <v>79</v>
      </c>
      <c r="D1163" s="66" t="str">
        <f t="shared" si="36"/>
        <v>1175</v>
      </c>
      <c r="E1163" s="66">
        <f t="shared" si="37"/>
        <v>1</v>
      </c>
    </row>
    <row r="1164" spans="1:5" x14ac:dyDescent="0.15">
      <c r="A1164" s="66" t="s">
        <v>2446</v>
      </c>
      <c r="B1164" s="66" t="s">
        <v>2447</v>
      </c>
      <c r="C1164" s="66" t="s">
        <v>79</v>
      </c>
      <c r="D1164" s="66" t="str">
        <f t="shared" si="36"/>
        <v>1176</v>
      </c>
      <c r="E1164" s="66">
        <f t="shared" si="37"/>
        <v>1</v>
      </c>
    </row>
    <row r="1165" spans="1:5" x14ac:dyDescent="0.15">
      <c r="A1165" s="66" t="s">
        <v>2448</v>
      </c>
      <c r="B1165" s="66" t="s">
        <v>2449</v>
      </c>
      <c r="C1165" s="66" t="s">
        <v>79</v>
      </c>
      <c r="D1165" s="66" t="str">
        <f t="shared" si="36"/>
        <v>1177</v>
      </c>
      <c r="E1165" s="66">
        <f t="shared" si="37"/>
        <v>1</v>
      </c>
    </row>
    <row r="1166" spans="1:5" x14ac:dyDescent="0.15">
      <c r="A1166" s="66" t="s">
        <v>2450</v>
      </c>
      <c r="B1166" s="66" t="s">
        <v>2451</v>
      </c>
      <c r="C1166" s="66" t="s">
        <v>79</v>
      </c>
      <c r="D1166" s="66" t="str">
        <f t="shared" si="36"/>
        <v>1178</v>
      </c>
      <c r="E1166" s="66">
        <f t="shared" si="37"/>
        <v>1</v>
      </c>
    </row>
    <row r="1167" spans="1:5" x14ac:dyDescent="0.15">
      <c r="A1167" s="66" t="s">
        <v>2452</v>
      </c>
      <c r="B1167" s="66" t="s">
        <v>2453</v>
      </c>
      <c r="C1167" s="66" t="s">
        <v>71</v>
      </c>
      <c r="D1167" s="66" t="str">
        <f t="shared" si="36"/>
        <v>1179</v>
      </c>
      <c r="E1167" s="66">
        <f t="shared" si="37"/>
        <v>4</v>
      </c>
    </row>
    <row r="1168" spans="1:5" x14ac:dyDescent="0.15">
      <c r="A1168" s="66" t="s">
        <v>2454</v>
      </c>
      <c r="B1168" s="66" t="s">
        <v>2455</v>
      </c>
      <c r="C1168" s="66" t="s">
        <v>79</v>
      </c>
      <c r="D1168" s="66" t="str">
        <f t="shared" si="36"/>
        <v>1180</v>
      </c>
      <c r="E1168" s="66">
        <f t="shared" si="37"/>
        <v>1</v>
      </c>
    </row>
    <row r="1169" spans="1:5" x14ac:dyDescent="0.15">
      <c r="A1169" s="66" t="s">
        <v>2456</v>
      </c>
      <c r="B1169" s="66" t="s">
        <v>2457</v>
      </c>
      <c r="C1169" s="66" t="s">
        <v>79</v>
      </c>
      <c r="D1169" s="66" t="str">
        <f t="shared" si="36"/>
        <v>1181</v>
      </c>
      <c r="E1169" s="66">
        <f t="shared" si="37"/>
        <v>1</v>
      </c>
    </row>
    <row r="1170" spans="1:5" x14ac:dyDescent="0.15">
      <c r="A1170" s="66" t="s">
        <v>2458</v>
      </c>
      <c r="B1170" s="66" t="s">
        <v>2459</v>
      </c>
      <c r="C1170" s="66" t="s">
        <v>101</v>
      </c>
      <c r="D1170" s="66" t="str">
        <f t="shared" si="36"/>
        <v>1182</v>
      </c>
      <c r="E1170" s="66">
        <f t="shared" si="37"/>
        <v>1</v>
      </c>
    </row>
    <row r="1171" spans="1:5" x14ac:dyDescent="0.15">
      <c r="A1171" s="66" t="s">
        <v>2460</v>
      </c>
      <c r="B1171" s="66" t="s">
        <v>2461</v>
      </c>
      <c r="C1171" s="66" t="s">
        <v>79</v>
      </c>
      <c r="D1171" s="66" t="str">
        <f t="shared" si="36"/>
        <v>1183</v>
      </c>
      <c r="E1171" s="66">
        <f t="shared" si="37"/>
        <v>1</v>
      </c>
    </row>
    <row r="1172" spans="1:5" x14ac:dyDescent="0.15">
      <c r="A1172" s="66" t="s">
        <v>2462</v>
      </c>
      <c r="B1172" s="66" t="s">
        <v>2463</v>
      </c>
      <c r="C1172" s="66" t="s">
        <v>79</v>
      </c>
      <c r="D1172" s="66" t="str">
        <f t="shared" si="36"/>
        <v>1184</v>
      </c>
      <c r="E1172" s="66">
        <f t="shared" si="37"/>
        <v>1</v>
      </c>
    </row>
    <row r="1173" spans="1:5" x14ac:dyDescent="0.15">
      <c r="A1173" s="66" t="s">
        <v>2464</v>
      </c>
      <c r="B1173" s="66" t="s">
        <v>2465</v>
      </c>
      <c r="C1173" s="66" t="s">
        <v>71</v>
      </c>
      <c r="D1173" s="66" t="str">
        <f t="shared" si="36"/>
        <v>1185</v>
      </c>
      <c r="E1173" s="66">
        <f t="shared" si="37"/>
        <v>1</v>
      </c>
    </row>
    <row r="1174" spans="1:5" x14ac:dyDescent="0.15">
      <c r="A1174" s="66" t="s">
        <v>2466</v>
      </c>
      <c r="B1174" s="66" t="s">
        <v>2467</v>
      </c>
      <c r="C1174" s="66" t="s">
        <v>340</v>
      </c>
      <c r="D1174" s="66" t="str">
        <f t="shared" si="36"/>
        <v>1186</v>
      </c>
      <c r="E1174" s="66">
        <f t="shared" si="37"/>
        <v>1</v>
      </c>
    </row>
    <row r="1175" spans="1:5" x14ac:dyDescent="0.15">
      <c r="A1175" s="66" t="s">
        <v>2468</v>
      </c>
      <c r="B1175" s="66" t="s">
        <v>2469</v>
      </c>
      <c r="C1175" s="66" t="s">
        <v>86</v>
      </c>
      <c r="D1175" s="66" t="str">
        <f t="shared" si="36"/>
        <v>1187</v>
      </c>
      <c r="E1175" s="66">
        <f t="shared" si="37"/>
        <v>1</v>
      </c>
    </row>
    <row r="1176" spans="1:5" x14ac:dyDescent="0.15">
      <c r="A1176" s="66" t="s">
        <v>2470</v>
      </c>
      <c r="B1176" s="66" t="s">
        <v>2471</v>
      </c>
      <c r="C1176" s="66" t="s">
        <v>133</v>
      </c>
      <c r="D1176" s="66" t="str">
        <f t="shared" si="36"/>
        <v>1188</v>
      </c>
      <c r="E1176" s="66">
        <f t="shared" si="37"/>
        <v>1</v>
      </c>
    </row>
    <row r="1177" spans="1:5" x14ac:dyDescent="0.15">
      <c r="A1177" s="66" t="s">
        <v>2472</v>
      </c>
      <c r="B1177" s="66" t="s">
        <v>2473</v>
      </c>
      <c r="C1177" s="66" t="s">
        <v>86</v>
      </c>
      <c r="D1177" s="66" t="str">
        <f t="shared" si="36"/>
        <v>1189</v>
      </c>
      <c r="E1177" s="66">
        <f t="shared" si="37"/>
        <v>1</v>
      </c>
    </row>
    <row r="1178" spans="1:5" x14ac:dyDescent="0.15">
      <c r="A1178" s="66" t="s">
        <v>2474</v>
      </c>
      <c r="B1178" s="66" t="s">
        <v>2475</v>
      </c>
      <c r="C1178" s="66" t="s">
        <v>86</v>
      </c>
      <c r="D1178" s="66" t="str">
        <f t="shared" si="36"/>
        <v>1190</v>
      </c>
      <c r="E1178" s="66">
        <f t="shared" si="37"/>
        <v>1</v>
      </c>
    </row>
    <row r="1179" spans="1:5" x14ac:dyDescent="0.15">
      <c r="A1179" s="66" t="s">
        <v>2476</v>
      </c>
      <c r="B1179" s="66" t="s">
        <v>2477</v>
      </c>
      <c r="C1179" s="66" t="s">
        <v>245</v>
      </c>
      <c r="D1179" s="66" t="str">
        <f t="shared" si="36"/>
        <v>1191</v>
      </c>
      <c r="E1179" s="66">
        <f t="shared" si="37"/>
        <v>1</v>
      </c>
    </row>
    <row r="1180" spans="1:5" x14ac:dyDescent="0.15">
      <c r="A1180" s="66" t="s">
        <v>2478</v>
      </c>
      <c r="B1180" s="66" t="s">
        <v>2479</v>
      </c>
      <c r="C1180" s="66" t="s">
        <v>245</v>
      </c>
      <c r="D1180" s="66" t="str">
        <f t="shared" si="36"/>
        <v>1192</v>
      </c>
      <c r="E1180" s="66">
        <f t="shared" si="37"/>
        <v>1</v>
      </c>
    </row>
    <row r="1181" spans="1:5" x14ac:dyDescent="0.15">
      <c r="A1181" s="66" t="s">
        <v>2480</v>
      </c>
      <c r="B1181" s="66" t="s">
        <v>2481</v>
      </c>
      <c r="C1181" s="66" t="s">
        <v>101</v>
      </c>
      <c r="D1181" s="66" t="str">
        <f t="shared" si="36"/>
        <v>1193</v>
      </c>
      <c r="E1181" s="66">
        <f t="shared" si="37"/>
        <v>1</v>
      </c>
    </row>
    <row r="1182" spans="1:5" x14ac:dyDescent="0.15">
      <c r="A1182" s="66" t="s">
        <v>2482</v>
      </c>
      <c r="B1182" s="66" t="s">
        <v>2483</v>
      </c>
      <c r="C1182" s="66" t="s">
        <v>75</v>
      </c>
      <c r="D1182" s="66" t="str">
        <f t="shared" si="36"/>
        <v>1194</v>
      </c>
      <c r="E1182" s="66">
        <f t="shared" si="37"/>
        <v>1</v>
      </c>
    </row>
    <row r="1183" spans="1:5" x14ac:dyDescent="0.15">
      <c r="A1183" s="66" t="s">
        <v>2484</v>
      </c>
      <c r="B1183" s="66" t="s">
        <v>2485</v>
      </c>
      <c r="C1183" s="66" t="s">
        <v>86</v>
      </c>
      <c r="D1183" s="66" t="str">
        <f t="shared" si="36"/>
        <v>1195</v>
      </c>
      <c r="E1183" s="66">
        <f t="shared" si="37"/>
        <v>1</v>
      </c>
    </row>
    <row r="1184" spans="1:5" x14ac:dyDescent="0.15">
      <c r="A1184" s="66" t="s">
        <v>2486</v>
      </c>
      <c r="B1184" s="66" t="s">
        <v>2487</v>
      </c>
      <c r="C1184" s="66" t="s">
        <v>86</v>
      </c>
      <c r="D1184" s="66" t="str">
        <f t="shared" si="36"/>
        <v>1196</v>
      </c>
      <c r="E1184" s="66">
        <f t="shared" si="37"/>
        <v>1</v>
      </c>
    </row>
    <row r="1185" spans="1:5" x14ac:dyDescent="0.15">
      <c r="A1185" s="66" t="s">
        <v>2488</v>
      </c>
      <c r="B1185" s="66" t="s">
        <v>2489</v>
      </c>
      <c r="C1185" s="66" t="s">
        <v>133</v>
      </c>
      <c r="D1185" s="66" t="str">
        <f t="shared" si="36"/>
        <v>1197</v>
      </c>
      <c r="E1185" s="66">
        <f t="shared" si="37"/>
        <v>1</v>
      </c>
    </row>
    <row r="1186" spans="1:5" x14ac:dyDescent="0.15">
      <c r="A1186" s="66" t="s">
        <v>2490</v>
      </c>
      <c r="B1186" s="66" t="s">
        <v>2491</v>
      </c>
      <c r="C1186" s="66" t="s">
        <v>133</v>
      </c>
      <c r="D1186" s="66" t="str">
        <f t="shared" si="36"/>
        <v>1198</v>
      </c>
      <c r="E1186" s="66">
        <f t="shared" si="37"/>
        <v>1</v>
      </c>
    </row>
    <row r="1187" spans="1:5" x14ac:dyDescent="0.15">
      <c r="A1187" s="66" t="s">
        <v>2492</v>
      </c>
      <c r="B1187" s="66" t="s">
        <v>2493</v>
      </c>
      <c r="C1187" s="66" t="s">
        <v>101</v>
      </c>
      <c r="D1187" s="66" t="str">
        <f t="shared" si="36"/>
        <v>1199</v>
      </c>
      <c r="E1187" s="66">
        <f t="shared" si="37"/>
        <v>1</v>
      </c>
    </row>
    <row r="1188" spans="1:5" x14ac:dyDescent="0.15">
      <c r="A1188" s="66" t="s">
        <v>2494</v>
      </c>
      <c r="B1188" s="66" t="s">
        <v>2495</v>
      </c>
      <c r="C1188" s="66" t="s">
        <v>140</v>
      </c>
      <c r="D1188" s="66" t="str">
        <f t="shared" si="36"/>
        <v>1200</v>
      </c>
      <c r="E1188" s="66">
        <f t="shared" si="37"/>
        <v>1</v>
      </c>
    </row>
    <row r="1189" spans="1:5" x14ac:dyDescent="0.15">
      <c r="A1189" s="66" t="s">
        <v>2496</v>
      </c>
      <c r="B1189" s="66" t="s">
        <v>2497</v>
      </c>
      <c r="C1189" s="66" t="s">
        <v>140</v>
      </c>
      <c r="D1189" s="66" t="str">
        <f t="shared" si="36"/>
        <v>1201</v>
      </c>
      <c r="E1189" s="66">
        <f t="shared" si="37"/>
        <v>1</v>
      </c>
    </row>
    <row r="1190" spans="1:5" x14ac:dyDescent="0.15">
      <c r="A1190" s="66" t="s">
        <v>2498</v>
      </c>
      <c r="B1190" s="66" t="s">
        <v>2499</v>
      </c>
      <c r="C1190" s="66" t="s">
        <v>140</v>
      </c>
      <c r="D1190" s="66" t="str">
        <f t="shared" si="36"/>
        <v>1202</v>
      </c>
      <c r="E1190" s="66">
        <f t="shared" si="37"/>
        <v>1</v>
      </c>
    </row>
    <row r="1191" spans="1:5" x14ac:dyDescent="0.15">
      <c r="A1191" s="66" t="s">
        <v>2500</v>
      </c>
      <c r="B1191" s="66" t="s">
        <v>2501</v>
      </c>
      <c r="C1191" s="66" t="s">
        <v>86</v>
      </c>
      <c r="D1191" s="66" t="str">
        <f t="shared" si="36"/>
        <v>1203</v>
      </c>
      <c r="E1191" s="66">
        <f t="shared" si="37"/>
        <v>1</v>
      </c>
    </row>
    <row r="1192" spans="1:5" x14ac:dyDescent="0.15">
      <c r="A1192" s="66" t="s">
        <v>2502</v>
      </c>
      <c r="B1192" s="66" t="s">
        <v>2503</v>
      </c>
      <c r="C1192" s="66" t="s">
        <v>71</v>
      </c>
      <c r="D1192" s="66" t="str">
        <f t="shared" si="36"/>
        <v>1204</v>
      </c>
      <c r="E1192" s="66">
        <f t="shared" si="37"/>
        <v>1</v>
      </c>
    </row>
    <row r="1193" spans="1:5" x14ac:dyDescent="0.15">
      <c r="A1193" s="66" t="s">
        <v>2504</v>
      </c>
      <c r="B1193" s="66" t="s">
        <v>2505</v>
      </c>
      <c r="C1193" s="66" t="s">
        <v>359</v>
      </c>
      <c r="D1193" s="66" t="str">
        <f t="shared" si="36"/>
        <v>1205</v>
      </c>
      <c r="E1193" s="66">
        <f t="shared" si="37"/>
        <v>1</v>
      </c>
    </row>
    <row r="1194" spans="1:5" x14ac:dyDescent="0.15">
      <c r="A1194" s="66" t="s">
        <v>2506</v>
      </c>
      <c r="B1194" s="66" t="s">
        <v>2507</v>
      </c>
      <c r="C1194" s="66" t="s">
        <v>359</v>
      </c>
      <c r="D1194" s="66" t="str">
        <f t="shared" si="36"/>
        <v>1206</v>
      </c>
      <c r="E1194" s="66">
        <f t="shared" si="37"/>
        <v>1</v>
      </c>
    </row>
    <row r="1195" spans="1:5" x14ac:dyDescent="0.15">
      <c r="A1195" s="66" t="s">
        <v>2508</v>
      </c>
      <c r="B1195" s="66" t="s">
        <v>2509</v>
      </c>
      <c r="C1195" s="66" t="s">
        <v>359</v>
      </c>
      <c r="D1195" s="66" t="str">
        <f t="shared" si="36"/>
        <v>1207</v>
      </c>
      <c r="E1195" s="66">
        <f t="shared" si="37"/>
        <v>1</v>
      </c>
    </row>
    <row r="1196" spans="1:5" x14ac:dyDescent="0.15">
      <c r="A1196" s="66" t="s">
        <v>2510</v>
      </c>
      <c r="B1196" s="66" t="s">
        <v>2511</v>
      </c>
      <c r="C1196" s="66" t="s">
        <v>359</v>
      </c>
      <c r="D1196" s="66" t="str">
        <f t="shared" si="36"/>
        <v>1208</v>
      </c>
      <c r="E1196" s="66">
        <f t="shared" si="37"/>
        <v>1</v>
      </c>
    </row>
    <row r="1197" spans="1:5" x14ac:dyDescent="0.15">
      <c r="A1197" s="66" t="s">
        <v>2512</v>
      </c>
      <c r="B1197" s="66" t="s">
        <v>2513</v>
      </c>
      <c r="C1197" s="66" t="s">
        <v>86</v>
      </c>
      <c r="D1197" s="66" t="str">
        <f t="shared" si="36"/>
        <v>1209</v>
      </c>
      <c r="E1197" s="66">
        <f t="shared" si="37"/>
        <v>1</v>
      </c>
    </row>
    <row r="1198" spans="1:5" x14ac:dyDescent="0.15">
      <c r="A1198" s="66" t="s">
        <v>2514</v>
      </c>
      <c r="B1198" s="66" t="s">
        <v>2515</v>
      </c>
      <c r="C1198" s="66" t="s">
        <v>385</v>
      </c>
      <c r="D1198" s="66" t="str">
        <f t="shared" si="36"/>
        <v>1210</v>
      </c>
      <c r="E1198" s="66">
        <f t="shared" si="37"/>
        <v>1</v>
      </c>
    </row>
    <row r="1199" spans="1:5" x14ac:dyDescent="0.15">
      <c r="A1199" s="66" t="s">
        <v>2516</v>
      </c>
      <c r="B1199" s="66" t="s">
        <v>2517</v>
      </c>
      <c r="C1199" s="66" t="s">
        <v>359</v>
      </c>
      <c r="D1199" s="66" t="str">
        <f t="shared" si="36"/>
        <v>1211</v>
      </c>
      <c r="E1199" s="66">
        <f t="shared" si="37"/>
        <v>1</v>
      </c>
    </row>
    <row r="1200" spans="1:5" x14ac:dyDescent="0.15">
      <c r="A1200" s="66" t="s">
        <v>2518</v>
      </c>
      <c r="B1200" s="66" t="s">
        <v>2519</v>
      </c>
      <c r="C1200" s="66" t="s">
        <v>436</v>
      </c>
      <c r="D1200" s="66" t="str">
        <f t="shared" si="36"/>
        <v>1212</v>
      </c>
      <c r="E1200" s="66">
        <f t="shared" si="37"/>
        <v>1</v>
      </c>
    </row>
    <row r="1201" spans="1:5" x14ac:dyDescent="0.15">
      <c r="A1201" s="66" t="s">
        <v>2520</v>
      </c>
      <c r="B1201" s="66" t="s">
        <v>2521</v>
      </c>
      <c r="C1201" s="66" t="s">
        <v>424</v>
      </c>
      <c r="D1201" s="66" t="str">
        <f t="shared" si="36"/>
        <v>1213</v>
      </c>
      <c r="E1201" s="66">
        <f t="shared" si="37"/>
        <v>1</v>
      </c>
    </row>
    <row r="1202" spans="1:5" x14ac:dyDescent="0.15">
      <c r="A1202" s="66" t="s">
        <v>2522</v>
      </c>
      <c r="B1202" s="66" t="s">
        <v>2523</v>
      </c>
      <c r="C1202" s="66" t="s">
        <v>86</v>
      </c>
      <c r="D1202" s="66" t="str">
        <f t="shared" si="36"/>
        <v>1214</v>
      </c>
      <c r="E1202" s="66">
        <f t="shared" si="37"/>
        <v>1</v>
      </c>
    </row>
    <row r="1203" spans="1:5" x14ac:dyDescent="0.15">
      <c r="A1203" s="66" t="s">
        <v>2524</v>
      </c>
      <c r="B1203" s="66" t="s">
        <v>2525</v>
      </c>
      <c r="C1203" s="66" t="s">
        <v>71</v>
      </c>
      <c r="D1203" s="66" t="str">
        <f t="shared" si="36"/>
        <v>1215</v>
      </c>
      <c r="E1203" s="66">
        <f t="shared" si="37"/>
        <v>1</v>
      </c>
    </row>
    <row r="1204" spans="1:5" x14ac:dyDescent="0.15">
      <c r="A1204" s="66" t="s">
        <v>2526</v>
      </c>
      <c r="B1204" s="66" t="s">
        <v>2527</v>
      </c>
      <c r="C1204" s="66" t="s">
        <v>385</v>
      </c>
      <c r="D1204" s="66" t="str">
        <f t="shared" si="36"/>
        <v>1218</v>
      </c>
      <c r="E1204" s="66">
        <f t="shared" si="37"/>
        <v>1</v>
      </c>
    </row>
    <row r="1205" spans="1:5" x14ac:dyDescent="0.15">
      <c r="A1205" s="66" t="s">
        <v>2528</v>
      </c>
      <c r="B1205" s="66" t="s">
        <v>2529</v>
      </c>
      <c r="C1205" s="66" t="s">
        <v>359</v>
      </c>
      <c r="D1205" s="66" t="str">
        <f t="shared" si="36"/>
        <v>1219</v>
      </c>
      <c r="E1205" s="66">
        <f t="shared" si="37"/>
        <v>1</v>
      </c>
    </row>
    <row r="1206" spans="1:5" x14ac:dyDescent="0.15">
      <c r="A1206" s="66" t="s">
        <v>2530</v>
      </c>
      <c r="B1206" s="66" t="s">
        <v>2531</v>
      </c>
      <c r="C1206" s="66" t="s">
        <v>359</v>
      </c>
      <c r="D1206" s="66" t="str">
        <f t="shared" si="36"/>
        <v>1220</v>
      </c>
      <c r="E1206" s="66">
        <f t="shared" si="37"/>
        <v>1</v>
      </c>
    </row>
    <row r="1207" spans="1:5" x14ac:dyDescent="0.15">
      <c r="A1207" s="66" t="s">
        <v>2532</v>
      </c>
      <c r="B1207" s="66" t="s">
        <v>2533</v>
      </c>
      <c r="C1207" s="66" t="s">
        <v>71</v>
      </c>
      <c r="D1207" s="66" t="str">
        <f t="shared" si="36"/>
        <v>1221</v>
      </c>
      <c r="E1207" s="66">
        <f t="shared" si="37"/>
        <v>1</v>
      </c>
    </row>
    <row r="1208" spans="1:5" x14ac:dyDescent="0.15">
      <c r="A1208" s="66" t="s">
        <v>2534</v>
      </c>
      <c r="B1208" s="66" t="s">
        <v>2535</v>
      </c>
      <c r="C1208" s="66" t="s">
        <v>359</v>
      </c>
      <c r="D1208" s="66" t="str">
        <f t="shared" si="36"/>
        <v>1222</v>
      </c>
      <c r="E1208" s="66">
        <f t="shared" si="37"/>
        <v>1</v>
      </c>
    </row>
    <row r="1209" spans="1:5" x14ac:dyDescent="0.15">
      <c r="A1209" s="66" t="s">
        <v>2536</v>
      </c>
      <c r="B1209" s="66" t="s">
        <v>2537</v>
      </c>
      <c r="C1209" s="66" t="s">
        <v>359</v>
      </c>
      <c r="D1209" s="66" t="str">
        <f t="shared" si="36"/>
        <v>1223</v>
      </c>
      <c r="E1209" s="66">
        <f t="shared" si="37"/>
        <v>2</v>
      </c>
    </row>
    <row r="1210" spans="1:5" x14ac:dyDescent="0.15">
      <c r="A1210" s="66" t="s">
        <v>2538</v>
      </c>
      <c r="B1210" s="66" t="s">
        <v>2539</v>
      </c>
      <c r="C1210" s="66" t="s">
        <v>86</v>
      </c>
      <c r="D1210" s="66" t="str">
        <f t="shared" si="36"/>
        <v>1224</v>
      </c>
      <c r="E1210" s="66">
        <f t="shared" si="37"/>
        <v>1</v>
      </c>
    </row>
    <row r="1211" spans="1:5" x14ac:dyDescent="0.15">
      <c r="A1211" s="66" t="s">
        <v>2540</v>
      </c>
      <c r="B1211" s="66" t="s">
        <v>2541</v>
      </c>
      <c r="C1211" s="66" t="s">
        <v>359</v>
      </c>
      <c r="D1211" s="66" t="str">
        <f t="shared" si="36"/>
        <v>1225</v>
      </c>
      <c r="E1211" s="66">
        <f t="shared" si="37"/>
        <v>1</v>
      </c>
    </row>
    <row r="1212" spans="1:5" x14ac:dyDescent="0.15">
      <c r="A1212" s="66" t="s">
        <v>2542</v>
      </c>
      <c r="B1212" s="66" t="s">
        <v>2543</v>
      </c>
      <c r="C1212" s="66" t="s">
        <v>133</v>
      </c>
      <c r="D1212" s="66" t="str">
        <f t="shared" si="36"/>
        <v>1226</v>
      </c>
      <c r="E1212" s="66">
        <f t="shared" si="37"/>
        <v>1</v>
      </c>
    </row>
    <row r="1213" spans="1:5" x14ac:dyDescent="0.15">
      <c r="A1213" s="66" t="s">
        <v>2544</v>
      </c>
      <c r="B1213" s="66" t="s">
        <v>2545</v>
      </c>
      <c r="C1213" s="66" t="s">
        <v>133</v>
      </c>
      <c r="D1213" s="66" t="str">
        <f t="shared" si="36"/>
        <v>1227</v>
      </c>
      <c r="E1213" s="66">
        <f t="shared" si="37"/>
        <v>1</v>
      </c>
    </row>
    <row r="1214" spans="1:5" x14ac:dyDescent="0.15">
      <c r="A1214" s="66" t="s">
        <v>2546</v>
      </c>
      <c r="B1214" s="66" t="s">
        <v>2547</v>
      </c>
      <c r="C1214" s="66" t="s">
        <v>133</v>
      </c>
      <c r="D1214" s="66" t="str">
        <f t="shared" si="36"/>
        <v>1228</v>
      </c>
      <c r="E1214" s="66">
        <f t="shared" si="37"/>
        <v>1</v>
      </c>
    </row>
    <row r="1215" spans="1:5" x14ac:dyDescent="0.15">
      <c r="A1215" s="66" t="s">
        <v>2548</v>
      </c>
      <c r="B1215" s="66" t="s">
        <v>2549</v>
      </c>
      <c r="C1215" s="66" t="s">
        <v>86</v>
      </c>
      <c r="D1215" s="66" t="str">
        <f t="shared" si="36"/>
        <v>1229</v>
      </c>
      <c r="E1215" s="66">
        <f t="shared" si="37"/>
        <v>1</v>
      </c>
    </row>
    <row r="1216" spans="1:5" x14ac:dyDescent="0.15">
      <c r="A1216" s="66" t="s">
        <v>2550</v>
      </c>
      <c r="B1216" s="66" t="s">
        <v>2551</v>
      </c>
      <c r="C1216" s="66" t="s">
        <v>86</v>
      </c>
      <c r="D1216" s="66" t="str">
        <f t="shared" si="36"/>
        <v>1230</v>
      </c>
      <c r="E1216" s="66">
        <f t="shared" si="37"/>
        <v>1</v>
      </c>
    </row>
    <row r="1217" spans="1:5" x14ac:dyDescent="0.15">
      <c r="A1217" s="66" t="s">
        <v>2552</v>
      </c>
      <c r="B1217" s="66" t="s">
        <v>2553</v>
      </c>
      <c r="C1217" s="66" t="s">
        <v>86</v>
      </c>
      <c r="D1217" s="66" t="str">
        <f t="shared" si="36"/>
        <v>1231</v>
      </c>
      <c r="E1217" s="66">
        <f t="shared" si="37"/>
        <v>1</v>
      </c>
    </row>
    <row r="1218" spans="1:5" x14ac:dyDescent="0.15">
      <c r="A1218" s="66" t="s">
        <v>2554</v>
      </c>
      <c r="B1218" s="66" t="s">
        <v>2555</v>
      </c>
      <c r="C1218" s="66" t="s">
        <v>86</v>
      </c>
      <c r="D1218" s="66" t="str">
        <f t="shared" ref="D1218:D1281" si="38">A1218</f>
        <v>1232</v>
      </c>
      <c r="E1218" s="66">
        <f t="shared" ref="E1218:E1281" si="39">COUNTIFS(B:B,B1218)</f>
        <v>1</v>
      </c>
    </row>
    <row r="1219" spans="1:5" x14ac:dyDescent="0.15">
      <c r="A1219" s="66" t="s">
        <v>2556</v>
      </c>
      <c r="B1219" s="66" t="s">
        <v>2557</v>
      </c>
      <c r="C1219" s="66" t="s">
        <v>86</v>
      </c>
      <c r="D1219" s="66" t="str">
        <f t="shared" si="38"/>
        <v>1233</v>
      </c>
      <c r="E1219" s="66">
        <f t="shared" si="39"/>
        <v>1</v>
      </c>
    </row>
    <row r="1220" spans="1:5" x14ac:dyDescent="0.15">
      <c r="A1220" s="66" t="s">
        <v>2558</v>
      </c>
      <c r="B1220" s="66" t="s">
        <v>2559</v>
      </c>
      <c r="C1220" s="66" t="s">
        <v>86</v>
      </c>
      <c r="D1220" s="66" t="str">
        <f t="shared" si="38"/>
        <v>1234</v>
      </c>
      <c r="E1220" s="66">
        <f t="shared" si="39"/>
        <v>1</v>
      </c>
    </row>
    <row r="1221" spans="1:5" x14ac:dyDescent="0.15">
      <c r="A1221" s="66" t="s">
        <v>2560</v>
      </c>
      <c r="B1221" s="66" t="s">
        <v>2561</v>
      </c>
      <c r="C1221" s="66" t="s">
        <v>86</v>
      </c>
      <c r="D1221" s="66" t="str">
        <f t="shared" si="38"/>
        <v>1235</v>
      </c>
      <c r="E1221" s="66">
        <f t="shared" si="39"/>
        <v>1</v>
      </c>
    </row>
    <row r="1222" spans="1:5" x14ac:dyDescent="0.15">
      <c r="A1222" s="66" t="s">
        <v>2562</v>
      </c>
      <c r="B1222" s="66" t="s">
        <v>2563</v>
      </c>
      <c r="C1222" s="66" t="s">
        <v>359</v>
      </c>
      <c r="D1222" s="66" t="str">
        <f t="shared" si="38"/>
        <v>1236</v>
      </c>
      <c r="E1222" s="66">
        <f t="shared" si="39"/>
        <v>1</v>
      </c>
    </row>
    <row r="1223" spans="1:5" x14ac:dyDescent="0.15">
      <c r="A1223" s="66" t="s">
        <v>2564</v>
      </c>
      <c r="B1223" s="66" t="s">
        <v>2565</v>
      </c>
      <c r="C1223" s="66" t="s">
        <v>86</v>
      </c>
      <c r="D1223" s="66" t="str">
        <f t="shared" si="38"/>
        <v>1237</v>
      </c>
      <c r="E1223" s="66">
        <f t="shared" si="39"/>
        <v>2</v>
      </c>
    </row>
    <row r="1224" spans="1:5" x14ac:dyDescent="0.15">
      <c r="A1224" s="66" t="s">
        <v>2566</v>
      </c>
      <c r="B1224" s="66" t="s">
        <v>2567</v>
      </c>
      <c r="C1224" s="66" t="s">
        <v>436</v>
      </c>
      <c r="D1224" s="66" t="str">
        <f t="shared" si="38"/>
        <v>1238</v>
      </c>
      <c r="E1224" s="66">
        <f t="shared" si="39"/>
        <v>1</v>
      </c>
    </row>
    <row r="1225" spans="1:5" x14ac:dyDescent="0.15">
      <c r="A1225" s="66" t="s">
        <v>2568</v>
      </c>
      <c r="B1225" s="66" t="s">
        <v>2569</v>
      </c>
      <c r="C1225" s="66" t="s">
        <v>245</v>
      </c>
      <c r="D1225" s="66" t="str">
        <f t="shared" si="38"/>
        <v>1239</v>
      </c>
      <c r="E1225" s="66">
        <f t="shared" si="39"/>
        <v>1</v>
      </c>
    </row>
    <row r="1226" spans="1:5" x14ac:dyDescent="0.15">
      <c r="A1226" s="66" t="s">
        <v>2570</v>
      </c>
      <c r="B1226" s="66" t="s">
        <v>2571</v>
      </c>
      <c r="C1226" s="66" t="s">
        <v>86</v>
      </c>
      <c r="D1226" s="66" t="str">
        <f t="shared" si="38"/>
        <v>1240</v>
      </c>
      <c r="E1226" s="66">
        <f t="shared" si="39"/>
        <v>1</v>
      </c>
    </row>
    <row r="1227" spans="1:5" x14ac:dyDescent="0.15">
      <c r="A1227" s="66" t="s">
        <v>2572</v>
      </c>
      <c r="B1227" s="66" t="s">
        <v>2573</v>
      </c>
      <c r="C1227" s="66" t="s">
        <v>140</v>
      </c>
      <c r="D1227" s="66" t="str">
        <f t="shared" si="38"/>
        <v>1241</v>
      </c>
      <c r="E1227" s="66">
        <f t="shared" si="39"/>
        <v>1</v>
      </c>
    </row>
    <row r="1228" spans="1:5" x14ac:dyDescent="0.15">
      <c r="A1228" s="66" t="s">
        <v>2574</v>
      </c>
      <c r="B1228" s="66" t="s">
        <v>2575</v>
      </c>
      <c r="C1228" s="66" t="s">
        <v>140</v>
      </c>
      <c r="D1228" s="66" t="str">
        <f t="shared" si="38"/>
        <v>1242</v>
      </c>
      <c r="E1228" s="66">
        <f t="shared" si="39"/>
        <v>1</v>
      </c>
    </row>
    <row r="1229" spans="1:5" x14ac:dyDescent="0.15">
      <c r="A1229" s="66" t="s">
        <v>2576</v>
      </c>
      <c r="B1229" s="66" t="s">
        <v>2577</v>
      </c>
      <c r="C1229" s="66" t="s">
        <v>133</v>
      </c>
      <c r="D1229" s="66" t="str">
        <f t="shared" si="38"/>
        <v>1243</v>
      </c>
      <c r="E1229" s="66">
        <f t="shared" si="39"/>
        <v>1</v>
      </c>
    </row>
    <row r="1230" spans="1:5" x14ac:dyDescent="0.15">
      <c r="A1230" s="66" t="s">
        <v>2578</v>
      </c>
      <c r="B1230" s="66" t="s">
        <v>2579</v>
      </c>
      <c r="C1230" s="66" t="s">
        <v>101</v>
      </c>
      <c r="D1230" s="66" t="str">
        <f t="shared" si="38"/>
        <v>1244</v>
      </c>
      <c r="E1230" s="66">
        <f t="shared" si="39"/>
        <v>1</v>
      </c>
    </row>
    <row r="1231" spans="1:5" x14ac:dyDescent="0.15">
      <c r="A1231" s="66" t="s">
        <v>2580</v>
      </c>
      <c r="B1231" s="66" t="s">
        <v>2581</v>
      </c>
      <c r="C1231" s="66" t="s">
        <v>133</v>
      </c>
      <c r="D1231" s="66" t="str">
        <f t="shared" si="38"/>
        <v>1245</v>
      </c>
      <c r="E1231" s="66">
        <f t="shared" si="39"/>
        <v>1</v>
      </c>
    </row>
    <row r="1232" spans="1:5" x14ac:dyDescent="0.15">
      <c r="A1232" s="66" t="s">
        <v>2582</v>
      </c>
      <c r="B1232" s="66" t="s">
        <v>2583</v>
      </c>
      <c r="C1232" s="66" t="s">
        <v>86</v>
      </c>
      <c r="D1232" s="66" t="str">
        <f t="shared" si="38"/>
        <v>1246</v>
      </c>
      <c r="E1232" s="66">
        <f t="shared" si="39"/>
        <v>1</v>
      </c>
    </row>
    <row r="1233" spans="1:5" x14ac:dyDescent="0.15">
      <c r="A1233" s="66" t="s">
        <v>2584</v>
      </c>
      <c r="B1233" s="66" t="s">
        <v>2585</v>
      </c>
      <c r="C1233" s="66" t="s">
        <v>86</v>
      </c>
      <c r="D1233" s="66" t="str">
        <f t="shared" si="38"/>
        <v>1247</v>
      </c>
      <c r="E1233" s="66">
        <f t="shared" si="39"/>
        <v>1</v>
      </c>
    </row>
    <row r="1234" spans="1:5" x14ac:dyDescent="0.15">
      <c r="A1234" s="66" t="s">
        <v>2586</v>
      </c>
      <c r="B1234" s="66" t="s">
        <v>2587</v>
      </c>
      <c r="C1234" s="66" t="s">
        <v>86</v>
      </c>
      <c r="D1234" s="66" t="str">
        <f t="shared" si="38"/>
        <v>1248</v>
      </c>
      <c r="E1234" s="66">
        <f t="shared" si="39"/>
        <v>1</v>
      </c>
    </row>
    <row r="1235" spans="1:5" x14ac:dyDescent="0.15">
      <c r="A1235" s="66" t="s">
        <v>2588</v>
      </c>
      <c r="B1235" s="66" t="s">
        <v>2589</v>
      </c>
      <c r="C1235" s="66" t="s">
        <v>86</v>
      </c>
      <c r="D1235" s="66" t="str">
        <f t="shared" si="38"/>
        <v>1249</v>
      </c>
      <c r="E1235" s="66">
        <f t="shared" si="39"/>
        <v>1</v>
      </c>
    </row>
    <row r="1236" spans="1:5" x14ac:dyDescent="0.15">
      <c r="A1236" s="66" t="s">
        <v>2590</v>
      </c>
      <c r="B1236" s="66" t="s">
        <v>2591</v>
      </c>
      <c r="C1236" s="66" t="s">
        <v>133</v>
      </c>
      <c r="D1236" s="66" t="str">
        <f t="shared" si="38"/>
        <v>1250</v>
      </c>
      <c r="E1236" s="66">
        <f t="shared" si="39"/>
        <v>1</v>
      </c>
    </row>
    <row r="1237" spans="1:5" x14ac:dyDescent="0.15">
      <c r="A1237" s="66" t="s">
        <v>2592</v>
      </c>
      <c r="B1237" s="66" t="s">
        <v>2593</v>
      </c>
      <c r="C1237" s="66" t="s">
        <v>133</v>
      </c>
      <c r="D1237" s="66" t="str">
        <f t="shared" si="38"/>
        <v>1251</v>
      </c>
      <c r="E1237" s="66">
        <f t="shared" si="39"/>
        <v>1</v>
      </c>
    </row>
    <row r="1238" spans="1:5" x14ac:dyDescent="0.15">
      <c r="A1238" s="66" t="s">
        <v>2594</v>
      </c>
      <c r="B1238" s="66" t="s">
        <v>2595</v>
      </c>
      <c r="C1238" s="66" t="s">
        <v>133</v>
      </c>
      <c r="D1238" s="66" t="str">
        <f t="shared" si="38"/>
        <v>1252</v>
      </c>
      <c r="E1238" s="66">
        <f t="shared" si="39"/>
        <v>1</v>
      </c>
    </row>
    <row r="1239" spans="1:5" x14ac:dyDescent="0.15">
      <c r="A1239" s="66" t="s">
        <v>2596</v>
      </c>
      <c r="B1239" s="66" t="s">
        <v>2597</v>
      </c>
      <c r="C1239" s="66" t="s">
        <v>133</v>
      </c>
      <c r="D1239" s="66" t="str">
        <f t="shared" si="38"/>
        <v>1253</v>
      </c>
      <c r="E1239" s="66">
        <f t="shared" si="39"/>
        <v>1</v>
      </c>
    </row>
    <row r="1240" spans="1:5" x14ac:dyDescent="0.15">
      <c r="A1240" s="66" t="s">
        <v>2598</v>
      </c>
      <c r="B1240" s="66" t="s">
        <v>2599</v>
      </c>
      <c r="C1240" s="66" t="s">
        <v>133</v>
      </c>
      <c r="D1240" s="66" t="str">
        <f t="shared" si="38"/>
        <v>1254</v>
      </c>
      <c r="E1240" s="66">
        <f t="shared" si="39"/>
        <v>1</v>
      </c>
    </row>
    <row r="1241" spans="1:5" x14ac:dyDescent="0.15">
      <c r="A1241" s="66" t="s">
        <v>2600</v>
      </c>
      <c r="B1241" s="66" t="s">
        <v>2601</v>
      </c>
      <c r="C1241" s="66" t="s">
        <v>86</v>
      </c>
      <c r="D1241" s="66" t="str">
        <f t="shared" si="38"/>
        <v>1255</v>
      </c>
      <c r="E1241" s="66">
        <f t="shared" si="39"/>
        <v>1</v>
      </c>
    </row>
    <row r="1242" spans="1:5" x14ac:dyDescent="0.15">
      <c r="A1242" s="66" t="s">
        <v>2602</v>
      </c>
      <c r="B1242" s="66" t="s">
        <v>2603</v>
      </c>
      <c r="C1242" s="66" t="s">
        <v>359</v>
      </c>
      <c r="D1242" s="66" t="str">
        <f t="shared" si="38"/>
        <v>1256</v>
      </c>
      <c r="E1242" s="66">
        <f t="shared" si="39"/>
        <v>1</v>
      </c>
    </row>
    <row r="1243" spans="1:5" x14ac:dyDescent="0.15">
      <c r="A1243" s="66" t="s">
        <v>2604</v>
      </c>
      <c r="B1243" s="66" t="s">
        <v>2605</v>
      </c>
      <c r="C1243" s="66" t="s">
        <v>133</v>
      </c>
      <c r="D1243" s="66" t="str">
        <f t="shared" si="38"/>
        <v>1257</v>
      </c>
      <c r="E1243" s="66">
        <f t="shared" si="39"/>
        <v>1</v>
      </c>
    </row>
    <row r="1244" spans="1:5" x14ac:dyDescent="0.15">
      <c r="A1244" s="66" t="s">
        <v>2606</v>
      </c>
      <c r="B1244" s="66" t="s">
        <v>2607</v>
      </c>
      <c r="C1244" s="66" t="s">
        <v>140</v>
      </c>
      <c r="D1244" s="66" t="str">
        <f t="shared" si="38"/>
        <v>1258</v>
      </c>
      <c r="E1244" s="66">
        <f t="shared" si="39"/>
        <v>1</v>
      </c>
    </row>
    <row r="1245" spans="1:5" x14ac:dyDescent="0.15">
      <c r="A1245" s="66" t="s">
        <v>2608</v>
      </c>
      <c r="B1245" s="66" t="s">
        <v>2609</v>
      </c>
      <c r="C1245" s="66" t="s">
        <v>140</v>
      </c>
      <c r="D1245" s="66" t="str">
        <f t="shared" si="38"/>
        <v>1259</v>
      </c>
      <c r="E1245" s="66">
        <f t="shared" si="39"/>
        <v>1</v>
      </c>
    </row>
    <row r="1246" spans="1:5" x14ac:dyDescent="0.15">
      <c r="A1246" s="66" t="s">
        <v>2610</v>
      </c>
      <c r="B1246" s="66" t="s">
        <v>2611</v>
      </c>
      <c r="C1246" s="66" t="s">
        <v>131</v>
      </c>
      <c r="D1246" s="66" t="str">
        <f t="shared" si="38"/>
        <v>1260</v>
      </c>
      <c r="E1246" s="66">
        <f t="shared" si="39"/>
        <v>1</v>
      </c>
    </row>
    <row r="1247" spans="1:5" x14ac:dyDescent="0.15">
      <c r="A1247" s="66" t="s">
        <v>2612</v>
      </c>
      <c r="B1247" s="66" t="s">
        <v>2613</v>
      </c>
      <c r="C1247" s="66" t="s">
        <v>86</v>
      </c>
      <c r="D1247" s="66" t="str">
        <f t="shared" si="38"/>
        <v>1261</v>
      </c>
      <c r="E1247" s="66">
        <f t="shared" si="39"/>
        <v>1</v>
      </c>
    </row>
    <row r="1248" spans="1:5" x14ac:dyDescent="0.15">
      <c r="A1248" s="66" t="s">
        <v>2614</v>
      </c>
      <c r="B1248" s="66" t="s">
        <v>2615</v>
      </c>
      <c r="C1248" s="66" t="s">
        <v>359</v>
      </c>
      <c r="D1248" s="66" t="str">
        <f t="shared" si="38"/>
        <v>1262</v>
      </c>
      <c r="E1248" s="66">
        <f t="shared" si="39"/>
        <v>1</v>
      </c>
    </row>
    <row r="1249" spans="1:5" x14ac:dyDescent="0.15">
      <c r="A1249" s="66" t="s">
        <v>2616</v>
      </c>
      <c r="B1249" s="66" t="s">
        <v>2617</v>
      </c>
      <c r="C1249" s="66" t="s">
        <v>359</v>
      </c>
      <c r="D1249" s="66" t="str">
        <f t="shared" si="38"/>
        <v>1263</v>
      </c>
      <c r="E1249" s="66">
        <f t="shared" si="39"/>
        <v>1</v>
      </c>
    </row>
    <row r="1250" spans="1:5" x14ac:dyDescent="0.15">
      <c r="A1250" s="66" t="s">
        <v>2618</v>
      </c>
      <c r="B1250" s="66" t="s">
        <v>2619</v>
      </c>
      <c r="C1250" s="66" t="s">
        <v>86</v>
      </c>
      <c r="D1250" s="66" t="str">
        <f t="shared" si="38"/>
        <v>1264</v>
      </c>
      <c r="E1250" s="66">
        <f t="shared" si="39"/>
        <v>1</v>
      </c>
    </row>
    <row r="1251" spans="1:5" x14ac:dyDescent="0.15">
      <c r="A1251" s="66" t="s">
        <v>2620</v>
      </c>
      <c r="B1251" s="66" t="s">
        <v>2621</v>
      </c>
      <c r="C1251" s="66" t="s">
        <v>86</v>
      </c>
      <c r="D1251" s="66" t="str">
        <f t="shared" si="38"/>
        <v>1265</v>
      </c>
      <c r="E1251" s="66">
        <f t="shared" si="39"/>
        <v>1</v>
      </c>
    </row>
    <row r="1252" spans="1:5" x14ac:dyDescent="0.15">
      <c r="A1252" s="66" t="s">
        <v>2622</v>
      </c>
      <c r="B1252" s="66" t="s">
        <v>2623</v>
      </c>
      <c r="C1252" s="66" t="s">
        <v>359</v>
      </c>
      <c r="D1252" s="66" t="str">
        <f t="shared" si="38"/>
        <v>1266</v>
      </c>
      <c r="E1252" s="66">
        <f t="shared" si="39"/>
        <v>1</v>
      </c>
    </row>
    <row r="1253" spans="1:5" x14ac:dyDescent="0.15">
      <c r="A1253" s="66" t="s">
        <v>2624</v>
      </c>
      <c r="B1253" s="66" t="s">
        <v>2625</v>
      </c>
      <c r="C1253" s="66" t="s">
        <v>359</v>
      </c>
      <c r="D1253" s="66" t="str">
        <f t="shared" si="38"/>
        <v>1267</v>
      </c>
      <c r="E1253" s="66">
        <f t="shared" si="39"/>
        <v>1</v>
      </c>
    </row>
    <row r="1254" spans="1:5" x14ac:dyDescent="0.15">
      <c r="A1254" s="66" t="s">
        <v>2626</v>
      </c>
      <c r="B1254" s="66" t="s">
        <v>2627</v>
      </c>
      <c r="C1254" s="66" t="s">
        <v>133</v>
      </c>
      <c r="D1254" s="66" t="str">
        <f t="shared" si="38"/>
        <v>1268</v>
      </c>
      <c r="E1254" s="66">
        <f t="shared" si="39"/>
        <v>1</v>
      </c>
    </row>
    <row r="1255" spans="1:5" x14ac:dyDescent="0.15">
      <c r="A1255" s="66" t="s">
        <v>2628</v>
      </c>
      <c r="B1255" s="66" t="s">
        <v>2629</v>
      </c>
      <c r="C1255" s="66" t="s">
        <v>133</v>
      </c>
      <c r="D1255" s="66" t="str">
        <f t="shared" si="38"/>
        <v>1269</v>
      </c>
      <c r="E1255" s="66">
        <f t="shared" si="39"/>
        <v>1</v>
      </c>
    </row>
    <row r="1256" spans="1:5" x14ac:dyDescent="0.15">
      <c r="A1256" s="66" t="s">
        <v>2630</v>
      </c>
      <c r="B1256" s="66" t="s">
        <v>2631</v>
      </c>
      <c r="C1256" s="66" t="s">
        <v>359</v>
      </c>
      <c r="D1256" s="66" t="str">
        <f t="shared" si="38"/>
        <v>1270</v>
      </c>
      <c r="E1256" s="66">
        <f t="shared" si="39"/>
        <v>1</v>
      </c>
    </row>
    <row r="1257" spans="1:5" x14ac:dyDescent="0.15">
      <c r="A1257" s="66" t="s">
        <v>2632</v>
      </c>
      <c r="B1257" s="66" t="s">
        <v>2633</v>
      </c>
      <c r="C1257" s="66" t="s">
        <v>133</v>
      </c>
      <c r="D1257" s="66" t="str">
        <f t="shared" si="38"/>
        <v>1271</v>
      </c>
      <c r="E1257" s="66">
        <f t="shared" si="39"/>
        <v>1</v>
      </c>
    </row>
    <row r="1258" spans="1:5" x14ac:dyDescent="0.15">
      <c r="A1258" s="66" t="s">
        <v>2634</v>
      </c>
      <c r="B1258" s="66" t="s">
        <v>2635</v>
      </c>
      <c r="C1258" s="66" t="s">
        <v>133</v>
      </c>
      <c r="D1258" s="66" t="str">
        <f t="shared" si="38"/>
        <v>1272</v>
      </c>
      <c r="E1258" s="66">
        <f t="shared" si="39"/>
        <v>1</v>
      </c>
    </row>
    <row r="1259" spans="1:5" x14ac:dyDescent="0.15">
      <c r="A1259" s="66" t="s">
        <v>2636</v>
      </c>
      <c r="B1259" s="66" t="s">
        <v>2637</v>
      </c>
      <c r="C1259" s="66" t="s">
        <v>133</v>
      </c>
      <c r="D1259" s="66" t="str">
        <f t="shared" si="38"/>
        <v>1273</v>
      </c>
      <c r="E1259" s="66">
        <f t="shared" si="39"/>
        <v>1</v>
      </c>
    </row>
    <row r="1260" spans="1:5" x14ac:dyDescent="0.15">
      <c r="A1260" s="66" t="s">
        <v>2638</v>
      </c>
      <c r="B1260" s="66" t="s">
        <v>2639</v>
      </c>
      <c r="C1260" s="66" t="s">
        <v>86</v>
      </c>
      <c r="D1260" s="66" t="str">
        <f t="shared" si="38"/>
        <v>1274</v>
      </c>
      <c r="E1260" s="66">
        <f t="shared" si="39"/>
        <v>1</v>
      </c>
    </row>
    <row r="1261" spans="1:5" x14ac:dyDescent="0.15">
      <c r="A1261" s="66" t="s">
        <v>2640</v>
      </c>
      <c r="B1261" s="66" t="s">
        <v>2641</v>
      </c>
      <c r="C1261" s="66" t="s">
        <v>133</v>
      </c>
      <c r="D1261" s="66" t="str">
        <f t="shared" si="38"/>
        <v>1275</v>
      </c>
      <c r="E1261" s="66">
        <f t="shared" si="39"/>
        <v>1</v>
      </c>
    </row>
    <row r="1262" spans="1:5" x14ac:dyDescent="0.15">
      <c r="A1262" s="66" t="s">
        <v>2642</v>
      </c>
      <c r="B1262" s="66" t="s">
        <v>2643</v>
      </c>
      <c r="C1262" s="66" t="s">
        <v>86</v>
      </c>
      <c r="D1262" s="66" t="str">
        <f t="shared" si="38"/>
        <v>1276</v>
      </c>
      <c r="E1262" s="66">
        <f t="shared" si="39"/>
        <v>1</v>
      </c>
    </row>
    <row r="1263" spans="1:5" x14ac:dyDescent="0.15">
      <c r="A1263" s="66" t="s">
        <v>2644</v>
      </c>
      <c r="B1263" s="66" t="s">
        <v>2645</v>
      </c>
      <c r="C1263" s="66" t="s">
        <v>86</v>
      </c>
      <c r="D1263" s="66" t="str">
        <f t="shared" si="38"/>
        <v>1277</v>
      </c>
      <c r="E1263" s="66">
        <f t="shared" si="39"/>
        <v>1</v>
      </c>
    </row>
    <row r="1264" spans="1:5" x14ac:dyDescent="0.15">
      <c r="A1264" s="66" t="s">
        <v>2646</v>
      </c>
      <c r="B1264" s="66" t="s">
        <v>2647</v>
      </c>
      <c r="C1264" s="66" t="s">
        <v>86</v>
      </c>
      <c r="D1264" s="66" t="str">
        <f t="shared" si="38"/>
        <v>1278</v>
      </c>
      <c r="E1264" s="66">
        <f t="shared" si="39"/>
        <v>1</v>
      </c>
    </row>
    <row r="1265" spans="1:5" x14ac:dyDescent="0.15">
      <c r="A1265" s="66" t="s">
        <v>2648</v>
      </c>
      <c r="B1265" s="66" t="s">
        <v>2649</v>
      </c>
      <c r="C1265" s="66" t="s">
        <v>140</v>
      </c>
      <c r="D1265" s="66" t="str">
        <f t="shared" si="38"/>
        <v>1279</v>
      </c>
      <c r="E1265" s="66">
        <f t="shared" si="39"/>
        <v>1</v>
      </c>
    </row>
    <row r="1266" spans="1:5" x14ac:dyDescent="0.15">
      <c r="A1266" s="66" t="s">
        <v>2650</v>
      </c>
      <c r="B1266" s="66" t="s">
        <v>2651</v>
      </c>
      <c r="C1266" s="66" t="s">
        <v>140</v>
      </c>
      <c r="D1266" s="66" t="str">
        <f t="shared" si="38"/>
        <v>1280</v>
      </c>
      <c r="E1266" s="66">
        <f t="shared" si="39"/>
        <v>1</v>
      </c>
    </row>
    <row r="1267" spans="1:5" x14ac:dyDescent="0.15">
      <c r="A1267" s="66" t="s">
        <v>2652</v>
      </c>
      <c r="B1267" s="66" t="s">
        <v>2653</v>
      </c>
      <c r="C1267" s="66" t="s">
        <v>140</v>
      </c>
      <c r="D1267" s="66" t="str">
        <f t="shared" si="38"/>
        <v>1281</v>
      </c>
      <c r="E1267" s="66">
        <f t="shared" si="39"/>
        <v>1</v>
      </c>
    </row>
    <row r="1268" spans="1:5" x14ac:dyDescent="0.15">
      <c r="A1268" s="66" t="s">
        <v>2654</v>
      </c>
      <c r="B1268" s="66" t="s">
        <v>2655</v>
      </c>
      <c r="C1268" s="66" t="s">
        <v>101</v>
      </c>
      <c r="D1268" s="66" t="str">
        <f t="shared" si="38"/>
        <v>1282</v>
      </c>
      <c r="E1268" s="66">
        <f t="shared" si="39"/>
        <v>1</v>
      </c>
    </row>
    <row r="1269" spans="1:5" x14ac:dyDescent="0.15">
      <c r="A1269" s="66" t="s">
        <v>2656</v>
      </c>
      <c r="B1269" s="66" t="s">
        <v>2657</v>
      </c>
      <c r="C1269" s="66" t="s">
        <v>340</v>
      </c>
      <c r="D1269" s="66" t="str">
        <f t="shared" si="38"/>
        <v>1283</v>
      </c>
      <c r="E1269" s="66">
        <f t="shared" si="39"/>
        <v>2</v>
      </c>
    </row>
    <row r="1270" spans="1:5" x14ac:dyDescent="0.15">
      <c r="A1270" s="66" t="s">
        <v>2658</v>
      </c>
      <c r="B1270" s="66" t="s">
        <v>2659</v>
      </c>
      <c r="C1270" s="66" t="s">
        <v>86</v>
      </c>
      <c r="D1270" s="66" t="str">
        <f t="shared" si="38"/>
        <v>1284</v>
      </c>
      <c r="E1270" s="66">
        <f t="shared" si="39"/>
        <v>1</v>
      </c>
    </row>
    <row r="1271" spans="1:5" x14ac:dyDescent="0.15">
      <c r="A1271" s="66" t="s">
        <v>2660</v>
      </c>
      <c r="B1271" s="66" t="s">
        <v>2661</v>
      </c>
      <c r="C1271" s="66" t="s">
        <v>86</v>
      </c>
      <c r="D1271" s="66" t="str">
        <f t="shared" si="38"/>
        <v>1285</v>
      </c>
      <c r="E1271" s="66">
        <f t="shared" si="39"/>
        <v>1</v>
      </c>
    </row>
    <row r="1272" spans="1:5" x14ac:dyDescent="0.15">
      <c r="A1272" s="66" t="s">
        <v>2662</v>
      </c>
      <c r="B1272" s="66" t="s">
        <v>2663</v>
      </c>
      <c r="C1272" s="66" t="s">
        <v>277</v>
      </c>
      <c r="D1272" s="66" t="str">
        <f t="shared" si="38"/>
        <v>1286</v>
      </c>
      <c r="E1272" s="66">
        <f t="shared" si="39"/>
        <v>1</v>
      </c>
    </row>
    <row r="1273" spans="1:5" x14ac:dyDescent="0.15">
      <c r="A1273" s="66" t="s">
        <v>2664</v>
      </c>
      <c r="B1273" s="66" t="s">
        <v>2665</v>
      </c>
      <c r="C1273" s="66" t="s">
        <v>101</v>
      </c>
      <c r="D1273" s="66" t="str">
        <f t="shared" si="38"/>
        <v>1287</v>
      </c>
      <c r="E1273" s="66">
        <f t="shared" si="39"/>
        <v>1</v>
      </c>
    </row>
    <row r="1274" spans="1:5" x14ac:dyDescent="0.15">
      <c r="A1274" s="66" t="s">
        <v>2666</v>
      </c>
      <c r="B1274" s="66" t="s">
        <v>2667</v>
      </c>
      <c r="C1274" s="66" t="s">
        <v>424</v>
      </c>
      <c r="D1274" s="66" t="str">
        <f t="shared" si="38"/>
        <v>1288</v>
      </c>
      <c r="E1274" s="66">
        <f t="shared" si="39"/>
        <v>1</v>
      </c>
    </row>
    <row r="1275" spans="1:5" x14ac:dyDescent="0.15">
      <c r="A1275" s="66" t="s">
        <v>2668</v>
      </c>
      <c r="B1275" s="66" t="s">
        <v>2669</v>
      </c>
      <c r="C1275" s="66" t="s">
        <v>86</v>
      </c>
      <c r="D1275" s="66" t="str">
        <f t="shared" si="38"/>
        <v>1289</v>
      </c>
      <c r="E1275" s="66">
        <f t="shared" si="39"/>
        <v>1</v>
      </c>
    </row>
    <row r="1276" spans="1:5" x14ac:dyDescent="0.15">
      <c r="A1276" s="66" t="s">
        <v>2670</v>
      </c>
      <c r="B1276" s="66" t="s">
        <v>2671</v>
      </c>
      <c r="C1276" s="66" t="s">
        <v>359</v>
      </c>
      <c r="D1276" s="66" t="str">
        <f t="shared" si="38"/>
        <v>1290</v>
      </c>
      <c r="E1276" s="66">
        <f t="shared" si="39"/>
        <v>1</v>
      </c>
    </row>
    <row r="1277" spans="1:5" x14ac:dyDescent="0.15">
      <c r="A1277" s="66" t="s">
        <v>2672</v>
      </c>
      <c r="B1277" s="66" t="s">
        <v>2673</v>
      </c>
      <c r="C1277" s="66" t="s">
        <v>86</v>
      </c>
      <c r="D1277" s="66" t="str">
        <f t="shared" si="38"/>
        <v>1291</v>
      </c>
      <c r="E1277" s="66">
        <f t="shared" si="39"/>
        <v>2</v>
      </c>
    </row>
    <row r="1278" spans="1:5" x14ac:dyDescent="0.15">
      <c r="A1278" s="66" t="s">
        <v>2674</v>
      </c>
      <c r="B1278" s="66" t="s">
        <v>2675</v>
      </c>
      <c r="C1278" s="66" t="s">
        <v>359</v>
      </c>
      <c r="D1278" s="66" t="str">
        <f t="shared" si="38"/>
        <v>1292</v>
      </c>
      <c r="E1278" s="66">
        <f t="shared" si="39"/>
        <v>1</v>
      </c>
    </row>
    <row r="1279" spans="1:5" x14ac:dyDescent="0.15">
      <c r="A1279" s="66" t="s">
        <v>2676</v>
      </c>
      <c r="B1279" s="66" t="s">
        <v>2677</v>
      </c>
      <c r="C1279" s="66" t="s">
        <v>140</v>
      </c>
      <c r="D1279" s="66" t="str">
        <f t="shared" si="38"/>
        <v>1293</v>
      </c>
      <c r="E1279" s="66">
        <f t="shared" si="39"/>
        <v>1</v>
      </c>
    </row>
    <row r="1280" spans="1:5" x14ac:dyDescent="0.15">
      <c r="A1280" s="66" t="s">
        <v>2678</v>
      </c>
      <c r="B1280" s="66" t="s">
        <v>2679</v>
      </c>
      <c r="C1280" s="66" t="s">
        <v>86</v>
      </c>
      <c r="D1280" s="66" t="str">
        <f t="shared" si="38"/>
        <v>1294</v>
      </c>
      <c r="E1280" s="66">
        <f t="shared" si="39"/>
        <v>1</v>
      </c>
    </row>
    <row r="1281" spans="1:5" x14ac:dyDescent="0.15">
      <c r="A1281" s="66" t="s">
        <v>2680</v>
      </c>
      <c r="B1281" s="66" t="s">
        <v>2681</v>
      </c>
      <c r="C1281" s="66" t="s">
        <v>140</v>
      </c>
      <c r="D1281" s="66" t="str">
        <f t="shared" si="38"/>
        <v>1295</v>
      </c>
      <c r="E1281" s="66">
        <f t="shared" si="39"/>
        <v>1</v>
      </c>
    </row>
    <row r="1282" spans="1:5" x14ac:dyDescent="0.15">
      <c r="A1282" s="66" t="s">
        <v>2682</v>
      </c>
      <c r="B1282" s="66" t="s">
        <v>2683</v>
      </c>
      <c r="C1282" s="66" t="s">
        <v>813</v>
      </c>
      <c r="D1282" s="66" t="str">
        <f t="shared" ref="D1282:D1345" si="40">A1282</f>
        <v>1296</v>
      </c>
      <c r="E1282" s="66">
        <f t="shared" ref="E1282:E1345" si="41">COUNTIFS(B:B,B1282)</f>
        <v>1</v>
      </c>
    </row>
    <row r="1283" spans="1:5" x14ac:dyDescent="0.15">
      <c r="A1283" s="66" t="s">
        <v>2684</v>
      </c>
      <c r="B1283" s="66" t="s">
        <v>2685</v>
      </c>
      <c r="C1283" s="66" t="s">
        <v>75</v>
      </c>
      <c r="D1283" s="66" t="str">
        <f t="shared" si="40"/>
        <v>1297</v>
      </c>
      <c r="E1283" s="66">
        <f t="shared" si="41"/>
        <v>1</v>
      </c>
    </row>
    <row r="1284" spans="1:5" x14ac:dyDescent="0.15">
      <c r="A1284" s="66" t="s">
        <v>2686</v>
      </c>
      <c r="B1284" s="66" t="s">
        <v>2687</v>
      </c>
      <c r="C1284" s="66" t="s">
        <v>140</v>
      </c>
      <c r="D1284" s="66" t="str">
        <f t="shared" si="40"/>
        <v>1298</v>
      </c>
      <c r="E1284" s="66">
        <f t="shared" si="41"/>
        <v>1</v>
      </c>
    </row>
    <row r="1285" spans="1:5" x14ac:dyDescent="0.15">
      <c r="A1285" s="66" t="s">
        <v>2688</v>
      </c>
      <c r="B1285" s="66" t="s">
        <v>2689</v>
      </c>
      <c r="C1285" s="66" t="s">
        <v>340</v>
      </c>
      <c r="D1285" s="66" t="str">
        <f t="shared" si="40"/>
        <v>1299</v>
      </c>
      <c r="E1285" s="66">
        <f t="shared" si="41"/>
        <v>1</v>
      </c>
    </row>
    <row r="1286" spans="1:5" x14ac:dyDescent="0.15">
      <c r="A1286" s="66" t="s">
        <v>2690</v>
      </c>
      <c r="B1286" s="66" t="s">
        <v>2691</v>
      </c>
      <c r="C1286" s="66" t="s">
        <v>101</v>
      </c>
      <c r="D1286" s="66" t="str">
        <f t="shared" si="40"/>
        <v>1300</v>
      </c>
      <c r="E1286" s="66">
        <f t="shared" si="41"/>
        <v>1</v>
      </c>
    </row>
    <row r="1287" spans="1:5" x14ac:dyDescent="0.15">
      <c r="A1287" s="66" t="s">
        <v>2692</v>
      </c>
      <c r="B1287" s="66" t="s">
        <v>2693</v>
      </c>
      <c r="C1287" s="66" t="s">
        <v>359</v>
      </c>
      <c r="D1287" s="66" t="str">
        <f t="shared" si="40"/>
        <v>1301</v>
      </c>
      <c r="E1287" s="66">
        <f t="shared" si="41"/>
        <v>1</v>
      </c>
    </row>
    <row r="1288" spans="1:5" x14ac:dyDescent="0.15">
      <c r="A1288" s="66" t="s">
        <v>2694</v>
      </c>
      <c r="B1288" s="66" t="s">
        <v>2695</v>
      </c>
      <c r="C1288" s="66" t="s">
        <v>359</v>
      </c>
      <c r="D1288" s="66" t="str">
        <f t="shared" si="40"/>
        <v>1302</v>
      </c>
      <c r="E1288" s="66">
        <f t="shared" si="41"/>
        <v>1</v>
      </c>
    </row>
    <row r="1289" spans="1:5" x14ac:dyDescent="0.15">
      <c r="A1289" s="66" t="s">
        <v>2696</v>
      </c>
      <c r="B1289" s="66" t="s">
        <v>2697</v>
      </c>
      <c r="C1289" s="66" t="s">
        <v>133</v>
      </c>
      <c r="D1289" s="66" t="str">
        <f t="shared" si="40"/>
        <v>1303</v>
      </c>
      <c r="E1289" s="66">
        <f t="shared" si="41"/>
        <v>1</v>
      </c>
    </row>
    <row r="1290" spans="1:5" x14ac:dyDescent="0.15">
      <c r="A1290" s="66" t="s">
        <v>2698</v>
      </c>
      <c r="B1290" s="66" t="s">
        <v>2699</v>
      </c>
      <c r="C1290" s="66" t="s">
        <v>359</v>
      </c>
      <c r="D1290" s="66" t="str">
        <f t="shared" si="40"/>
        <v>1304</v>
      </c>
      <c r="E1290" s="66">
        <f t="shared" si="41"/>
        <v>1</v>
      </c>
    </row>
    <row r="1291" spans="1:5" x14ac:dyDescent="0.15">
      <c r="A1291" s="66" t="s">
        <v>2700</v>
      </c>
      <c r="B1291" s="66" t="s">
        <v>2657</v>
      </c>
      <c r="C1291" s="66" t="s">
        <v>359</v>
      </c>
      <c r="D1291" s="66" t="str">
        <f t="shared" si="40"/>
        <v>1305</v>
      </c>
      <c r="E1291" s="66">
        <f t="shared" si="41"/>
        <v>2</v>
      </c>
    </row>
    <row r="1292" spans="1:5" x14ac:dyDescent="0.15">
      <c r="A1292" s="66" t="s">
        <v>2701</v>
      </c>
      <c r="B1292" s="66" t="s">
        <v>2702</v>
      </c>
      <c r="C1292" s="66" t="s">
        <v>133</v>
      </c>
      <c r="D1292" s="66" t="str">
        <f t="shared" si="40"/>
        <v>1306</v>
      </c>
      <c r="E1292" s="66">
        <f t="shared" si="41"/>
        <v>1</v>
      </c>
    </row>
    <row r="1293" spans="1:5" x14ac:dyDescent="0.15">
      <c r="A1293" s="66" t="s">
        <v>2703</v>
      </c>
      <c r="B1293" s="66" t="s">
        <v>2704</v>
      </c>
      <c r="C1293" s="66" t="s">
        <v>424</v>
      </c>
      <c r="D1293" s="66" t="str">
        <f t="shared" si="40"/>
        <v>1307</v>
      </c>
      <c r="E1293" s="66">
        <f t="shared" si="41"/>
        <v>1</v>
      </c>
    </row>
    <row r="1294" spans="1:5" x14ac:dyDescent="0.15">
      <c r="A1294" s="66" t="s">
        <v>2705</v>
      </c>
      <c r="B1294" s="66" t="s">
        <v>2706</v>
      </c>
      <c r="C1294" s="66" t="s">
        <v>140</v>
      </c>
      <c r="D1294" s="66" t="str">
        <f t="shared" si="40"/>
        <v>1308</v>
      </c>
      <c r="E1294" s="66">
        <f t="shared" si="41"/>
        <v>1</v>
      </c>
    </row>
    <row r="1295" spans="1:5" x14ac:dyDescent="0.15">
      <c r="A1295" s="66" t="s">
        <v>2707</v>
      </c>
      <c r="B1295" s="66" t="s">
        <v>2708</v>
      </c>
      <c r="C1295" s="66" t="s">
        <v>140</v>
      </c>
      <c r="D1295" s="66" t="str">
        <f t="shared" si="40"/>
        <v>1309</v>
      </c>
      <c r="E1295" s="66">
        <f t="shared" si="41"/>
        <v>1</v>
      </c>
    </row>
    <row r="1296" spans="1:5" x14ac:dyDescent="0.15">
      <c r="A1296" s="66" t="s">
        <v>2709</v>
      </c>
      <c r="B1296" s="66" t="s">
        <v>880</v>
      </c>
      <c r="C1296" s="66" t="s">
        <v>131</v>
      </c>
      <c r="D1296" s="66" t="str">
        <f t="shared" si="40"/>
        <v>1310</v>
      </c>
      <c r="E1296" s="66">
        <f t="shared" si="41"/>
        <v>2</v>
      </c>
    </row>
    <row r="1297" spans="1:5" x14ac:dyDescent="0.15">
      <c r="A1297" s="66" t="s">
        <v>2710</v>
      </c>
      <c r="B1297" s="66" t="s">
        <v>2711</v>
      </c>
      <c r="C1297" s="66" t="s">
        <v>133</v>
      </c>
      <c r="D1297" s="66" t="str">
        <f t="shared" si="40"/>
        <v>1311</v>
      </c>
      <c r="E1297" s="66">
        <f t="shared" si="41"/>
        <v>1</v>
      </c>
    </row>
    <row r="1298" spans="1:5" x14ac:dyDescent="0.15">
      <c r="A1298" s="66" t="s">
        <v>2712</v>
      </c>
      <c r="B1298" s="66" t="s">
        <v>2713</v>
      </c>
      <c r="C1298" s="66" t="s">
        <v>424</v>
      </c>
      <c r="D1298" s="66" t="str">
        <f t="shared" si="40"/>
        <v>1312</v>
      </c>
      <c r="E1298" s="66">
        <f t="shared" si="41"/>
        <v>1</v>
      </c>
    </row>
    <row r="1299" spans="1:5" x14ac:dyDescent="0.15">
      <c r="A1299" s="66" t="s">
        <v>2714</v>
      </c>
      <c r="B1299" s="66" t="s">
        <v>2715</v>
      </c>
      <c r="C1299" s="66" t="s">
        <v>79</v>
      </c>
      <c r="D1299" s="66" t="str">
        <f t="shared" si="40"/>
        <v>1313</v>
      </c>
      <c r="E1299" s="66">
        <f t="shared" si="41"/>
        <v>1</v>
      </c>
    </row>
    <row r="1300" spans="1:5" x14ac:dyDescent="0.15">
      <c r="A1300" s="66" t="s">
        <v>2716</v>
      </c>
      <c r="B1300" s="66" t="s">
        <v>2717</v>
      </c>
      <c r="C1300" s="66" t="s">
        <v>71</v>
      </c>
      <c r="D1300" s="66" t="str">
        <f t="shared" si="40"/>
        <v>1314</v>
      </c>
      <c r="E1300" s="66">
        <f t="shared" si="41"/>
        <v>1</v>
      </c>
    </row>
    <row r="1301" spans="1:5" x14ac:dyDescent="0.15">
      <c r="A1301" s="66" t="s">
        <v>2718</v>
      </c>
      <c r="B1301" s="66" t="s">
        <v>2719</v>
      </c>
      <c r="C1301" s="66" t="s">
        <v>359</v>
      </c>
      <c r="D1301" s="66" t="str">
        <f t="shared" si="40"/>
        <v>1315</v>
      </c>
      <c r="E1301" s="66">
        <f t="shared" si="41"/>
        <v>1</v>
      </c>
    </row>
    <row r="1302" spans="1:5" x14ac:dyDescent="0.15">
      <c r="A1302" s="66" t="s">
        <v>2720</v>
      </c>
      <c r="B1302" s="66" t="s">
        <v>2721</v>
      </c>
      <c r="C1302" s="66" t="s">
        <v>874</v>
      </c>
      <c r="D1302" s="66" t="str">
        <f t="shared" si="40"/>
        <v>1316</v>
      </c>
      <c r="E1302" s="66">
        <f t="shared" si="41"/>
        <v>1</v>
      </c>
    </row>
    <row r="1303" spans="1:5" x14ac:dyDescent="0.15">
      <c r="A1303" s="66" t="s">
        <v>2722</v>
      </c>
      <c r="B1303" s="66" t="s">
        <v>2723</v>
      </c>
      <c r="C1303" s="66" t="s">
        <v>359</v>
      </c>
      <c r="D1303" s="66" t="str">
        <f t="shared" si="40"/>
        <v>1317</v>
      </c>
      <c r="E1303" s="66">
        <f t="shared" si="41"/>
        <v>2</v>
      </c>
    </row>
    <row r="1304" spans="1:5" x14ac:dyDescent="0.15">
      <c r="A1304" s="66" t="s">
        <v>2724</v>
      </c>
      <c r="B1304" s="66" t="s">
        <v>2725</v>
      </c>
      <c r="C1304" s="66" t="s">
        <v>133</v>
      </c>
      <c r="D1304" s="66" t="str">
        <f t="shared" si="40"/>
        <v>1318</v>
      </c>
      <c r="E1304" s="66">
        <f t="shared" si="41"/>
        <v>1</v>
      </c>
    </row>
    <row r="1305" spans="1:5" x14ac:dyDescent="0.15">
      <c r="A1305" s="66" t="s">
        <v>2726</v>
      </c>
      <c r="B1305" s="66" t="s">
        <v>2727</v>
      </c>
      <c r="C1305" s="66" t="s">
        <v>813</v>
      </c>
      <c r="D1305" s="66" t="str">
        <f t="shared" si="40"/>
        <v>1319</v>
      </c>
      <c r="E1305" s="66">
        <f t="shared" si="41"/>
        <v>1</v>
      </c>
    </row>
    <row r="1306" spans="1:5" x14ac:dyDescent="0.15">
      <c r="A1306" s="66" t="s">
        <v>2728</v>
      </c>
      <c r="B1306" s="66" t="s">
        <v>2729</v>
      </c>
      <c r="C1306" s="66" t="s">
        <v>874</v>
      </c>
      <c r="D1306" s="66" t="str">
        <f t="shared" si="40"/>
        <v>1320</v>
      </c>
      <c r="E1306" s="66">
        <f t="shared" si="41"/>
        <v>1</v>
      </c>
    </row>
    <row r="1307" spans="1:5" x14ac:dyDescent="0.15">
      <c r="A1307" s="66" t="s">
        <v>2730</v>
      </c>
      <c r="B1307" s="66" t="s">
        <v>2731</v>
      </c>
      <c r="C1307" s="66" t="s">
        <v>86</v>
      </c>
      <c r="D1307" s="66" t="str">
        <f t="shared" si="40"/>
        <v>1321</v>
      </c>
      <c r="E1307" s="66">
        <f t="shared" si="41"/>
        <v>1</v>
      </c>
    </row>
    <row r="1308" spans="1:5" x14ac:dyDescent="0.15">
      <c r="A1308" s="66" t="s">
        <v>2732</v>
      </c>
      <c r="B1308" s="66" t="s">
        <v>2733</v>
      </c>
      <c r="C1308" s="66" t="s">
        <v>86</v>
      </c>
      <c r="D1308" s="66" t="str">
        <f t="shared" si="40"/>
        <v>1322</v>
      </c>
      <c r="E1308" s="66">
        <f t="shared" si="41"/>
        <v>1</v>
      </c>
    </row>
    <row r="1309" spans="1:5" x14ac:dyDescent="0.15">
      <c r="A1309" s="66" t="s">
        <v>2734</v>
      </c>
      <c r="B1309" s="66" t="s">
        <v>2735</v>
      </c>
      <c r="C1309" s="66" t="s">
        <v>86</v>
      </c>
      <c r="D1309" s="66" t="str">
        <f t="shared" si="40"/>
        <v>1323</v>
      </c>
      <c r="E1309" s="66">
        <f t="shared" si="41"/>
        <v>1</v>
      </c>
    </row>
    <row r="1310" spans="1:5" x14ac:dyDescent="0.15">
      <c r="A1310" s="66" t="s">
        <v>2736</v>
      </c>
      <c r="B1310" s="66" t="s">
        <v>2737</v>
      </c>
      <c r="C1310" s="66" t="s">
        <v>340</v>
      </c>
      <c r="D1310" s="66" t="str">
        <f t="shared" si="40"/>
        <v>1324</v>
      </c>
      <c r="E1310" s="66">
        <f t="shared" si="41"/>
        <v>1</v>
      </c>
    </row>
    <row r="1311" spans="1:5" x14ac:dyDescent="0.15">
      <c r="A1311" s="66" t="s">
        <v>2738</v>
      </c>
      <c r="B1311" s="66" t="s">
        <v>2739</v>
      </c>
      <c r="C1311" s="66" t="s">
        <v>340</v>
      </c>
      <c r="D1311" s="66" t="str">
        <f t="shared" si="40"/>
        <v>1325</v>
      </c>
      <c r="E1311" s="66">
        <f t="shared" si="41"/>
        <v>1</v>
      </c>
    </row>
    <row r="1312" spans="1:5" x14ac:dyDescent="0.15">
      <c r="A1312" s="66" t="s">
        <v>2740</v>
      </c>
      <c r="B1312" s="66" t="s">
        <v>2741</v>
      </c>
      <c r="C1312" s="66" t="s">
        <v>359</v>
      </c>
      <c r="D1312" s="66" t="str">
        <f t="shared" si="40"/>
        <v>1326</v>
      </c>
      <c r="E1312" s="66">
        <f t="shared" si="41"/>
        <v>1</v>
      </c>
    </row>
    <row r="1313" spans="1:5" x14ac:dyDescent="0.15">
      <c r="A1313" s="66" t="s">
        <v>2742</v>
      </c>
      <c r="B1313" s="66" t="s">
        <v>2743</v>
      </c>
      <c r="C1313" s="66" t="s">
        <v>340</v>
      </c>
      <c r="D1313" s="66" t="str">
        <f t="shared" si="40"/>
        <v>1327</v>
      </c>
      <c r="E1313" s="66">
        <f t="shared" si="41"/>
        <v>1</v>
      </c>
    </row>
    <row r="1314" spans="1:5" x14ac:dyDescent="0.15">
      <c r="A1314" s="66" t="s">
        <v>2744</v>
      </c>
      <c r="B1314" s="66" t="s">
        <v>2745</v>
      </c>
      <c r="C1314" s="66" t="s">
        <v>359</v>
      </c>
      <c r="D1314" s="66" t="str">
        <f t="shared" si="40"/>
        <v>1328</v>
      </c>
      <c r="E1314" s="66">
        <f t="shared" si="41"/>
        <v>1</v>
      </c>
    </row>
    <row r="1315" spans="1:5" x14ac:dyDescent="0.15">
      <c r="A1315" s="66" t="s">
        <v>2746</v>
      </c>
      <c r="B1315" s="66" t="s">
        <v>2747</v>
      </c>
      <c r="C1315" s="66" t="s">
        <v>385</v>
      </c>
      <c r="D1315" s="66" t="str">
        <f t="shared" si="40"/>
        <v>1329</v>
      </c>
      <c r="E1315" s="66">
        <f t="shared" si="41"/>
        <v>1</v>
      </c>
    </row>
    <row r="1316" spans="1:5" x14ac:dyDescent="0.15">
      <c r="A1316" s="66" t="s">
        <v>2748</v>
      </c>
      <c r="B1316" s="66" t="s">
        <v>2749</v>
      </c>
      <c r="C1316" s="66" t="s">
        <v>359</v>
      </c>
      <c r="D1316" s="66" t="str">
        <f t="shared" si="40"/>
        <v>1330</v>
      </c>
      <c r="E1316" s="66">
        <f t="shared" si="41"/>
        <v>1</v>
      </c>
    </row>
    <row r="1317" spans="1:5" x14ac:dyDescent="0.15">
      <c r="A1317" s="66" t="s">
        <v>2750</v>
      </c>
      <c r="B1317" s="66" t="s">
        <v>2751</v>
      </c>
      <c r="C1317" s="66" t="s">
        <v>131</v>
      </c>
      <c r="D1317" s="66" t="str">
        <f t="shared" si="40"/>
        <v>1331</v>
      </c>
      <c r="E1317" s="66">
        <f t="shared" si="41"/>
        <v>1</v>
      </c>
    </row>
    <row r="1318" spans="1:5" x14ac:dyDescent="0.15">
      <c r="A1318" s="66" t="s">
        <v>2752</v>
      </c>
      <c r="B1318" s="66" t="s">
        <v>2753</v>
      </c>
      <c r="C1318" s="66" t="s">
        <v>79</v>
      </c>
      <c r="D1318" s="66" t="str">
        <f t="shared" si="40"/>
        <v>1332</v>
      </c>
      <c r="E1318" s="66">
        <f t="shared" si="41"/>
        <v>1</v>
      </c>
    </row>
    <row r="1319" spans="1:5" x14ac:dyDescent="0.15">
      <c r="A1319" s="66" t="s">
        <v>2754</v>
      </c>
      <c r="B1319" s="66" t="s">
        <v>2755</v>
      </c>
      <c r="C1319" s="66" t="s">
        <v>75</v>
      </c>
      <c r="D1319" s="66" t="str">
        <f t="shared" si="40"/>
        <v>1333</v>
      </c>
      <c r="E1319" s="66">
        <f t="shared" si="41"/>
        <v>1</v>
      </c>
    </row>
    <row r="1320" spans="1:5" x14ac:dyDescent="0.15">
      <c r="A1320" s="66" t="s">
        <v>2756</v>
      </c>
      <c r="B1320" s="66" t="s">
        <v>2757</v>
      </c>
      <c r="C1320" s="66" t="s">
        <v>874</v>
      </c>
      <c r="D1320" s="66" t="str">
        <f t="shared" si="40"/>
        <v>1334</v>
      </c>
      <c r="E1320" s="66">
        <f t="shared" si="41"/>
        <v>1</v>
      </c>
    </row>
    <row r="1321" spans="1:5" x14ac:dyDescent="0.15">
      <c r="A1321" s="66" t="s">
        <v>2758</v>
      </c>
      <c r="B1321" s="66" t="s">
        <v>2759</v>
      </c>
      <c r="C1321" s="66" t="s">
        <v>359</v>
      </c>
      <c r="D1321" s="66" t="str">
        <f t="shared" si="40"/>
        <v>1335</v>
      </c>
      <c r="E1321" s="66">
        <f t="shared" si="41"/>
        <v>1</v>
      </c>
    </row>
    <row r="1322" spans="1:5" x14ac:dyDescent="0.15">
      <c r="A1322" s="66" t="s">
        <v>2760</v>
      </c>
      <c r="B1322" s="66" t="s">
        <v>2761</v>
      </c>
      <c r="C1322" s="66" t="s">
        <v>340</v>
      </c>
      <c r="D1322" s="66" t="str">
        <f t="shared" si="40"/>
        <v>1336</v>
      </c>
      <c r="E1322" s="66">
        <f t="shared" si="41"/>
        <v>1</v>
      </c>
    </row>
    <row r="1323" spans="1:5" x14ac:dyDescent="0.15">
      <c r="A1323" s="66" t="s">
        <v>2762</v>
      </c>
      <c r="B1323" s="66" t="s">
        <v>2763</v>
      </c>
      <c r="C1323" s="66" t="s">
        <v>101</v>
      </c>
      <c r="D1323" s="66" t="str">
        <f t="shared" si="40"/>
        <v>1337</v>
      </c>
      <c r="E1323" s="66">
        <f t="shared" si="41"/>
        <v>1</v>
      </c>
    </row>
    <row r="1324" spans="1:5" x14ac:dyDescent="0.15">
      <c r="A1324" s="66" t="s">
        <v>2764</v>
      </c>
      <c r="B1324" s="66" t="s">
        <v>2765</v>
      </c>
      <c r="C1324" s="66" t="s">
        <v>359</v>
      </c>
      <c r="D1324" s="66" t="str">
        <f t="shared" si="40"/>
        <v>1338</v>
      </c>
      <c r="E1324" s="66">
        <f t="shared" si="41"/>
        <v>1</v>
      </c>
    </row>
    <row r="1325" spans="1:5" x14ac:dyDescent="0.15">
      <c r="A1325" s="66" t="s">
        <v>2766</v>
      </c>
      <c r="B1325" s="66" t="s">
        <v>2767</v>
      </c>
      <c r="C1325" s="66" t="s">
        <v>359</v>
      </c>
      <c r="D1325" s="66" t="str">
        <f t="shared" si="40"/>
        <v>1339</v>
      </c>
      <c r="E1325" s="66">
        <f t="shared" si="41"/>
        <v>1</v>
      </c>
    </row>
    <row r="1326" spans="1:5" x14ac:dyDescent="0.15">
      <c r="A1326" s="66" t="s">
        <v>2768</v>
      </c>
      <c r="B1326" s="66" t="s">
        <v>2769</v>
      </c>
      <c r="C1326" s="66" t="s">
        <v>359</v>
      </c>
      <c r="D1326" s="66" t="str">
        <f t="shared" si="40"/>
        <v>1340</v>
      </c>
      <c r="E1326" s="66">
        <f t="shared" si="41"/>
        <v>1</v>
      </c>
    </row>
    <row r="1327" spans="1:5" x14ac:dyDescent="0.15">
      <c r="A1327" s="66" t="s">
        <v>2770</v>
      </c>
      <c r="B1327" s="66" t="s">
        <v>2771</v>
      </c>
      <c r="C1327" s="66" t="s">
        <v>359</v>
      </c>
      <c r="D1327" s="66" t="str">
        <f t="shared" si="40"/>
        <v>1341</v>
      </c>
      <c r="E1327" s="66">
        <f t="shared" si="41"/>
        <v>1</v>
      </c>
    </row>
    <row r="1328" spans="1:5" x14ac:dyDescent="0.15">
      <c r="A1328" s="66" t="s">
        <v>2772</v>
      </c>
      <c r="B1328" s="66" t="s">
        <v>2773</v>
      </c>
      <c r="C1328" s="66" t="s">
        <v>340</v>
      </c>
      <c r="D1328" s="66" t="str">
        <f t="shared" si="40"/>
        <v>1342</v>
      </c>
      <c r="E1328" s="66">
        <f t="shared" si="41"/>
        <v>1</v>
      </c>
    </row>
    <row r="1329" spans="1:5" x14ac:dyDescent="0.15">
      <c r="A1329" s="66" t="s">
        <v>2774</v>
      </c>
      <c r="B1329" s="66" t="s">
        <v>2775</v>
      </c>
      <c r="C1329" s="66" t="s">
        <v>86</v>
      </c>
      <c r="D1329" s="66" t="str">
        <f t="shared" si="40"/>
        <v>1343</v>
      </c>
      <c r="E1329" s="66">
        <f t="shared" si="41"/>
        <v>1</v>
      </c>
    </row>
    <row r="1330" spans="1:5" x14ac:dyDescent="0.15">
      <c r="A1330" s="66" t="s">
        <v>2776</v>
      </c>
      <c r="B1330" s="66" t="s">
        <v>2777</v>
      </c>
      <c r="C1330" s="66" t="s">
        <v>385</v>
      </c>
      <c r="D1330" s="66" t="str">
        <f t="shared" si="40"/>
        <v>1344</v>
      </c>
      <c r="E1330" s="66">
        <f t="shared" si="41"/>
        <v>1</v>
      </c>
    </row>
    <row r="1331" spans="1:5" x14ac:dyDescent="0.15">
      <c r="A1331" s="66" t="s">
        <v>2778</v>
      </c>
      <c r="B1331" s="66" t="s">
        <v>2779</v>
      </c>
      <c r="C1331" s="66" t="s">
        <v>359</v>
      </c>
      <c r="D1331" s="66" t="str">
        <f t="shared" si="40"/>
        <v>1345</v>
      </c>
      <c r="E1331" s="66">
        <f t="shared" si="41"/>
        <v>1</v>
      </c>
    </row>
    <row r="1332" spans="1:5" x14ac:dyDescent="0.15">
      <c r="A1332" s="66" t="s">
        <v>2780</v>
      </c>
      <c r="B1332" s="66" t="s">
        <v>2781</v>
      </c>
      <c r="C1332" s="66" t="s">
        <v>359</v>
      </c>
      <c r="D1332" s="66" t="str">
        <f t="shared" si="40"/>
        <v>1346</v>
      </c>
      <c r="E1332" s="66">
        <f t="shared" si="41"/>
        <v>1</v>
      </c>
    </row>
    <row r="1333" spans="1:5" x14ac:dyDescent="0.15">
      <c r="A1333" s="66" t="s">
        <v>2782</v>
      </c>
      <c r="B1333" s="66" t="s">
        <v>2783</v>
      </c>
      <c r="C1333" s="66" t="s">
        <v>101</v>
      </c>
      <c r="D1333" s="66" t="str">
        <f t="shared" si="40"/>
        <v>1347</v>
      </c>
      <c r="E1333" s="66">
        <f t="shared" si="41"/>
        <v>1</v>
      </c>
    </row>
    <row r="1334" spans="1:5" x14ac:dyDescent="0.15">
      <c r="A1334" s="66" t="s">
        <v>2784</v>
      </c>
      <c r="B1334" s="66" t="s">
        <v>2785</v>
      </c>
      <c r="C1334" s="66" t="s">
        <v>359</v>
      </c>
      <c r="D1334" s="66" t="str">
        <f t="shared" si="40"/>
        <v>1348</v>
      </c>
      <c r="E1334" s="66">
        <f t="shared" si="41"/>
        <v>1</v>
      </c>
    </row>
    <row r="1335" spans="1:5" x14ac:dyDescent="0.15">
      <c r="A1335" s="66" t="s">
        <v>2786</v>
      </c>
      <c r="B1335" s="66" t="s">
        <v>2787</v>
      </c>
      <c r="C1335" s="66" t="s">
        <v>359</v>
      </c>
      <c r="D1335" s="66" t="str">
        <f t="shared" si="40"/>
        <v>1349</v>
      </c>
      <c r="E1335" s="66">
        <f t="shared" si="41"/>
        <v>1</v>
      </c>
    </row>
    <row r="1336" spans="1:5" x14ac:dyDescent="0.15">
      <c r="A1336" s="66" t="s">
        <v>2788</v>
      </c>
      <c r="B1336" s="66" t="s">
        <v>2789</v>
      </c>
      <c r="C1336" s="66" t="s">
        <v>340</v>
      </c>
      <c r="D1336" s="66" t="str">
        <f t="shared" si="40"/>
        <v>1350</v>
      </c>
      <c r="E1336" s="66">
        <f t="shared" si="41"/>
        <v>1</v>
      </c>
    </row>
    <row r="1337" spans="1:5" x14ac:dyDescent="0.15">
      <c r="A1337" s="66" t="s">
        <v>2790</v>
      </c>
      <c r="B1337" s="66" t="s">
        <v>2791</v>
      </c>
      <c r="C1337" s="66" t="s">
        <v>340</v>
      </c>
      <c r="D1337" s="66" t="str">
        <f t="shared" si="40"/>
        <v>1351</v>
      </c>
      <c r="E1337" s="66">
        <f t="shared" si="41"/>
        <v>1</v>
      </c>
    </row>
    <row r="1338" spans="1:5" x14ac:dyDescent="0.15">
      <c r="A1338" s="66" t="s">
        <v>2792</v>
      </c>
      <c r="B1338" s="66" t="s">
        <v>2793</v>
      </c>
      <c r="C1338" s="66" t="s">
        <v>101</v>
      </c>
      <c r="D1338" s="66" t="str">
        <f t="shared" si="40"/>
        <v>1352</v>
      </c>
      <c r="E1338" s="66">
        <f t="shared" si="41"/>
        <v>1</v>
      </c>
    </row>
    <row r="1339" spans="1:5" x14ac:dyDescent="0.15">
      <c r="A1339" s="66" t="s">
        <v>2794</v>
      </c>
      <c r="B1339" s="66" t="s">
        <v>2795</v>
      </c>
      <c r="C1339" s="66" t="s">
        <v>436</v>
      </c>
      <c r="D1339" s="66" t="str">
        <f t="shared" si="40"/>
        <v>1353</v>
      </c>
      <c r="E1339" s="66">
        <f t="shared" si="41"/>
        <v>1</v>
      </c>
    </row>
    <row r="1340" spans="1:5" x14ac:dyDescent="0.15">
      <c r="A1340" s="66" t="s">
        <v>2796</v>
      </c>
      <c r="B1340" s="66" t="s">
        <v>2797</v>
      </c>
      <c r="C1340" s="66" t="s">
        <v>340</v>
      </c>
      <c r="D1340" s="66" t="str">
        <f t="shared" si="40"/>
        <v>1354</v>
      </c>
      <c r="E1340" s="66">
        <f t="shared" si="41"/>
        <v>1</v>
      </c>
    </row>
    <row r="1341" spans="1:5" x14ac:dyDescent="0.15">
      <c r="A1341" s="66" t="s">
        <v>2798</v>
      </c>
      <c r="B1341" s="66" t="s">
        <v>2799</v>
      </c>
      <c r="C1341" s="66" t="s">
        <v>86</v>
      </c>
      <c r="D1341" s="66" t="str">
        <f t="shared" si="40"/>
        <v>1355</v>
      </c>
      <c r="E1341" s="66">
        <f t="shared" si="41"/>
        <v>1</v>
      </c>
    </row>
    <row r="1342" spans="1:5" x14ac:dyDescent="0.15">
      <c r="A1342" s="66" t="s">
        <v>2800</v>
      </c>
      <c r="B1342" s="66" t="s">
        <v>2801</v>
      </c>
      <c r="C1342" s="66" t="s">
        <v>101</v>
      </c>
      <c r="D1342" s="66" t="str">
        <f t="shared" si="40"/>
        <v>1356</v>
      </c>
      <c r="E1342" s="66">
        <f t="shared" si="41"/>
        <v>1</v>
      </c>
    </row>
    <row r="1343" spans="1:5" x14ac:dyDescent="0.15">
      <c r="A1343" s="66" t="s">
        <v>2802</v>
      </c>
      <c r="B1343" s="66" t="s">
        <v>2803</v>
      </c>
      <c r="C1343" s="66" t="s">
        <v>588</v>
      </c>
      <c r="D1343" s="66" t="str">
        <f t="shared" si="40"/>
        <v>1357</v>
      </c>
      <c r="E1343" s="66">
        <f t="shared" si="41"/>
        <v>1</v>
      </c>
    </row>
    <row r="1344" spans="1:5" x14ac:dyDescent="0.15">
      <c r="A1344" s="66" t="s">
        <v>2804</v>
      </c>
      <c r="B1344" s="66" t="s">
        <v>2805</v>
      </c>
      <c r="C1344" s="66" t="s">
        <v>340</v>
      </c>
      <c r="D1344" s="66" t="str">
        <f t="shared" si="40"/>
        <v>1358</v>
      </c>
      <c r="E1344" s="66">
        <f t="shared" si="41"/>
        <v>1</v>
      </c>
    </row>
    <row r="1345" spans="1:5" x14ac:dyDescent="0.15">
      <c r="A1345" s="66" t="s">
        <v>2806</v>
      </c>
      <c r="B1345" s="66" t="s">
        <v>2807</v>
      </c>
      <c r="C1345" s="66" t="s">
        <v>874</v>
      </c>
      <c r="D1345" s="66" t="str">
        <f t="shared" si="40"/>
        <v>1359</v>
      </c>
      <c r="E1345" s="66">
        <f t="shared" si="41"/>
        <v>1</v>
      </c>
    </row>
    <row r="1346" spans="1:5" x14ac:dyDescent="0.15">
      <c r="A1346" s="66" t="s">
        <v>2808</v>
      </c>
      <c r="B1346" s="66" t="s">
        <v>2809</v>
      </c>
      <c r="C1346" s="66" t="s">
        <v>75</v>
      </c>
      <c r="D1346" s="66" t="str">
        <f t="shared" ref="D1346:D1409" si="42">A1346</f>
        <v>1360</v>
      </c>
      <c r="E1346" s="66">
        <f t="shared" ref="E1346:E1409" si="43">COUNTIFS(B:B,B1346)</f>
        <v>1</v>
      </c>
    </row>
    <row r="1347" spans="1:5" x14ac:dyDescent="0.15">
      <c r="A1347" s="66" t="s">
        <v>2810</v>
      </c>
      <c r="B1347" s="66" t="s">
        <v>2811</v>
      </c>
      <c r="C1347" s="66" t="s">
        <v>359</v>
      </c>
      <c r="D1347" s="66" t="str">
        <f t="shared" si="42"/>
        <v>1361</v>
      </c>
      <c r="E1347" s="66">
        <f t="shared" si="43"/>
        <v>1</v>
      </c>
    </row>
    <row r="1348" spans="1:5" x14ac:dyDescent="0.15">
      <c r="A1348" s="66" t="s">
        <v>2812</v>
      </c>
      <c r="B1348" s="66" t="s">
        <v>2813</v>
      </c>
      <c r="C1348" s="66" t="s">
        <v>359</v>
      </c>
      <c r="D1348" s="66" t="str">
        <f t="shared" si="42"/>
        <v>1362</v>
      </c>
      <c r="E1348" s="66">
        <f t="shared" si="43"/>
        <v>1</v>
      </c>
    </row>
    <row r="1349" spans="1:5" x14ac:dyDescent="0.15">
      <c r="A1349" s="66" t="s">
        <v>2814</v>
      </c>
      <c r="B1349" s="66" t="s">
        <v>946</v>
      </c>
      <c r="C1349" s="66" t="s">
        <v>359</v>
      </c>
      <c r="D1349" s="66" t="str">
        <f t="shared" si="42"/>
        <v>1363</v>
      </c>
      <c r="E1349" s="66">
        <f t="shared" si="43"/>
        <v>2</v>
      </c>
    </row>
    <row r="1350" spans="1:5" x14ac:dyDescent="0.15">
      <c r="A1350" s="66" t="s">
        <v>2815</v>
      </c>
      <c r="B1350" s="66" t="s">
        <v>2816</v>
      </c>
      <c r="C1350" s="66" t="s">
        <v>359</v>
      </c>
      <c r="D1350" s="66" t="str">
        <f t="shared" si="42"/>
        <v>1364</v>
      </c>
      <c r="E1350" s="66">
        <f t="shared" si="43"/>
        <v>1</v>
      </c>
    </row>
    <row r="1351" spans="1:5" x14ac:dyDescent="0.15">
      <c r="A1351" s="66" t="s">
        <v>2817</v>
      </c>
      <c r="B1351" s="66" t="s">
        <v>2818</v>
      </c>
      <c r="C1351" s="66" t="s">
        <v>359</v>
      </c>
      <c r="D1351" s="66" t="str">
        <f t="shared" si="42"/>
        <v>1365</v>
      </c>
      <c r="E1351" s="66">
        <f t="shared" si="43"/>
        <v>1</v>
      </c>
    </row>
    <row r="1352" spans="1:5" x14ac:dyDescent="0.15">
      <c r="A1352" s="66" t="s">
        <v>2819</v>
      </c>
      <c r="B1352" s="66" t="s">
        <v>2820</v>
      </c>
      <c r="C1352" s="66" t="s">
        <v>359</v>
      </c>
      <c r="D1352" s="66" t="str">
        <f t="shared" si="42"/>
        <v>1366</v>
      </c>
      <c r="E1352" s="66">
        <f t="shared" si="43"/>
        <v>1</v>
      </c>
    </row>
    <row r="1353" spans="1:5" x14ac:dyDescent="0.15">
      <c r="A1353" s="66" t="s">
        <v>2821</v>
      </c>
      <c r="B1353" s="66" t="s">
        <v>2822</v>
      </c>
      <c r="C1353" s="66" t="s">
        <v>340</v>
      </c>
      <c r="D1353" s="66" t="str">
        <f t="shared" si="42"/>
        <v>1367</v>
      </c>
      <c r="E1353" s="66">
        <f t="shared" si="43"/>
        <v>1</v>
      </c>
    </row>
    <row r="1354" spans="1:5" x14ac:dyDescent="0.15">
      <c r="A1354" s="66" t="s">
        <v>2823</v>
      </c>
      <c r="B1354" s="66" t="s">
        <v>2824</v>
      </c>
      <c r="C1354" s="66" t="s">
        <v>340</v>
      </c>
      <c r="D1354" s="66" t="str">
        <f t="shared" si="42"/>
        <v>1368</v>
      </c>
      <c r="E1354" s="66">
        <f t="shared" si="43"/>
        <v>1</v>
      </c>
    </row>
    <row r="1355" spans="1:5" x14ac:dyDescent="0.15">
      <c r="A1355" s="66" t="s">
        <v>2825</v>
      </c>
      <c r="B1355" s="66" t="s">
        <v>2826</v>
      </c>
      <c r="C1355" s="66" t="s">
        <v>588</v>
      </c>
      <c r="D1355" s="66" t="str">
        <f t="shared" si="42"/>
        <v>1369</v>
      </c>
      <c r="E1355" s="66">
        <f t="shared" si="43"/>
        <v>1</v>
      </c>
    </row>
    <row r="1356" spans="1:5" x14ac:dyDescent="0.15">
      <c r="A1356" s="66" t="s">
        <v>2827</v>
      </c>
      <c r="B1356" s="66" t="s">
        <v>2828</v>
      </c>
      <c r="C1356" s="66" t="s">
        <v>436</v>
      </c>
      <c r="D1356" s="66" t="str">
        <f t="shared" si="42"/>
        <v>1370</v>
      </c>
      <c r="E1356" s="66">
        <f t="shared" si="43"/>
        <v>1</v>
      </c>
    </row>
    <row r="1357" spans="1:5" x14ac:dyDescent="0.15">
      <c r="A1357" s="66" t="s">
        <v>2829</v>
      </c>
      <c r="B1357" s="66" t="s">
        <v>2830</v>
      </c>
      <c r="C1357" s="66" t="s">
        <v>86</v>
      </c>
      <c r="D1357" s="66" t="str">
        <f t="shared" si="42"/>
        <v>1371</v>
      </c>
      <c r="E1357" s="66">
        <f t="shared" si="43"/>
        <v>1</v>
      </c>
    </row>
    <row r="1358" spans="1:5" x14ac:dyDescent="0.15">
      <c r="A1358" s="66" t="s">
        <v>2831</v>
      </c>
      <c r="B1358" s="66" t="s">
        <v>2832</v>
      </c>
      <c r="C1358" s="66" t="s">
        <v>874</v>
      </c>
      <c r="D1358" s="66" t="str">
        <f t="shared" si="42"/>
        <v>1372</v>
      </c>
      <c r="E1358" s="66">
        <f t="shared" si="43"/>
        <v>1</v>
      </c>
    </row>
    <row r="1359" spans="1:5" x14ac:dyDescent="0.15">
      <c r="A1359" s="66" t="s">
        <v>2833</v>
      </c>
      <c r="B1359" s="66" t="s">
        <v>2834</v>
      </c>
      <c r="C1359" s="66" t="s">
        <v>67</v>
      </c>
      <c r="D1359" s="66" t="str">
        <f t="shared" si="42"/>
        <v>1373</v>
      </c>
      <c r="E1359" s="66">
        <f t="shared" si="43"/>
        <v>1</v>
      </c>
    </row>
    <row r="1360" spans="1:5" x14ac:dyDescent="0.15">
      <c r="A1360" s="66" t="s">
        <v>2835</v>
      </c>
      <c r="B1360" s="66" t="s">
        <v>2836</v>
      </c>
      <c r="C1360" s="66" t="s">
        <v>86</v>
      </c>
      <c r="D1360" s="66" t="str">
        <f t="shared" si="42"/>
        <v>1374</v>
      </c>
      <c r="E1360" s="66">
        <f t="shared" si="43"/>
        <v>1</v>
      </c>
    </row>
    <row r="1361" spans="1:5" x14ac:dyDescent="0.15">
      <c r="A1361" s="66" t="s">
        <v>2837</v>
      </c>
      <c r="B1361" s="66" t="s">
        <v>2838</v>
      </c>
      <c r="C1361" s="66" t="s">
        <v>436</v>
      </c>
      <c r="D1361" s="66" t="str">
        <f t="shared" si="42"/>
        <v>1375</v>
      </c>
      <c r="E1361" s="66">
        <f t="shared" si="43"/>
        <v>1</v>
      </c>
    </row>
    <row r="1362" spans="1:5" x14ac:dyDescent="0.15">
      <c r="A1362" s="66" t="s">
        <v>2839</v>
      </c>
      <c r="B1362" s="66" t="s">
        <v>2840</v>
      </c>
      <c r="C1362" s="66" t="s">
        <v>359</v>
      </c>
      <c r="D1362" s="66" t="str">
        <f t="shared" si="42"/>
        <v>1376</v>
      </c>
      <c r="E1362" s="66">
        <f t="shared" si="43"/>
        <v>1</v>
      </c>
    </row>
    <row r="1363" spans="1:5" x14ac:dyDescent="0.15">
      <c r="A1363" s="66" t="s">
        <v>2841</v>
      </c>
      <c r="B1363" s="66" t="s">
        <v>2842</v>
      </c>
      <c r="C1363" s="66" t="s">
        <v>86</v>
      </c>
      <c r="D1363" s="66" t="str">
        <f t="shared" si="42"/>
        <v>1377</v>
      </c>
      <c r="E1363" s="66">
        <f t="shared" si="43"/>
        <v>1</v>
      </c>
    </row>
    <row r="1364" spans="1:5" x14ac:dyDescent="0.15">
      <c r="A1364" s="66" t="s">
        <v>2843</v>
      </c>
      <c r="B1364" s="66" t="s">
        <v>2844</v>
      </c>
      <c r="C1364" s="66" t="s">
        <v>86</v>
      </c>
      <c r="D1364" s="66" t="str">
        <f t="shared" si="42"/>
        <v>1378</v>
      </c>
      <c r="E1364" s="66">
        <f t="shared" si="43"/>
        <v>1</v>
      </c>
    </row>
    <row r="1365" spans="1:5" x14ac:dyDescent="0.15">
      <c r="A1365" s="66" t="s">
        <v>2845</v>
      </c>
      <c r="B1365" s="66" t="s">
        <v>2846</v>
      </c>
      <c r="C1365" s="66" t="s">
        <v>359</v>
      </c>
      <c r="D1365" s="66" t="str">
        <f t="shared" si="42"/>
        <v>1379</v>
      </c>
      <c r="E1365" s="66">
        <f t="shared" si="43"/>
        <v>1</v>
      </c>
    </row>
    <row r="1366" spans="1:5" x14ac:dyDescent="0.15">
      <c r="A1366" s="66" t="s">
        <v>2847</v>
      </c>
      <c r="B1366" s="66" t="s">
        <v>2848</v>
      </c>
      <c r="C1366" s="66" t="s">
        <v>340</v>
      </c>
      <c r="D1366" s="66" t="str">
        <f t="shared" si="42"/>
        <v>1380</v>
      </c>
      <c r="E1366" s="66">
        <f t="shared" si="43"/>
        <v>1</v>
      </c>
    </row>
    <row r="1367" spans="1:5" x14ac:dyDescent="0.15">
      <c r="A1367" s="66" t="s">
        <v>2849</v>
      </c>
      <c r="B1367" s="66" t="s">
        <v>2850</v>
      </c>
      <c r="C1367" s="66" t="s">
        <v>359</v>
      </c>
      <c r="D1367" s="66" t="str">
        <f t="shared" si="42"/>
        <v>1381</v>
      </c>
      <c r="E1367" s="66">
        <f t="shared" si="43"/>
        <v>1</v>
      </c>
    </row>
    <row r="1368" spans="1:5" x14ac:dyDescent="0.15">
      <c r="A1368" s="66" t="s">
        <v>2851</v>
      </c>
      <c r="B1368" s="66" t="s">
        <v>2852</v>
      </c>
      <c r="C1368" s="66" t="s">
        <v>874</v>
      </c>
      <c r="D1368" s="66" t="str">
        <f t="shared" si="42"/>
        <v>1382</v>
      </c>
      <c r="E1368" s="66">
        <f t="shared" si="43"/>
        <v>1</v>
      </c>
    </row>
    <row r="1369" spans="1:5" x14ac:dyDescent="0.15">
      <c r="A1369" s="66" t="s">
        <v>2853</v>
      </c>
      <c r="B1369" s="66" t="s">
        <v>2854</v>
      </c>
      <c r="C1369" s="66" t="s">
        <v>359</v>
      </c>
      <c r="D1369" s="66" t="str">
        <f t="shared" si="42"/>
        <v>1383</v>
      </c>
      <c r="E1369" s="66">
        <f t="shared" si="43"/>
        <v>1</v>
      </c>
    </row>
    <row r="1370" spans="1:5" x14ac:dyDescent="0.15">
      <c r="A1370" s="66" t="s">
        <v>2855</v>
      </c>
      <c r="B1370" s="66" t="s">
        <v>2856</v>
      </c>
      <c r="C1370" s="66" t="s">
        <v>359</v>
      </c>
      <c r="D1370" s="66" t="str">
        <f t="shared" si="42"/>
        <v>1384</v>
      </c>
      <c r="E1370" s="66">
        <f t="shared" si="43"/>
        <v>1</v>
      </c>
    </row>
    <row r="1371" spans="1:5" x14ac:dyDescent="0.15">
      <c r="A1371" s="66" t="s">
        <v>2857</v>
      </c>
      <c r="B1371" s="66" t="s">
        <v>2858</v>
      </c>
      <c r="C1371" s="66" t="s">
        <v>436</v>
      </c>
      <c r="D1371" s="66" t="str">
        <f t="shared" si="42"/>
        <v>1385</v>
      </c>
      <c r="E1371" s="66">
        <f t="shared" si="43"/>
        <v>1</v>
      </c>
    </row>
    <row r="1372" spans="1:5" x14ac:dyDescent="0.15">
      <c r="A1372" s="66" t="s">
        <v>2859</v>
      </c>
      <c r="B1372" s="66" t="s">
        <v>2860</v>
      </c>
      <c r="C1372" s="66" t="s">
        <v>268</v>
      </c>
      <c r="D1372" s="66" t="str">
        <f t="shared" si="42"/>
        <v>1386</v>
      </c>
      <c r="E1372" s="66">
        <f t="shared" si="43"/>
        <v>1</v>
      </c>
    </row>
    <row r="1373" spans="1:5" x14ac:dyDescent="0.15">
      <c r="A1373" s="66" t="s">
        <v>2861</v>
      </c>
      <c r="B1373" s="66" t="s">
        <v>2862</v>
      </c>
      <c r="C1373" s="66" t="s">
        <v>86</v>
      </c>
      <c r="D1373" s="66" t="str">
        <f t="shared" si="42"/>
        <v>1387</v>
      </c>
      <c r="E1373" s="66">
        <f t="shared" si="43"/>
        <v>1</v>
      </c>
    </row>
    <row r="1374" spans="1:5" x14ac:dyDescent="0.15">
      <c r="A1374" s="66" t="s">
        <v>2863</v>
      </c>
      <c r="B1374" s="66" t="s">
        <v>2864</v>
      </c>
      <c r="C1374" s="66" t="s">
        <v>86</v>
      </c>
      <c r="D1374" s="66" t="str">
        <f t="shared" si="42"/>
        <v>1388</v>
      </c>
      <c r="E1374" s="66">
        <f t="shared" si="43"/>
        <v>1</v>
      </c>
    </row>
    <row r="1375" spans="1:5" x14ac:dyDescent="0.15">
      <c r="A1375" s="66" t="s">
        <v>2865</v>
      </c>
      <c r="B1375" s="66" t="s">
        <v>2866</v>
      </c>
      <c r="C1375" s="66" t="s">
        <v>140</v>
      </c>
      <c r="D1375" s="66" t="str">
        <f t="shared" si="42"/>
        <v>1389</v>
      </c>
      <c r="E1375" s="66">
        <f t="shared" si="43"/>
        <v>1</v>
      </c>
    </row>
    <row r="1376" spans="1:5" x14ac:dyDescent="0.15">
      <c r="A1376" s="66" t="s">
        <v>2867</v>
      </c>
      <c r="B1376" s="66" t="s">
        <v>2868</v>
      </c>
      <c r="C1376" s="66" t="s">
        <v>133</v>
      </c>
      <c r="D1376" s="66" t="str">
        <f t="shared" si="42"/>
        <v>1390</v>
      </c>
      <c r="E1376" s="66">
        <f t="shared" si="43"/>
        <v>1</v>
      </c>
    </row>
    <row r="1377" spans="1:5" x14ac:dyDescent="0.15">
      <c r="A1377" s="66" t="s">
        <v>2869</v>
      </c>
      <c r="B1377" s="66" t="s">
        <v>2870</v>
      </c>
      <c r="C1377" s="66" t="s">
        <v>133</v>
      </c>
      <c r="D1377" s="66" t="str">
        <f t="shared" si="42"/>
        <v>1391</v>
      </c>
      <c r="E1377" s="66">
        <f t="shared" si="43"/>
        <v>1</v>
      </c>
    </row>
    <row r="1378" spans="1:5" x14ac:dyDescent="0.15">
      <c r="A1378" s="66" t="s">
        <v>2871</v>
      </c>
      <c r="B1378" s="66" t="s">
        <v>2872</v>
      </c>
      <c r="C1378" s="66" t="s">
        <v>140</v>
      </c>
      <c r="D1378" s="66" t="str">
        <f t="shared" si="42"/>
        <v>1392</v>
      </c>
      <c r="E1378" s="66">
        <f t="shared" si="43"/>
        <v>1</v>
      </c>
    </row>
    <row r="1379" spans="1:5" x14ac:dyDescent="0.15">
      <c r="A1379" s="66" t="s">
        <v>2873</v>
      </c>
      <c r="B1379" s="66" t="s">
        <v>2874</v>
      </c>
      <c r="C1379" s="66" t="s">
        <v>79</v>
      </c>
      <c r="D1379" s="66" t="str">
        <f t="shared" si="42"/>
        <v>1393</v>
      </c>
      <c r="E1379" s="66">
        <f t="shared" si="43"/>
        <v>1</v>
      </c>
    </row>
    <row r="1380" spans="1:5" x14ac:dyDescent="0.15">
      <c r="A1380" s="66" t="s">
        <v>2875</v>
      </c>
      <c r="B1380" s="66" t="s">
        <v>2876</v>
      </c>
      <c r="C1380" s="66" t="s">
        <v>133</v>
      </c>
      <c r="D1380" s="66" t="str">
        <f t="shared" si="42"/>
        <v>1394</v>
      </c>
      <c r="E1380" s="66">
        <f t="shared" si="43"/>
        <v>1</v>
      </c>
    </row>
    <row r="1381" spans="1:5" x14ac:dyDescent="0.15">
      <c r="A1381" s="66" t="s">
        <v>2877</v>
      </c>
      <c r="B1381" s="66" t="s">
        <v>2878</v>
      </c>
      <c r="C1381" s="66" t="s">
        <v>874</v>
      </c>
      <c r="D1381" s="66" t="str">
        <f t="shared" si="42"/>
        <v>1395</v>
      </c>
      <c r="E1381" s="66">
        <f t="shared" si="43"/>
        <v>1</v>
      </c>
    </row>
    <row r="1382" spans="1:5" x14ac:dyDescent="0.15">
      <c r="A1382" s="66" t="s">
        <v>2879</v>
      </c>
      <c r="B1382" s="66" t="s">
        <v>2880</v>
      </c>
      <c r="C1382" s="66" t="s">
        <v>874</v>
      </c>
      <c r="D1382" s="66" t="str">
        <f t="shared" si="42"/>
        <v>1396</v>
      </c>
      <c r="E1382" s="66">
        <f t="shared" si="43"/>
        <v>1</v>
      </c>
    </row>
    <row r="1383" spans="1:5" x14ac:dyDescent="0.15">
      <c r="A1383" s="66" t="s">
        <v>2881</v>
      </c>
      <c r="B1383" s="66" t="s">
        <v>2882</v>
      </c>
      <c r="C1383" s="66" t="s">
        <v>101</v>
      </c>
      <c r="D1383" s="66" t="str">
        <f t="shared" si="42"/>
        <v>1397</v>
      </c>
      <c r="E1383" s="66">
        <f t="shared" si="43"/>
        <v>1</v>
      </c>
    </row>
    <row r="1384" spans="1:5" x14ac:dyDescent="0.15">
      <c r="A1384" s="66" t="s">
        <v>2883</v>
      </c>
      <c r="B1384" s="66" t="s">
        <v>2884</v>
      </c>
      <c r="C1384" s="66" t="s">
        <v>86</v>
      </c>
      <c r="D1384" s="66" t="str">
        <f t="shared" si="42"/>
        <v>1398</v>
      </c>
      <c r="E1384" s="66">
        <f t="shared" si="43"/>
        <v>1</v>
      </c>
    </row>
    <row r="1385" spans="1:5" x14ac:dyDescent="0.15">
      <c r="A1385" s="66" t="s">
        <v>2885</v>
      </c>
      <c r="B1385" s="66" t="s">
        <v>2886</v>
      </c>
      <c r="C1385" s="66" t="s">
        <v>874</v>
      </c>
      <c r="D1385" s="66" t="str">
        <f t="shared" si="42"/>
        <v>1399</v>
      </c>
      <c r="E1385" s="66">
        <f t="shared" si="43"/>
        <v>1</v>
      </c>
    </row>
    <row r="1386" spans="1:5" x14ac:dyDescent="0.15">
      <c r="A1386" s="66" t="s">
        <v>2887</v>
      </c>
      <c r="B1386" s="66" t="s">
        <v>2888</v>
      </c>
      <c r="C1386" s="66" t="s">
        <v>79</v>
      </c>
      <c r="D1386" s="66" t="str">
        <f t="shared" si="42"/>
        <v>1400</v>
      </c>
      <c r="E1386" s="66">
        <f t="shared" si="43"/>
        <v>1</v>
      </c>
    </row>
    <row r="1387" spans="1:5" x14ac:dyDescent="0.15">
      <c r="A1387" s="66" t="s">
        <v>2889</v>
      </c>
      <c r="B1387" s="66" t="s">
        <v>2890</v>
      </c>
      <c r="C1387" s="66" t="s">
        <v>133</v>
      </c>
      <c r="D1387" s="66" t="str">
        <f t="shared" si="42"/>
        <v>1401</v>
      </c>
      <c r="E1387" s="66">
        <f t="shared" si="43"/>
        <v>1</v>
      </c>
    </row>
    <row r="1388" spans="1:5" x14ac:dyDescent="0.15">
      <c r="A1388" s="66" t="s">
        <v>2891</v>
      </c>
      <c r="B1388" s="66" t="s">
        <v>2892</v>
      </c>
      <c r="C1388" s="66" t="s">
        <v>101</v>
      </c>
      <c r="D1388" s="66" t="str">
        <f t="shared" si="42"/>
        <v>1402</v>
      </c>
      <c r="E1388" s="66">
        <f t="shared" si="43"/>
        <v>1</v>
      </c>
    </row>
    <row r="1389" spans="1:5" x14ac:dyDescent="0.15">
      <c r="A1389" s="66" t="s">
        <v>2893</v>
      </c>
      <c r="B1389" s="66" t="s">
        <v>2894</v>
      </c>
      <c r="C1389" s="66" t="s">
        <v>874</v>
      </c>
      <c r="D1389" s="66" t="str">
        <f t="shared" si="42"/>
        <v>1403</v>
      </c>
      <c r="E1389" s="66">
        <f t="shared" si="43"/>
        <v>1</v>
      </c>
    </row>
    <row r="1390" spans="1:5" x14ac:dyDescent="0.15">
      <c r="A1390" s="66" t="s">
        <v>2895</v>
      </c>
      <c r="B1390" s="66" t="s">
        <v>2896</v>
      </c>
      <c r="C1390" s="66" t="s">
        <v>874</v>
      </c>
      <c r="D1390" s="66" t="str">
        <f t="shared" si="42"/>
        <v>1404</v>
      </c>
      <c r="E1390" s="66">
        <f t="shared" si="43"/>
        <v>1</v>
      </c>
    </row>
    <row r="1391" spans="1:5" x14ac:dyDescent="0.15">
      <c r="A1391" s="66" t="s">
        <v>2897</v>
      </c>
      <c r="B1391" s="66" t="s">
        <v>1856</v>
      </c>
      <c r="C1391" s="66" t="s">
        <v>874</v>
      </c>
      <c r="D1391" s="66" t="str">
        <f t="shared" si="42"/>
        <v>1405</v>
      </c>
      <c r="E1391" s="66">
        <f t="shared" si="43"/>
        <v>3</v>
      </c>
    </row>
    <row r="1392" spans="1:5" x14ac:dyDescent="0.15">
      <c r="A1392" s="66" t="s">
        <v>2898</v>
      </c>
      <c r="B1392" s="66" t="s">
        <v>2899</v>
      </c>
      <c r="C1392" s="66" t="s">
        <v>874</v>
      </c>
      <c r="D1392" s="66" t="str">
        <f t="shared" si="42"/>
        <v>1406</v>
      </c>
      <c r="E1392" s="66">
        <f t="shared" si="43"/>
        <v>1</v>
      </c>
    </row>
    <row r="1393" spans="1:5" x14ac:dyDescent="0.15">
      <c r="A1393" s="66" t="s">
        <v>2900</v>
      </c>
      <c r="B1393" s="66" t="s">
        <v>2901</v>
      </c>
      <c r="C1393" s="66" t="s">
        <v>874</v>
      </c>
      <c r="D1393" s="66" t="str">
        <f t="shared" si="42"/>
        <v>1407</v>
      </c>
      <c r="E1393" s="66">
        <f t="shared" si="43"/>
        <v>1</v>
      </c>
    </row>
    <row r="1394" spans="1:5" x14ac:dyDescent="0.15">
      <c r="A1394" s="66" t="s">
        <v>2902</v>
      </c>
      <c r="B1394" s="66" t="s">
        <v>2903</v>
      </c>
      <c r="C1394" s="66" t="s">
        <v>140</v>
      </c>
      <c r="D1394" s="66" t="str">
        <f t="shared" si="42"/>
        <v>1408</v>
      </c>
      <c r="E1394" s="66">
        <f t="shared" si="43"/>
        <v>1</v>
      </c>
    </row>
    <row r="1395" spans="1:5" x14ac:dyDescent="0.15">
      <c r="A1395" s="66" t="s">
        <v>2904</v>
      </c>
      <c r="B1395" s="66" t="s">
        <v>2905</v>
      </c>
      <c r="C1395" s="66" t="s">
        <v>874</v>
      </c>
      <c r="D1395" s="66" t="str">
        <f t="shared" si="42"/>
        <v>1409</v>
      </c>
      <c r="E1395" s="66">
        <f t="shared" si="43"/>
        <v>1</v>
      </c>
    </row>
    <row r="1396" spans="1:5" x14ac:dyDescent="0.15">
      <c r="A1396" s="66" t="s">
        <v>2906</v>
      </c>
      <c r="B1396" s="66" t="s">
        <v>2907</v>
      </c>
      <c r="C1396" s="66" t="s">
        <v>385</v>
      </c>
      <c r="D1396" s="66" t="str">
        <f t="shared" si="42"/>
        <v>1410</v>
      </c>
      <c r="E1396" s="66">
        <f t="shared" si="43"/>
        <v>1</v>
      </c>
    </row>
    <row r="1397" spans="1:5" x14ac:dyDescent="0.15">
      <c r="A1397" s="66" t="s">
        <v>2908</v>
      </c>
      <c r="B1397" s="66" t="s">
        <v>2909</v>
      </c>
      <c r="C1397" s="66" t="s">
        <v>874</v>
      </c>
      <c r="D1397" s="66" t="str">
        <f t="shared" si="42"/>
        <v>1411</v>
      </c>
      <c r="E1397" s="66">
        <f t="shared" si="43"/>
        <v>1</v>
      </c>
    </row>
    <row r="1398" spans="1:5" x14ac:dyDescent="0.15">
      <c r="A1398" s="66" t="s">
        <v>2910</v>
      </c>
      <c r="B1398" s="66" t="s">
        <v>2911</v>
      </c>
      <c r="C1398" s="66" t="s">
        <v>86</v>
      </c>
      <c r="D1398" s="66" t="str">
        <f t="shared" si="42"/>
        <v>1412</v>
      </c>
      <c r="E1398" s="66">
        <f t="shared" si="43"/>
        <v>1</v>
      </c>
    </row>
    <row r="1399" spans="1:5" x14ac:dyDescent="0.15">
      <c r="A1399" s="66" t="s">
        <v>2912</v>
      </c>
      <c r="B1399" s="66" t="s">
        <v>2913</v>
      </c>
      <c r="C1399" s="66" t="s">
        <v>359</v>
      </c>
      <c r="D1399" s="66" t="str">
        <f t="shared" si="42"/>
        <v>1413</v>
      </c>
      <c r="E1399" s="66">
        <f t="shared" si="43"/>
        <v>1</v>
      </c>
    </row>
    <row r="1400" spans="1:5" x14ac:dyDescent="0.15">
      <c r="A1400" s="66" t="s">
        <v>2914</v>
      </c>
      <c r="B1400" s="66" t="s">
        <v>2915</v>
      </c>
      <c r="C1400" s="66" t="s">
        <v>359</v>
      </c>
      <c r="D1400" s="66" t="str">
        <f t="shared" si="42"/>
        <v>1414</v>
      </c>
      <c r="E1400" s="66">
        <f t="shared" si="43"/>
        <v>1</v>
      </c>
    </row>
    <row r="1401" spans="1:5" x14ac:dyDescent="0.15">
      <c r="A1401" s="66" t="s">
        <v>2916</v>
      </c>
      <c r="B1401" s="66" t="s">
        <v>2917</v>
      </c>
      <c r="C1401" s="66" t="s">
        <v>359</v>
      </c>
      <c r="D1401" s="66" t="str">
        <f t="shared" si="42"/>
        <v>1415</v>
      </c>
      <c r="E1401" s="66">
        <f t="shared" si="43"/>
        <v>1</v>
      </c>
    </row>
    <row r="1402" spans="1:5" x14ac:dyDescent="0.15">
      <c r="A1402" s="66" t="s">
        <v>2918</v>
      </c>
      <c r="B1402" s="66" t="s">
        <v>2919</v>
      </c>
      <c r="C1402" s="66" t="s">
        <v>359</v>
      </c>
      <c r="D1402" s="66" t="str">
        <f t="shared" si="42"/>
        <v>1416</v>
      </c>
      <c r="E1402" s="66">
        <f t="shared" si="43"/>
        <v>1</v>
      </c>
    </row>
    <row r="1403" spans="1:5" x14ac:dyDescent="0.15">
      <c r="A1403" s="66" t="s">
        <v>2920</v>
      </c>
      <c r="B1403" s="66" t="s">
        <v>2921</v>
      </c>
      <c r="C1403" s="66" t="s">
        <v>359</v>
      </c>
      <c r="D1403" s="66" t="str">
        <f t="shared" si="42"/>
        <v>1417</v>
      </c>
      <c r="E1403" s="66">
        <f t="shared" si="43"/>
        <v>2</v>
      </c>
    </row>
    <row r="1404" spans="1:5" x14ac:dyDescent="0.15">
      <c r="A1404" s="66" t="s">
        <v>2922</v>
      </c>
      <c r="B1404" s="66" t="s">
        <v>2923</v>
      </c>
      <c r="C1404" s="66" t="s">
        <v>359</v>
      </c>
      <c r="D1404" s="66" t="str">
        <f t="shared" si="42"/>
        <v>1418</v>
      </c>
      <c r="E1404" s="66">
        <f t="shared" si="43"/>
        <v>1</v>
      </c>
    </row>
    <row r="1405" spans="1:5" x14ac:dyDescent="0.15">
      <c r="A1405" s="66" t="s">
        <v>2924</v>
      </c>
      <c r="B1405" s="66" t="s">
        <v>2925</v>
      </c>
      <c r="C1405" s="66" t="s">
        <v>245</v>
      </c>
      <c r="D1405" s="66" t="str">
        <f t="shared" si="42"/>
        <v>1419</v>
      </c>
      <c r="E1405" s="66">
        <f t="shared" si="43"/>
        <v>1</v>
      </c>
    </row>
    <row r="1406" spans="1:5" x14ac:dyDescent="0.15">
      <c r="A1406" s="66" t="s">
        <v>2926</v>
      </c>
      <c r="B1406" s="66" t="s">
        <v>2927</v>
      </c>
      <c r="C1406" s="66" t="s">
        <v>874</v>
      </c>
      <c r="D1406" s="66" t="str">
        <f t="shared" si="42"/>
        <v>1420</v>
      </c>
      <c r="E1406" s="66">
        <f t="shared" si="43"/>
        <v>1</v>
      </c>
    </row>
    <row r="1407" spans="1:5" x14ac:dyDescent="0.15">
      <c r="A1407" s="66" t="s">
        <v>2928</v>
      </c>
      <c r="B1407" s="66" t="s">
        <v>2929</v>
      </c>
      <c r="C1407" s="66" t="s">
        <v>874</v>
      </c>
      <c r="D1407" s="66" t="str">
        <f t="shared" si="42"/>
        <v>1421</v>
      </c>
      <c r="E1407" s="66">
        <f t="shared" si="43"/>
        <v>1</v>
      </c>
    </row>
    <row r="1408" spans="1:5" x14ac:dyDescent="0.15">
      <c r="A1408" s="66" t="s">
        <v>2930</v>
      </c>
      <c r="B1408" s="66" t="s">
        <v>2931</v>
      </c>
      <c r="C1408" s="66" t="s">
        <v>359</v>
      </c>
      <c r="D1408" s="66" t="str">
        <f t="shared" si="42"/>
        <v>1422</v>
      </c>
      <c r="E1408" s="66">
        <f t="shared" si="43"/>
        <v>1</v>
      </c>
    </row>
    <row r="1409" spans="1:5" x14ac:dyDescent="0.15">
      <c r="A1409" s="66" t="s">
        <v>2932</v>
      </c>
      <c r="B1409" s="66" t="s">
        <v>2933</v>
      </c>
      <c r="C1409" s="66" t="s">
        <v>245</v>
      </c>
      <c r="D1409" s="66" t="str">
        <f t="shared" si="42"/>
        <v>1423</v>
      </c>
      <c r="E1409" s="66">
        <f t="shared" si="43"/>
        <v>1</v>
      </c>
    </row>
    <row r="1410" spans="1:5" x14ac:dyDescent="0.15">
      <c r="A1410" s="66" t="s">
        <v>2934</v>
      </c>
      <c r="B1410" s="66" t="s">
        <v>2935</v>
      </c>
      <c r="C1410" s="66" t="s">
        <v>874</v>
      </c>
      <c r="D1410" s="66" t="str">
        <f t="shared" ref="D1410:D1473" si="44">A1410</f>
        <v>1424</v>
      </c>
      <c r="E1410" s="66">
        <f t="shared" ref="E1410:E1473" si="45">COUNTIFS(B:B,B1410)</f>
        <v>1</v>
      </c>
    </row>
    <row r="1411" spans="1:5" x14ac:dyDescent="0.15">
      <c r="A1411" s="66" t="s">
        <v>2936</v>
      </c>
      <c r="B1411" s="66" t="s">
        <v>2937</v>
      </c>
      <c r="C1411" s="66" t="s">
        <v>75</v>
      </c>
      <c r="D1411" s="66" t="str">
        <f t="shared" si="44"/>
        <v>1425</v>
      </c>
      <c r="E1411" s="66">
        <f t="shared" si="45"/>
        <v>1</v>
      </c>
    </row>
    <row r="1412" spans="1:5" x14ac:dyDescent="0.15">
      <c r="A1412" s="66" t="s">
        <v>2938</v>
      </c>
      <c r="B1412" s="66" t="s">
        <v>2939</v>
      </c>
      <c r="C1412" s="66" t="s">
        <v>340</v>
      </c>
      <c r="D1412" s="66" t="str">
        <f t="shared" si="44"/>
        <v>1426</v>
      </c>
      <c r="E1412" s="66">
        <f t="shared" si="45"/>
        <v>1</v>
      </c>
    </row>
    <row r="1413" spans="1:5" x14ac:dyDescent="0.15">
      <c r="A1413" s="66" t="s">
        <v>2940</v>
      </c>
      <c r="B1413" s="66" t="s">
        <v>2941</v>
      </c>
      <c r="C1413" s="66" t="s">
        <v>874</v>
      </c>
      <c r="D1413" s="66" t="str">
        <f t="shared" si="44"/>
        <v>1427</v>
      </c>
      <c r="E1413" s="66">
        <f t="shared" si="45"/>
        <v>1</v>
      </c>
    </row>
    <row r="1414" spans="1:5" x14ac:dyDescent="0.15">
      <c r="A1414" s="66" t="s">
        <v>2942</v>
      </c>
      <c r="B1414" s="66" t="s">
        <v>2943</v>
      </c>
      <c r="C1414" s="66" t="s">
        <v>424</v>
      </c>
      <c r="D1414" s="66" t="str">
        <f t="shared" si="44"/>
        <v>1428</v>
      </c>
      <c r="E1414" s="66">
        <f t="shared" si="45"/>
        <v>1</v>
      </c>
    </row>
    <row r="1415" spans="1:5" x14ac:dyDescent="0.15">
      <c r="A1415" s="66" t="s">
        <v>2944</v>
      </c>
      <c r="B1415" s="66" t="s">
        <v>2945</v>
      </c>
      <c r="C1415" s="66" t="s">
        <v>424</v>
      </c>
      <c r="D1415" s="66" t="str">
        <f t="shared" si="44"/>
        <v>1429</v>
      </c>
      <c r="E1415" s="66">
        <f t="shared" si="45"/>
        <v>1</v>
      </c>
    </row>
    <row r="1416" spans="1:5" x14ac:dyDescent="0.15">
      <c r="A1416" s="66" t="s">
        <v>2946</v>
      </c>
      <c r="B1416" s="66" t="s">
        <v>2947</v>
      </c>
      <c r="C1416" s="66" t="s">
        <v>75</v>
      </c>
      <c r="D1416" s="66" t="str">
        <f t="shared" si="44"/>
        <v>1430</v>
      </c>
      <c r="E1416" s="66">
        <f t="shared" si="45"/>
        <v>1</v>
      </c>
    </row>
    <row r="1417" spans="1:5" x14ac:dyDescent="0.15">
      <c r="A1417" s="66" t="s">
        <v>2948</v>
      </c>
      <c r="B1417" s="66" t="s">
        <v>2949</v>
      </c>
      <c r="C1417" s="66" t="s">
        <v>359</v>
      </c>
      <c r="D1417" s="66" t="str">
        <f t="shared" si="44"/>
        <v>1431</v>
      </c>
      <c r="E1417" s="66">
        <f t="shared" si="45"/>
        <v>1</v>
      </c>
    </row>
    <row r="1418" spans="1:5" x14ac:dyDescent="0.15">
      <c r="A1418" s="66" t="s">
        <v>2950</v>
      </c>
      <c r="B1418" s="66" t="s">
        <v>2951</v>
      </c>
      <c r="C1418" s="66" t="s">
        <v>874</v>
      </c>
      <c r="D1418" s="66" t="str">
        <f t="shared" si="44"/>
        <v>1432</v>
      </c>
      <c r="E1418" s="66">
        <f t="shared" si="45"/>
        <v>1</v>
      </c>
    </row>
    <row r="1419" spans="1:5" x14ac:dyDescent="0.15">
      <c r="A1419" s="66" t="s">
        <v>2952</v>
      </c>
      <c r="B1419" s="66" t="s">
        <v>2953</v>
      </c>
      <c r="C1419" s="66" t="s">
        <v>874</v>
      </c>
      <c r="D1419" s="66" t="str">
        <f t="shared" si="44"/>
        <v>1433</v>
      </c>
      <c r="E1419" s="66">
        <f t="shared" si="45"/>
        <v>1</v>
      </c>
    </row>
    <row r="1420" spans="1:5" x14ac:dyDescent="0.15">
      <c r="A1420" s="66" t="s">
        <v>2954</v>
      </c>
      <c r="B1420" s="66" t="s">
        <v>2955</v>
      </c>
      <c r="C1420" s="66" t="s">
        <v>359</v>
      </c>
      <c r="D1420" s="66" t="str">
        <f t="shared" si="44"/>
        <v>1434</v>
      </c>
      <c r="E1420" s="66">
        <f t="shared" si="45"/>
        <v>1</v>
      </c>
    </row>
    <row r="1421" spans="1:5" x14ac:dyDescent="0.15">
      <c r="A1421" s="66" t="s">
        <v>2956</v>
      </c>
      <c r="B1421" s="66" t="s">
        <v>2957</v>
      </c>
      <c r="C1421" s="66" t="s">
        <v>75</v>
      </c>
      <c r="D1421" s="66" t="str">
        <f t="shared" si="44"/>
        <v>1435</v>
      </c>
      <c r="E1421" s="66">
        <f t="shared" si="45"/>
        <v>1</v>
      </c>
    </row>
    <row r="1422" spans="1:5" x14ac:dyDescent="0.15">
      <c r="A1422" s="66" t="s">
        <v>2958</v>
      </c>
      <c r="B1422" s="66" t="s">
        <v>2959</v>
      </c>
      <c r="C1422" s="66" t="s">
        <v>359</v>
      </c>
      <c r="D1422" s="66" t="str">
        <f t="shared" si="44"/>
        <v>1436</v>
      </c>
      <c r="E1422" s="66">
        <f t="shared" si="45"/>
        <v>1</v>
      </c>
    </row>
    <row r="1423" spans="1:5" x14ac:dyDescent="0.15">
      <c r="A1423" s="66" t="s">
        <v>2960</v>
      </c>
      <c r="B1423" s="66" t="s">
        <v>2961</v>
      </c>
      <c r="C1423" s="66" t="s">
        <v>268</v>
      </c>
      <c r="D1423" s="66" t="str">
        <f t="shared" si="44"/>
        <v>1437</v>
      </c>
      <c r="E1423" s="66">
        <f t="shared" si="45"/>
        <v>1</v>
      </c>
    </row>
    <row r="1424" spans="1:5" x14ac:dyDescent="0.15">
      <c r="A1424" s="66" t="s">
        <v>2962</v>
      </c>
      <c r="B1424" s="66" t="s">
        <v>2963</v>
      </c>
      <c r="C1424" s="66" t="s">
        <v>359</v>
      </c>
      <c r="D1424" s="66" t="str">
        <f t="shared" si="44"/>
        <v>1438</v>
      </c>
      <c r="E1424" s="66">
        <f t="shared" si="45"/>
        <v>1</v>
      </c>
    </row>
    <row r="1425" spans="1:5" x14ac:dyDescent="0.15">
      <c r="A1425" s="66" t="s">
        <v>2964</v>
      </c>
      <c r="B1425" s="66" t="s">
        <v>2921</v>
      </c>
      <c r="C1425" s="66" t="s">
        <v>359</v>
      </c>
      <c r="D1425" s="66" t="str">
        <f t="shared" si="44"/>
        <v>1439</v>
      </c>
      <c r="E1425" s="66">
        <f t="shared" si="45"/>
        <v>2</v>
      </c>
    </row>
    <row r="1426" spans="1:5" x14ac:dyDescent="0.15">
      <c r="A1426" s="66" t="s">
        <v>2965</v>
      </c>
      <c r="B1426" s="66" t="s">
        <v>2966</v>
      </c>
      <c r="C1426" s="66" t="s">
        <v>359</v>
      </c>
      <c r="D1426" s="66" t="str">
        <f t="shared" si="44"/>
        <v>1440</v>
      </c>
      <c r="E1426" s="66">
        <f t="shared" si="45"/>
        <v>1</v>
      </c>
    </row>
    <row r="1427" spans="1:5" x14ac:dyDescent="0.15">
      <c r="A1427" s="66" t="s">
        <v>2967</v>
      </c>
      <c r="B1427" s="66" t="s">
        <v>2968</v>
      </c>
      <c r="C1427" s="66" t="s">
        <v>245</v>
      </c>
      <c r="D1427" s="66" t="str">
        <f t="shared" si="44"/>
        <v>1441</v>
      </c>
      <c r="E1427" s="66">
        <f t="shared" si="45"/>
        <v>1</v>
      </c>
    </row>
    <row r="1428" spans="1:5" x14ac:dyDescent="0.15">
      <c r="A1428" s="66" t="s">
        <v>2969</v>
      </c>
      <c r="B1428" s="66" t="s">
        <v>2970</v>
      </c>
      <c r="C1428" s="66" t="s">
        <v>874</v>
      </c>
      <c r="D1428" s="66" t="str">
        <f t="shared" si="44"/>
        <v>1442</v>
      </c>
      <c r="E1428" s="66">
        <f t="shared" si="45"/>
        <v>1</v>
      </c>
    </row>
    <row r="1429" spans="1:5" x14ac:dyDescent="0.15">
      <c r="A1429" s="66" t="s">
        <v>2971</v>
      </c>
      <c r="B1429" s="66" t="s">
        <v>2972</v>
      </c>
      <c r="C1429" s="66" t="s">
        <v>75</v>
      </c>
      <c r="D1429" s="66" t="str">
        <f t="shared" si="44"/>
        <v>1443</v>
      </c>
      <c r="E1429" s="66">
        <f t="shared" si="45"/>
        <v>1</v>
      </c>
    </row>
    <row r="1430" spans="1:5" x14ac:dyDescent="0.15">
      <c r="A1430" s="66" t="s">
        <v>2973</v>
      </c>
      <c r="B1430" s="66" t="s">
        <v>2974</v>
      </c>
      <c r="C1430" s="66" t="s">
        <v>359</v>
      </c>
      <c r="D1430" s="66" t="str">
        <f t="shared" si="44"/>
        <v>1444</v>
      </c>
      <c r="E1430" s="66">
        <f t="shared" si="45"/>
        <v>1</v>
      </c>
    </row>
    <row r="1431" spans="1:5" x14ac:dyDescent="0.15">
      <c r="A1431" s="66" t="s">
        <v>2975</v>
      </c>
      <c r="B1431" s="66" t="s">
        <v>1889</v>
      </c>
      <c r="C1431" s="66" t="s">
        <v>359</v>
      </c>
      <c r="D1431" s="66" t="str">
        <f t="shared" si="44"/>
        <v>1445</v>
      </c>
      <c r="E1431" s="66">
        <f t="shared" si="45"/>
        <v>2</v>
      </c>
    </row>
    <row r="1432" spans="1:5" x14ac:dyDescent="0.15">
      <c r="A1432" s="66" t="s">
        <v>2976</v>
      </c>
      <c r="B1432" s="66" t="s">
        <v>2977</v>
      </c>
      <c r="C1432" s="66" t="s">
        <v>359</v>
      </c>
      <c r="D1432" s="66" t="str">
        <f t="shared" si="44"/>
        <v>1446</v>
      </c>
      <c r="E1432" s="66">
        <f t="shared" si="45"/>
        <v>1</v>
      </c>
    </row>
    <row r="1433" spans="1:5" x14ac:dyDescent="0.15">
      <c r="A1433" s="66" t="s">
        <v>2978</v>
      </c>
      <c r="B1433" s="66" t="s">
        <v>2979</v>
      </c>
      <c r="C1433" s="66" t="s">
        <v>874</v>
      </c>
      <c r="D1433" s="66" t="str">
        <f t="shared" si="44"/>
        <v>1447</v>
      </c>
      <c r="E1433" s="66">
        <f t="shared" si="45"/>
        <v>1</v>
      </c>
    </row>
    <row r="1434" spans="1:5" x14ac:dyDescent="0.15">
      <c r="A1434" s="66" t="s">
        <v>2980</v>
      </c>
      <c r="B1434" s="66" t="s">
        <v>2981</v>
      </c>
      <c r="C1434" s="66" t="s">
        <v>75</v>
      </c>
      <c r="D1434" s="66" t="str">
        <f t="shared" si="44"/>
        <v>1448</v>
      </c>
      <c r="E1434" s="66">
        <f t="shared" si="45"/>
        <v>1</v>
      </c>
    </row>
    <row r="1435" spans="1:5" x14ac:dyDescent="0.15">
      <c r="A1435" s="66" t="s">
        <v>2982</v>
      </c>
      <c r="B1435" s="66" t="s">
        <v>2983</v>
      </c>
      <c r="C1435" s="66" t="s">
        <v>71</v>
      </c>
      <c r="D1435" s="66" t="str">
        <f t="shared" si="44"/>
        <v>1449</v>
      </c>
      <c r="E1435" s="66">
        <f t="shared" si="45"/>
        <v>1</v>
      </c>
    </row>
    <row r="1436" spans="1:5" x14ac:dyDescent="0.15">
      <c r="A1436" s="66" t="s">
        <v>2984</v>
      </c>
      <c r="B1436" s="66" t="s">
        <v>2985</v>
      </c>
      <c r="C1436" s="66" t="s">
        <v>71</v>
      </c>
      <c r="D1436" s="66" t="str">
        <f t="shared" si="44"/>
        <v>1450</v>
      </c>
      <c r="E1436" s="66">
        <f t="shared" si="45"/>
        <v>1</v>
      </c>
    </row>
    <row r="1437" spans="1:5" x14ac:dyDescent="0.15">
      <c r="A1437" s="66" t="s">
        <v>2986</v>
      </c>
      <c r="B1437" s="66" t="s">
        <v>2987</v>
      </c>
      <c r="C1437" s="66" t="s">
        <v>359</v>
      </c>
      <c r="D1437" s="66" t="str">
        <f t="shared" si="44"/>
        <v>1451</v>
      </c>
      <c r="E1437" s="66">
        <f t="shared" si="45"/>
        <v>1</v>
      </c>
    </row>
    <row r="1438" spans="1:5" x14ac:dyDescent="0.15">
      <c r="A1438" s="66" t="s">
        <v>2988</v>
      </c>
      <c r="B1438" s="66" t="s">
        <v>2989</v>
      </c>
      <c r="C1438" s="66" t="s">
        <v>874</v>
      </c>
      <c r="D1438" s="66" t="str">
        <f t="shared" si="44"/>
        <v>1452</v>
      </c>
      <c r="E1438" s="66">
        <f t="shared" si="45"/>
        <v>1</v>
      </c>
    </row>
    <row r="1439" spans="1:5" x14ac:dyDescent="0.15">
      <c r="A1439" s="66" t="s">
        <v>2990</v>
      </c>
      <c r="B1439" s="66" t="s">
        <v>2991</v>
      </c>
      <c r="C1439" s="66" t="s">
        <v>874</v>
      </c>
      <c r="D1439" s="66" t="str">
        <f t="shared" si="44"/>
        <v>1453</v>
      </c>
      <c r="E1439" s="66">
        <f t="shared" si="45"/>
        <v>1</v>
      </c>
    </row>
    <row r="1440" spans="1:5" x14ac:dyDescent="0.15">
      <c r="A1440" s="66" t="s">
        <v>2992</v>
      </c>
      <c r="B1440" s="66" t="s">
        <v>2993</v>
      </c>
      <c r="C1440" s="66" t="s">
        <v>874</v>
      </c>
      <c r="D1440" s="66" t="str">
        <f t="shared" si="44"/>
        <v>1454</v>
      </c>
      <c r="E1440" s="66">
        <f t="shared" si="45"/>
        <v>1</v>
      </c>
    </row>
    <row r="1441" spans="1:5" x14ac:dyDescent="0.15">
      <c r="A1441" s="66" t="s">
        <v>2994</v>
      </c>
      <c r="B1441" s="66" t="s">
        <v>2995</v>
      </c>
      <c r="C1441" s="66" t="s">
        <v>874</v>
      </c>
      <c r="D1441" s="66" t="str">
        <f t="shared" si="44"/>
        <v>1455</v>
      </c>
      <c r="E1441" s="66">
        <f t="shared" si="45"/>
        <v>1</v>
      </c>
    </row>
    <row r="1442" spans="1:5" x14ac:dyDescent="0.15">
      <c r="A1442" s="66" t="s">
        <v>2996</v>
      </c>
      <c r="B1442" s="66" t="s">
        <v>2997</v>
      </c>
      <c r="C1442" s="66" t="s">
        <v>874</v>
      </c>
      <c r="D1442" s="66" t="str">
        <f t="shared" si="44"/>
        <v>1456</v>
      </c>
      <c r="E1442" s="66">
        <f t="shared" si="45"/>
        <v>1</v>
      </c>
    </row>
    <row r="1443" spans="1:5" x14ac:dyDescent="0.15">
      <c r="A1443" s="66" t="s">
        <v>2998</v>
      </c>
      <c r="B1443" s="66" t="s">
        <v>2999</v>
      </c>
      <c r="C1443" s="66" t="s">
        <v>101</v>
      </c>
      <c r="D1443" s="66" t="str">
        <f t="shared" si="44"/>
        <v>1457</v>
      </c>
      <c r="E1443" s="66">
        <f t="shared" si="45"/>
        <v>1</v>
      </c>
    </row>
    <row r="1444" spans="1:5" x14ac:dyDescent="0.15">
      <c r="A1444" s="66" t="s">
        <v>3000</v>
      </c>
      <c r="B1444" s="66" t="s">
        <v>3001</v>
      </c>
      <c r="C1444" s="66" t="s">
        <v>75</v>
      </c>
      <c r="D1444" s="66" t="str">
        <f t="shared" si="44"/>
        <v>1458</v>
      </c>
      <c r="E1444" s="66">
        <f t="shared" si="45"/>
        <v>1</v>
      </c>
    </row>
    <row r="1445" spans="1:5" x14ac:dyDescent="0.15">
      <c r="A1445" s="66" t="s">
        <v>3002</v>
      </c>
      <c r="B1445" s="66" t="s">
        <v>3003</v>
      </c>
      <c r="C1445" s="66" t="s">
        <v>359</v>
      </c>
      <c r="D1445" s="66" t="str">
        <f t="shared" si="44"/>
        <v>1459</v>
      </c>
      <c r="E1445" s="66">
        <f t="shared" si="45"/>
        <v>1</v>
      </c>
    </row>
    <row r="1446" spans="1:5" x14ac:dyDescent="0.15">
      <c r="A1446" s="66" t="s">
        <v>3004</v>
      </c>
      <c r="B1446" s="66" t="s">
        <v>3005</v>
      </c>
      <c r="C1446" s="66" t="s">
        <v>359</v>
      </c>
      <c r="D1446" s="66" t="str">
        <f t="shared" si="44"/>
        <v>1460</v>
      </c>
      <c r="E1446" s="66">
        <f t="shared" si="45"/>
        <v>1</v>
      </c>
    </row>
    <row r="1447" spans="1:5" x14ac:dyDescent="0.15">
      <c r="A1447" s="66" t="s">
        <v>3006</v>
      </c>
      <c r="B1447" s="66" t="s">
        <v>3007</v>
      </c>
      <c r="C1447" s="66" t="s">
        <v>436</v>
      </c>
      <c r="D1447" s="66" t="str">
        <f t="shared" si="44"/>
        <v>1461</v>
      </c>
      <c r="E1447" s="66">
        <f t="shared" si="45"/>
        <v>1</v>
      </c>
    </row>
    <row r="1448" spans="1:5" x14ac:dyDescent="0.15">
      <c r="A1448" s="66" t="s">
        <v>3008</v>
      </c>
      <c r="B1448" s="66" t="s">
        <v>3009</v>
      </c>
      <c r="C1448" s="66" t="s">
        <v>874</v>
      </c>
      <c r="D1448" s="66" t="str">
        <f t="shared" si="44"/>
        <v>1462</v>
      </c>
      <c r="E1448" s="66">
        <f t="shared" si="45"/>
        <v>1</v>
      </c>
    </row>
    <row r="1449" spans="1:5" x14ac:dyDescent="0.15">
      <c r="A1449" s="66" t="s">
        <v>3010</v>
      </c>
      <c r="B1449" s="66" t="s">
        <v>3011</v>
      </c>
      <c r="C1449" s="66" t="s">
        <v>813</v>
      </c>
      <c r="D1449" s="66" t="str">
        <f t="shared" si="44"/>
        <v>1463</v>
      </c>
      <c r="E1449" s="66">
        <f t="shared" si="45"/>
        <v>1</v>
      </c>
    </row>
    <row r="1450" spans="1:5" x14ac:dyDescent="0.15">
      <c r="A1450" s="66" t="s">
        <v>3012</v>
      </c>
      <c r="B1450" s="66" t="s">
        <v>3013</v>
      </c>
      <c r="C1450" s="66" t="s">
        <v>75</v>
      </c>
      <c r="D1450" s="66" t="str">
        <f t="shared" si="44"/>
        <v>1464</v>
      </c>
      <c r="E1450" s="66">
        <f t="shared" si="45"/>
        <v>1</v>
      </c>
    </row>
    <row r="1451" spans="1:5" x14ac:dyDescent="0.15">
      <c r="A1451" s="66" t="s">
        <v>3014</v>
      </c>
      <c r="B1451" s="66" t="s">
        <v>3015</v>
      </c>
      <c r="C1451" s="66" t="s">
        <v>79</v>
      </c>
      <c r="D1451" s="66" t="str">
        <f t="shared" si="44"/>
        <v>1465</v>
      </c>
      <c r="E1451" s="66">
        <f t="shared" si="45"/>
        <v>1</v>
      </c>
    </row>
    <row r="1452" spans="1:5" x14ac:dyDescent="0.15">
      <c r="A1452" s="66" t="s">
        <v>3016</v>
      </c>
      <c r="B1452" s="66" t="s">
        <v>3017</v>
      </c>
      <c r="C1452" s="66" t="s">
        <v>71</v>
      </c>
      <c r="D1452" s="66" t="str">
        <f t="shared" si="44"/>
        <v>1466</v>
      </c>
      <c r="E1452" s="66">
        <f t="shared" si="45"/>
        <v>1</v>
      </c>
    </row>
    <row r="1453" spans="1:5" x14ac:dyDescent="0.15">
      <c r="A1453" s="66" t="s">
        <v>3018</v>
      </c>
      <c r="B1453" s="66" t="s">
        <v>3019</v>
      </c>
      <c r="C1453" s="66" t="s">
        <v>340</v>
      </c>
      <c r="D1453" s="66" t="str">
        <f t="shared" si="44"/>
        <v>1467</v>
      </c>
      <c r="E1453" s="66">
        <f t="shared" si="45"/>
        <v>1</v>
      </c>
    </row>
    <row r="1454" spans="1:5" x14ac:dyDescent="0.15">
      <c r="A1454" s="66" t="s">
        <v>3020</v>
      </c>
      <c r="B1454" s="66" t="s">
        <v>3021</v>
      </c>
      <c r="C1454" s="66" t="s">
        <v>340</v>
      </c>
      <c r="D1454" s="66" t="str">
        <f t="shared" si="44"/>
        <v>1468</v>
      </c>
      <c r="E1454" s="66">
        <f t="shared" si="45"/>
        <v>1</v>
      </c>
    </row>
    <row r="1455" spans="1:5" x14ac:dyDescent="0.15">
      <c r="A1455" s="66" t="s">
        <v>3022</v>
      </c>
      <c r="B1455" s="66" t="s">
        <v>3023</v>
      </c>
      <c r="C1455" s="66" t="s">
        <v>75</v>
      </c>
      <c r="D1455" s="66" t="str">
        <f t="shared" si="44"/>
        <v>1469</v>
      </c>
      <c r="E1455" s="66">
        <f t="shared" si="45"/>
        <v>1</v>
      </c>
    </row>
    <row r="1456" spans="1:5" x14ac:dyDescent="0.15">
      <c r="A1456" s="66" t="s">
        <v>3024</v>
      </c>
      <c r="B1456" s="66" t="s">
        <v>3025</v>
      </c>
      <c r="C1456" s="66" t="s">
        <v>101</v>
      </c>
      <c r="D1456" s="66" t="str">
        <f t="shared" si="44"/>
        <v>1470</v>
      </c>
      <c r="E1456" s="66">
        <f t="shared" si="45"/>
        <v>1</v>
      </c>
    </row>
    <row r="1457" spans="1:5" x14ac:dyDescent="0.15">
      <c r="A1457" s="66" t="s">
        <v>3026</v>
      </c>
      <c r="B1457" s="66" t="s">
        <v>3027</v>
      </c>
      <c r="C1457" s="66" t="s">
        <v>874</v>
      </c>
      <c r="D1457" s="66" t="str">
        <f t="shared" si="44"/>
        <v>1471</v>
      </c>
      <c r="E1457" s="66">
        <f t="shared" si="45"/>
        <v>1</v>
      </c>
    </row>
    <row r="1458" spans="1:5" x14ac:dyDescent="0.15">
      <c r="A1458" s="66" t="s">
        <v>3028</v>
      </c>
      <c r="B1458" s="66" t="s">
        <v>3029</v>
      </c>
      <c r="C1458" s="66" t="s">
        <v>359</v>
      </c>
      <c r="D1458" s="66" t="str">
        <f t="shared" si="44"/>
        <v>1472</v>
      </c>
      <c r="E1458" s="66">
        <f t="shared" si="45"/>
        <v>1</v>
      </c>
    </row>
    <row r="1459" spans="1:5" x14ac:dyDescent="0.15">
      <c r="A1459" s="66" t="s">
        <v>3030</v>
      </c>
      <c r="B1459" s="66" t="s">
        <v>3031</v>
      </c>
      <c r="C1459" s="66" t="s">
        <v>874</v>
      </c>
      <c r="D1459" s="66" t="str">
        <f t="shared" si="44"/>
        <v>1473</v>
      </c>
      <c r="E1459" s="66">
        <f t="shared" si="45"/>
        <v>1</v>
      </c>
    </row>
    <row r="1460" spans="1:5" x14ac:dyDescent="0.15">
      <c r="A1460" s="66" t="s">
        <v>3032</v>
      </c>
      <c r="B1460" s="66" t="s">
        <v>3033</v>
      </c>
      <c r="C1460" s="66" t="s">
        <v>245</v>
      </c>
      <c r="D1460" s="66" t="str">
        <f t="shared" si="44"/>
        <v>1474</v>
      </c>
      <c r="E1460" s="66">
        <f t="shared" si="45"/>
        <v>1</v>
      </c>
    </row>
    <row r="1461" spans="1:5" x14ac:dyDescent="0.15">
      <c r="A1461" s="66" t="s">
        <v>3034</v>
      </c>
      <c r="B1461" s="66" t="s">
        <v>3035</v>
      </c>
      <c r="C1461" s="66" t="s">
        <v>79</v>
      </c>
      <c r="D1461" s="66" t="str">
        <f t="shared" si="44"/>
        <v>1475</v>
      </c>
      <c r="E1461" s="66">
        <f t="shared" si="45"/>
        <v>1</v>
      </c>
    </row>
    <row r="1462" spans="1:5" x14ac:dyDescent="0.15">
      <c r="A1462" s="66" t="s">
        <v>3036</v>
      </c>
      <c r="B1462" s="66" t="s">
        <v>3037</v>
      </c>
      <c r="C1462" s="66" t="s">
        <v>874</v>
      </c>
      <c r="D1462" s="66" t="str">
        <f t="shared" si="44"/>
        <v>1476</v>
      </c>
      <c r="E1462" s="66">
        <f t="shared" si="45"/>
        <v>1</v>
      </c>
    </row>
    <row r="1463" spans="1:5" x14ac:dyDescent="0.15">
      <c r="A1463" s="66" t="s">
        <v>3038</v>
      </c>
      <c r="B1463" s="66" t="s">
        <v>3039</v>
      </c>
      <c r="C1463" s="66" t="s">
        <v>101</v>
      </c>
      <c r="D1463" s="66" t="str">
        <f t="shared" si="44"/>
        <v>1477</v>
      </c>
      <c r="E1463" s="66">
        <f t="shared" si="45"/>
        <v>1</v>
      </c>
    </row>
    <row r="1464" spans="1:5" x14ac:dyDescent="0.15">
      <c r="A1464" s="66" t="s">
        <v>3040</v>
      </c>
      <c r="B1464" s="66" t="s">
        <v>3041</v>
      </c>
      <c r="C1464" s="66" t="s">
        <v>75</v>
      </c>
      <c r="D1464" s="66" t="str">
        <f t="shared" si="44"/>
        <v>1478</v>
      </c>
      <c r="E1464" s="66">
        <f t="shared" si="45"/>
        <v>1</v>
      </c>
    </row>
    <row r="1465" spans="1:5" x14ac:dyDescent="0.15">
      <c r="A1465" s="66" t="s">
        <v>3042</v>
      </c>
      <c r="B1465" s="66" t="s">
        <v>3043</v>
      </c>
      <c r="C1465" s="66" t="s">
        <v>101</v>
      </c>
      <c r="D1465" s="66" t="str">
        <f t="shared" si="44"/>
        <v>1479</v>
      </c>
      <c r="E1465" s="66">
        <f t="shared" si="45"/>
        <v>1</v>
      </c>
    </row>
    <row r="1466" spans="1:5" x14ac:dyDescent="0.15">
      <c r="A1466" s="66" t="s">
        <v>3044</v>
      </c>
      <c r="B1466" s="66" t="s">
        <v>3045</v>
      </c>
      <c r="C1466" s="66" t="s">
        <v>75</v>
      </c>
      <c r="D1466" s="66" t="str">
        <f t="shared" si="44"/>
        <v>1480</v>
      </c>
      <c r="E1466" s="66">
        <f t="shared" si="45"/>
        <v>1</v>
      </c>
    </row>
    <row r="1467" spans="1:5" x14ac:dyDescent="0.15">
      <c r="A1467" s="66" t="s">
        <v>3046</v>
      </c>
      <c r="B1467" s="66" t="s">
        <v>3047</v>
      </c>
      <c r="C1467" s="66" t="s">
        <v>75</v>
      </c>
      <c r="D1467" s="66" t="str">
        <f t="shared" si="44"/>
        <v>1481</v>
      </c>
      <c r="E1467" s="66">
        <f t="shared" si="45"/>
        <v>1</v>
      </c>
    </row>
    <row r="1468" spans="1:5" x14ac:dyDescent="0.15">
      <c r="A1468" s="66" t="s">
        <v>3048</v>
      </c>
      <c r="B1468" s="66" t="s">
        <v>3049</v>
      </c>
      <c r="C1468" s="66" t="s">
        <v>75</v>
      </c>
      <c r="D1468" s="66" t="str">
        <f t="shared" si="44"/>
        <v>1482</v>
      </c>
      <c r="E1468" s="66">
        <f t="shared" si="45"/>
        <v>1</v>
      </c>
    </row>
    <row r="1469" spans="1:5" x14ac:dyDescent="0.15">
      <c r="A1469" s="66" t="s">
        <v>3050</v>
      </c>
      <c r="B1469" s="66" t="s">
        <v>3051</v>
      </c>
      <c r="C1469" s="66" t="s">
        <v>75</v>
      </c>
      <c r="D1469" s="66" t="str">
        <f t="shared" si="44"/>
        <v>1483</v>
      </c>
      <c r="E1469" s="66">
        <f t="shared" si="45"/>
        <v>1</v>
      </c>
    </row>
    <row r="1470" spans="1:5" x14ac:dyDescent="0.15">
      <c r="A1470" s="66" t="s">
        <v>3052</v>
      </c>
      <c r="B1470" s="66" t="s">
        <v>3053</v>
      </c>
      <c r="C1470" s="66" t="s">
        <v>340</v>
      </c>
      <c r="D1470" s="66" t="str">
        <f t="shared" si="44"/>
        <v>1484</v>
      </c>
      <c r="E1470" s="66">
        <f t="shared" si="45"/>
        <v>2</v>
      </c>
    </row>
    <row r="1471" spans="1:5" x14ac:dyDescent="0.15">
      <c r="A1471" s="66" t="s">
        <v>3054</v>
      </c>
      <c r="B1471" s="66" t="s">
        <v>3055</v>
      </c>
      <c r="C1471" s="66" t="s">
        <v>79</v>
      </c>
      <c r="D1471" s="66" t="str">
        <f t="shared" si="44"/>
        <v>1485</v>
      </c>
      <c r="E1471" s="66">
        <f t="shared" si="45"/>
        <v>1</v>
      </c>
    </row>
    <row r="1472" spans="1:5" x14ac:dyDescent="0.15">
      <c r="A1472" s="66" t="s">
        <v>3056</v>
      </c>
      <c r="B1472" s="66" t="s">
        <v>3057</v>
      </c>
      <c r="C1472" s="66" t="s">
        <v>874</v>
      </c>
      <c r="D1472" s="66" t="str">
        <f t="shared" si="44"/>
        <v>1486</v>
      </c>
      <c r="E1472" s="66">
        <f t="shared" si="45"/>
        <v>1</v>
      </c>
    </row>
    <row r="1473" spans="1:5" x14ac:dyDescent="0.15">
      <c r="A1473" s="66" t="s">
        <v>3058</v>
      </c>
      <c r="B1473" s="66" t="s">
        <v>571</v>
      </c>
      <c r="C1473" s="66" t="s">
        <v>359</v>
      </c>
      <c r="D1473" s="66" t="str">
        <f t="shared" si="44"/>
        <v>1487</v>
      </c>
      <c r="E1473" s="66">
        <f t="shared" si="45"/>
        <v>2</v>
      </c>
    </row>
    <row r="1474" spans="1:5" x14ac:dyDescent="0.15">
      <c r="A1474" s="66" t="s">
        <v>3059</v>
      </c>
      <c r="B1474" s="66" t="s">
        <v>2453</v>
      </c>
      <c r="C1474" s="66" t="s">
        <v>71</v>
      </c>
      <c r="D1474" s="66" t="str">
        <f t="shared" ref="D1474:D1537" si="46">A1474</f>
        <v>1488</v>
      </c>
      <c r="E1474" s="66">
        <f t="shared" ref="E1474:E1537" si="47">COUNTIFS(B:B,B1474)</f>
        <v>4</v>
      </c>
    </row>
    <row r="1475" spans="1:5" x14ac:dyDescent="0.15">
      <c r="A1475" s="66" t="s">
        <v>3060</v>
      </c>
      <c r="B1475" s="66" t="s">
        <v>3061</v>
      </c>
      <c r="C1475" s="66" t="s">
        <v>359</v>
      </c>
      <c r="D1475" s="66" t="str">
        <f t="shared" si="46"/>
        <v>1489</v>
      </c>
      <c r="E1475" s="66">
        <f t="shared" si="47"/>
        <v>1</v>
      </c>
    </row>
    <row r="1476" spans="1:5" x14ac:dyDescent="0.15">
      <c r="A1476" s="66" t="s">
        <v>3062</v>
      </c>
      <c r="B1476" s="66" t="s">
        <v>3063</v>
      </c>
      <c r="C1476" s="66" t="s">
        <v>133</v>
      </c>
      <c r="D1476" s="66" t="str">
        <f t="shared" si="46"/>
        <v>1490</v>
      </c>
      <c r="E1476" s="66">
        <f t="shared" si="47"/>
        <v>1</v>
      </c>
    </row>
    <row r="1477" spans="1:5" x14ac:dyDescent="0.15">
      <c r="A1477" s="66" t="s">
        <v>3064</v>
      </c>
      <c r="B1477" s="66" t="s">
        <v>3065</v>
      </c>
      <c r="C1477" s="66" t="s">
        <v>101</v>
      </c>
      <c r="D1477" s="66" t="str">
        <f t="shared" si="46"/>
        <v>1491</v>
      </c>
      <c r="E1477" s="66">
        <f t="shared" si="47"/>
        <v>1</v>
      </c>
    </row>
    <row r="1478" spans="1:5" x14ac:dyDescent="0.15">
      <c r="A1478" s="66" t="s">
        <v>3066</v>
      </c>
      <c r="B1478" s="66" t="s">
        <v>3067</v>
      </c>
      <c r="C1478" s="66" t="s">
        <v>101</v>
      </c>
      <c r="D1478" s="66" t="str">
        <f t="shared" si="46"/>
        <v>1492</v>
      </c>
      <c r="E1478" s="66">
        <f t="shared" si="47"/>
        <v>1</v>
      </c>
    </row>
    <row r="1479" spans="1:5" x14ac:dyDescent="0.15">
      <c r="A1479" s="66" t="s">
        <v>3068</v>
      </c>
      <c r="B1479" s="66" t="s">
        <v>3069</v>
      </c>
      <c r="C1479" s="66" t="s">
        <v>245</v>
      </c>
      <c r="D1479" s="66" t="str">
        <f t="shared" si="46"/>
        <v>1493</v>
      </c>
      <c r="E1479" s="66">
        <f t="shared" si="47"/>
        <v>1</v>
      </c>
    </row>
    <row r="1480" spans="1:5" x14ac:dyDescent="0.15">
      <c r="A1480" s="66" t="s">
        <v>3070</v>
      </c>
      <c r="B1480" s="66" t="s">
        <v>3071</v>
      </c>
      <c r="C1480" s="66" t="s">
        <v>79</v>
      </c>
      <c r="D1480" s="66" t="str">
        <f t="shared" si="46"/>
        <v>1494</v>
      </c>
      <c r="E1480" s="66">
        <f t="shared" si="47"/>
        <v>1</v>
      </c>
    </row>
    <row r="1481" spans="1:5" x14ac:dyDescent="0.15">
      <c r="A1481" s="66" t="s">
        <v>3072</v>
      </c>
      <c r="B1481" s="66" t="s">
        <v>3073</v>
      </c>
      <c r="C1481" s="66" t="s">
        <v>359</v>
      </c>
      <c r="D1481" s="66" t="str">
        <f t="shared" si="46"/>
        <v>1495</v>
      </c>
      <c r="E1481" s="66">
        <f t="shared" si="47"/>
        <v>1</v>
      </c>
    </row>
    <row r="1482" spans="1:5" x14ac:dyDescent="0.15">
      <c r="A1482" s="66" t="s">
        <v>3074</v>
      </c>
      <c r="B1482" s="66" t="s">
        <v>3075</v>
      </c>
      <c r="C1482" s="66" t="s">
        <v>101</v>
      </c>
      <c r="D1482" s="66" t="str">
        <f t="shared" si="46"/>
        <v>1496</v>
      </c>
      <c r="E1482" s="66">
        <f t="shared" si="47"/>
        <v>1</v>
      </c>
    </row>
    <row r="1483" spans="1:5" x14ac:dyDescent="0.15">
      <c r="A1483" s="66" t="s">
        <v>3076</v>
      </c>
      <c r="B1483" s="66" t="s">
        <v>3077</v>
      </c>
      <c r="C1483" s="66" t="s">
        <v>359</v>
      </c>
      <c r="D1483" s="66" t="str">
        <f t="shared" si="46"/>
        <v>1497</v>
      </c>
      <c r="E1483" s="66">
        <f t="shared" si="47"/>
        <v>1</v>
      </c>
    </row>
    <row r="1484" spans="1:5" x14ac:dyDescent="0.15">
      <c r="A1484" s="66" t="s">
        <v>3078</v>
      </c>
      <c r="B1484" s="66" t="s">
        <v>3079</v>
      </c>
      <c r="C1484" s="66" t="s">
        <v>86</v>
      </c>
      <c r="D1484" s="66" t="str">
        <f t="shared" si="46"/>
        <v>1498</v>
      </c>
      <c r="E1484" s="66">
        <f t="shared" si="47"/>
        <v>1</v>
      </c>
    </row>
    <row r="1485" spans="1:5" x14ac:dyDescent="0.15">
      <c r="A1485" s="66" t="s">
        <v>3080</v>
      </c>
      <c r="B1485" s="66" t="s">
        <v>3081</v>
      </c>
      <c r="C1485" s="66" t="s">
        <v>359</v>
      </c>
      <c r="D1485" s="66" t="str">
        <f t="shared" si="46"/>
        <v>1499</v>
      </c>
      <c r="E1485" s="66">
        <f t="shared" si="47"/>
        <v>1</v>
      </c>
    </row>
    <row r="1486" spans="1:5" x14ac:dyDescent="0.15">
      <c r="A1486" s="66" t="s">
        <v>3082</v>
      </c>
      <c r="B1486" s="66" t="s">
        <v>3083</v>
      </c>
      <c r="C1486" s="66" t="s">
        <v>340</v>
      </c>
      <c r="D1486" s="66" t="str">
        <f t="shared" si="46"/>
        <v>1500</v>
      </c>
      <c r="E1486" s="66">
        <f t="shared" si="47"/>
        <v>1</v>
      </c>
    </row>
    <row r="1487" spans="1:5" x14ac:dyDescent="0.15">
      <c r="A1487" s="66" t="s">
        <v>3084</v>
      </c>
      <c r="B1487" s="66" t="s">
        <v>3085</v>
      </c>
      <c r="C1487" s="66" t="s">
        <v>79</v>
      </c>
      <c r="D1487" s="66" t="str">
        <f t="shared" si="46"/>
        <v>1501</v>
      </c>
      <c r="E1487" s="66">
        <f t="shared" si="47"/>
        <v>1</v>
      </c>
    </row>
    <row r="1488" spans="1:5" x14ac:dyDescent="0.15">
      <c r="A1488" s="66" t="s">
        <v>3086</v>
      </c>
      <c r="B1488" s="66" t="s">
        <v>3087</v>
      </c>
      <c r="C1488" s="66" t="s">
        <v>86</v>
      </c>
      <c r="D1488" s="66" t="str">
        <f t="shared" si="46"/>
        <v>1502</v>
      </c>
      <c r="E1488" s="66">
        <f t="shared" si="47"/>
        <v>1</v>
      </c>
    </row>
    <row r="1489" spans="1:5" x14ac:dyDescent="0.15">
      <c r="A1489" s="66" t="s">
        <v>3088</v>
      </c>
      <c r="B1489" s="66" t="s">
        <v>3089</v>
      </c>
      <c r="C1489" s="66" t="s">
        <v>359</v>
      </c>
      <c r="D1489" s="66" t="str">
        <f t="shared" si="46"/>
        <v>1503</v>
      </c>
      <c r="E1489" s="66">
        <f t="shared" si="47"/>
        <v>1</v>
      </c>
    </row>
    <row r="1490" spans="1:5" x14ac:dyDescent="0.15">
      <c r="A1490" s="66" t="s">
        <v>3090</v>
      </c>
      <c r="B1490" s="66" t="s">
        <v>3091</v>
      </c>
      <c r="C1490" s="66" t="s">
        <v>359</v>
      </c>
      <c r="D1490" s="66" t="str">
        <f t="shared" si="46"/>
        <v>1504</v>
      </c>
      <c r="E1490" s="66">
        <f t="shared" si="47"/>
        <v>1</v>
      </c>
    </row>
    <row r="1491" spans="1:5" x14ac:dyDescent="0.15">
      <c r="A1491" s="66" t="s">
        <v>3092</v>
      </c>
      <c r="B1491" s="66" t="s">
        <v>3093</v>
      </c>
      <c r="C1491" s="66" t="s">
        <v>359</v>
      </c>
      <c r="D1491" s="66" t="str">
        <f t="shared" si="46"/>
        <v>1505</v>
      </c>
      <c r="E1491" s="66">
        <f t="shared" si="47"/>
        <v>1</v>
      </c>
    </row>
    <row r="1492" spans="1:5" x14ac:dyDescent="0.15">
      <c r="A1492" s="66" t="s">
        <v>3094</v>
      </c>
      <c r="B1492" s="66" t="s">
        <v>3095</v>
      </c>
      <c r="C1492" s="66" t="s">
        <v>101</v>
      </c>
      <c r="D1492" s="66" t="str">
        <f t="shared" si="46"/>
        <v>1506</v>
      </c>
      <c r="E1492" s="66">
        <f t="shared" si="47"/>
        <v>1</v>
      </c>
    </row>
    <row r="1493" spans="1:5" x14ac:dyDescent="0.15">
      <c r="A1493" s="66" t="s">
        <v>3096</v>
      </c>
      <c r="B1493" s="66" t="s">
        <v>3097</v>
      </c>
      <c r="C1493" s="66" t="s">
        <v>359</v>
      </c>
      <c r="D1493" s="66" t="str">
        <f t="shared" si="46"/>
        <v>1507</v>
      </c>
      <c r="E1493" s="66">
        <f t="shared" si="47"/>
        <v>1</v>
      </c>
    </row>
    <row r="1494" spans="1:5" x14ac:dyDescent="0.15">
      <c r="A1494" s="66" t="s">
        <v>3098</v>
      </c>
      <c r="B1494" s="66" t="s">
        <v>3099</v>
      </c>
      <c r="C1494" s="66" t="s">
        <v>874</v>
      </c>
      <c r="D1494" s="66" t="str">
        <f t="shared" si="46"/>
        <v>1508</v>
      </c>
      <c r="E1494" s="66">
        <f t="shared" si="47"/>
        <v>1</v>
      </c>
    </row>
    <row r="1495" spans="1:5" x14ac:dyDescent="0.15">
      <c r="A1495" s="66" t="s">
        <v>3100</v>
      </c>
      <c r="B1495" s="66" t="s">
        <v>3101</v>
      </c>
      <c r="C1495" s="66" t="s">
        <v>874</v>
      </c>
      <c r="D1495" s="66" t="str">
        <f t="shared" si="46"/>
        <v>1509</v>
      </c>
      <c r="E1495" s="66">
        <f t="shared" si="47"/>
        <v>1</v>
      </c>
    </row>
    <row r="1496" spans="1:5" x14ac:dyDescent="0.15">
      <c r="A1496" s="66" t="s">
        <v>3102</v>
      </c>
      <c r="B1496" s="66" t="s">
        <v>3103</v>
      </c>
      <c r="C1496" s="66" t="s">
        <v>813</v>
      </c>
      <c r="D1496" s="66" t="str">
        <f t="shared" si="46"/>
        <v>1510</v>
      </c>
      <c r="E1496" s="66">
        <f t="shared" si="47"/>
        <v>1</v>
      </c>
    </row>
    <row r="1497" spans="1:5" x14ac:dyDescent="0.15">
      <c r="A1497" s="66" t="s">
        <v>3104</v>
      </c>
      <c r="B1497" s="66" t="s">
        <v>3105</v>
      </c>
      <c r="C1497" s="66" t="s">
        <v>140</v>
      </c>
      <c r="D1497" s="66" t="str">
        <f t="shared" si="46"/>
        <v>1511</v>
      </c>
      <c r="E1497" s="66">
        <f t="shared" si="47"/>
        <v>1</v>
      </c>
    </row>
    <row r="1498" spans="1:5" x14ac:dyDescent="0.15">
      <c r="A1498" s="66" t="s">
        <v>3106</v>
      </c>
      <c r="B1498" s="66" t="s">
        <v>3107</v>
      </c>
      <c r="C1498" s="66" t="s">
        <v>75</v>
      </c>
      <c r="D1498" s="66" t="str">
        <f t="shared" si="46"/>
        <v>1512</v>
      </c>
      <c r="E1498" s="66">
        <f t="shared" si="47"/>
        <v>1</v>
      </c>
    </row>
    <row r="1499" spans="1:5" x14ac:dyDescent="0.15">
      <c r="A1499" s="66" t="s">
        <v>3108</v>
      </c>
      <c r="B1499" s="66" t="s">
        <v>3109</v>
      </c>
      <c r="C1499" s="66" t="s">
        <v>79</v>
      </c>
      <c r="D1499" s="66" t="str">
        <f t="shared" si="46"/>
        <v>1513</v>
      </c>
      <c r="E1499" s="66">
        <f t="shared" si="47"/>
        <v>1</v>
      </c>
    </row>
    <row r="1500" spans="1:5" x14ac:dyDescent="0.15">
      <c r="A1500" s="66" t="s">
        <v>3110</v>
      </c>
      <c r="B1500" s="66" t="s">
        <v>3111</v>
      </c>
      <c r="C1500" s="66" t="s">
        <v>874</v>
      </c>
      <c r="D1500" s="66" t="str">
        <f t="shared" si="46"/>
        <v>1514</v>
      </c>
      <c r="E1500" s="66">
        <f t="shared" si="47"/>
        <v>1</v>
      </c>
    </row>
    <row r="1501" spans="1:5" x14ac:dyDescent="0.15">
      <c r="A1501" s="66" t="s">
        <v>3112</v>
      </c>
      <c r="B1501" s="66" t="s">
        <v>3113</v>
      </c>
      <c r="C1501" s="66" t="s">
        <v>436</v>
      </c>
      <c r="D1501" s="66" t="str">
        <f t="shared" si="46"/>
        <v>1515</v>
      </c>
      <c r="E1501" s="66">
        <f t="shared" si="47"/>
        <v>1</v>
      </c>
    </row>
    <row r="1502" spans="1:5" x14ac:dyDescent="0.15">
      <c r="A1502" s="66" t="s">
        <v>3114</v>
      </c>
      <c r="B1502" s="66" t="s">
        <v>3115</v>
      </c>
      <c r="C1502" s="66" t="s">
        <v>268</v>
      </c>
      <c r="D1502" s="66" t="str">
        <f t="shared" si="46"/>
        <v>1516</v>
      </c>
      <c r="E1502" s="66">
        <f t="shared" si="47"/>
        <v>1</v>
      </c>
    </row>
    <row r="1503" spans="1:5" x14ac:dyDescent="0.15">
      <c r="A1503" s="66" t="s">
        <v>3116</v>
      </c>
      <c r="B1503" s="66" t="s">
        <v>3117</v>
      </c>
      <c r="C1503" s="66" t="s">
        <v>86</v>
      </c>
      <c r="D1503" s="66" t="str">
        <f t="shared" si="46"/>
        <v>1517</v>
      </c>
      <c r="E1503" s="66">
        <f t="shared" si="47"/>
        <v>1</v>
      </c>
    </row>
    <row r="1504" spans="1:5" x14ac:dyDescent="0.15">
      <c r="A1504" s="66" t="s">
        <v>3118</v>
      </c>
      <c r="B1504" s="66" t="s">
        <v>3119</v>
      </c>
      <c r="C1504" s="66" t="s">
        <v>133</v>
      </c>
      <c r="D1504" s="66" t="str">
        <f t="shared" si="46"/>
        <v>1518</v>
      </c>
      <c r="E1504" s="66">
        <f t="shared" si="47"/>
        <v>1</v>
      </c>
    </row>
    <row r="1505" spans="1:5" x14ac:dyDescent="0.15">
      <c r="A1505" s="66" t="s">
        <v>3120</v>
      </c>
      <c r="B1505" s="66" t="s">
        <v>3121</v>
      </c>
      <c r="C1505" s="66" t="s">
        <v>385</v>
      </c>
      <c r="D1505" s="66" t="str">
        <f t="shared" si="46"/>
        <v>1519</v>
      </c>
      <c r="E1505" s="66">
        <f t="shared" si="47"/>
        <v>1</v>
      </c>
    </row>
    <row r="1506" spans="1:5" x14ac:dyDescent="0.15">
      <c r="A1506" s="66" t="s">
        <v>3122</v>
      </c>
      <c r="B1506" s="66" t="s">
        <v>3123</v>
      </c>
      <c r="C1506" s="66" t="s">
        <v>101</v>
      </c>
      <c r="D1506" s="66" t="str">
        <f t="shared" si="46"/>
        <v>1520</v>
      </c>
      <c r="E1506" s="66">
        <f t="shared" si="47"/>
        <v>1</v>
      </c>
    </row>
    <row r="1507" spans="1:5" x14ac:dyDescent="0.15">
      <c r="A1507" s="66" t="s">
        <v>3124</v>
      </c>
      <c r="B1507" s="66" t="s">
        <v>3125</v>
      </c>
      <c r="C1507" s="66" t="s">
        <v>101</v>
      </c>
      <c r="D1507" s="66" t="str">
        <f t="shared" si="46"/>
        <v>1521</v>
      </c>
      <c r="E1507" s="66">
        <f t="shared" si="47"/>
        <v>1</v>
      </c>
    </row>
    <row r="1508" spans="1:5" x14ac:dyDescent="0.15">
      <c r="A1508" s="66" t="s">
        <v>3126</v>
      </c>
      <c r="B1508" s="66" t="s">
        <v>3127</v>
      </c>
      <c r="C1508" s="66" t="s">
        <v>71</v>
      </c>
      <c r="D1508" s="66" t="str">
        <f t="shared" si="46"/>
        <v>1522</v>
      </c>
      <c r="E1508" s="66">
        <f t="shared" si="47"/>
        <v>1</v>
      </c>
    </row>
    <row r="1509" spans="1:5" x14ac:dyDescent="0.15">
      <c r="A1509" s="66" t="s">
        <v>3128</v>
      </c>
      <c r="B1509" s="66" t="s">
        <v>3129</v>
      </c>
      <c r="C1509" s="66" t="s">
        <v>424</v>
      </c>
      <c r="D1509" s="66" t="str">
        <f t="shared" si="46"/>
        <v>1523</v>
      </c>
      <c r="E1509" s="66">
        <f t="shared" si="47"/>
        <v>1</v>
      </c>
    </row>
    <row r="1510" spans="1:5" x14ac:dyDescent="0.15">
      <c r="A1510" s="66" t="s">
        <v>3130</v>
      </c>
      <c r="B1510" s="66" t="s">
        <v>3131</v>
      </c>
      <c r="C1510" s="66" t="s">
        <v>245</v>
      </c>
      <c r="D1510" s="66" t="str">
        <f t="shared" si="46"/>
        <v>1524</v>
      </c>
      <c r="E1510" s="66">
        <f t="shared" si="47"/>
        <v>1</v>
      </c>
    </row>
    <row r="1511" spans="1:5" x14ac:dyDescent="0.15">
      <c r="A1511" s="66" t="s">
        <v>3132</v>
      </c>
      <c r="B1511" s="66" t="s">
        <v>3133</v>
      </c>
      <c r="C1511" s="66" t="s">
        <v>140</v>
      </c>
      <c r="D1511" s="66" t="str">
        <f t="shared" si="46"/>
        <v>1525</v>
      </c>
      <c r="E1511" s="66">
        <f t="shared" si="47"/>
        <v>1</v>
      </c>
    </row>
    <row r="1512" spans="1:5" x14ac:dyDescent="0.15">
      <c r="A1512" s="66" t="s">
        <v>3134</v>
      </c>
      <c r="B1512" s="66" t="s">
        <v>3135</v>
      </c>
      <c r="C1512" s="66" t="s">
        <v>79</v>
      </c>
      <c r="D1512" s="66" t="str">
        <f t="shared" si="46"/>
        <v>1526</v>
      </c>
      <c r="E1512" s="66">
        <f t="shared" si="47"/>
        <v>1</v>
      </c>
    </row>
    <row r="1513" spans="1:5" x14ac:dyDescent="0.15">
      <c r="A1513" s="66" t="s">
        <v>3136</v>
      </c>
      <c r="B1513" s="66" t="s">
        <v>3137</v>
      </c>
      <c r="C1513" s="66" t="s">
        <v>67</v>
      </c>
      <c r="D1513" s="66" t="str">
        <f t="shared" si="46"/>
        <v>1527</v>
      </c>
      <c r="E1513" s="66">
        <f t="shared" si="47"/>
        <v>1</v>
      </c>
    </row>
    <row r="1514" spans="1:5" x14ac:dyDescent="0.15">
      <c r="A1514" s="66" t="s">
        <v>3138</v>
      </c>
      <c r="B1514" s="66" t="s">
        <v>3139</v>
      </c>
      <c r="C1514" s="66" t="s">
        <v>101</v>
      </c>
      <c r="D1514" s="66" t="str">
        <f t="shared" si="46"/>
        <v>1528</v>
      </c>
      <c r="E1514" s="66">
        <f t="shared" si="47"/>
        <v>1</v>
      </c>
    </row>
    <row r="1515" spans="1:5" x14ac:dyDescent="0.15">
      <c r="A1515" s="66" t="s">
        <v>3140</v>
      </c>
      <c r="B1515" s="66" t="s">
        <v>3141</v>
      </c>
      <c r="C1515" s="66" t="s">
        <v>86</v>
      </c>
      <c r="D1515" s="66" t="str">
        <f t="shared" si="46"/>
        <v>1529</v>
      </c>
      <c r="E1515" s="66">
        <f t="shared" si="47"/>
        <v>1</v>
      </c>
    </row>
    <row r="1516" spans="1:5" x14ac:dyDescent="0.15">
      <c r="A1516" s="66" t="s">
        <v>3142</v>
      </c>
      <c r="B1516" s="66" t="s">
        <v>3143</v>
      </c>
      <c r="C1516" s="66" t="s">
        <v>874</v>
      </c>
      <c r="D1516" s="66" t="str">
        <f t="shared" si="46"/>
        <v>1530</v>
      </c>
      <c r="E1516" s="66">
        <f t="shared" si="47"/>
        <v>1</v>
      </c>
    </row>
    <row r="1517" spans="1:5" x14ac:dyDescent="0.15">
      <c r="A1517" s="66" t="s">
        <v>3144</v>
      </c>
      <c r="B1517" s="66" t="s">
        <v>3145</v>
      </c>
      <c r="C1517" s="66" t="s">
        <v>140</v>
      </c>
      <c r="D1517" s="66" t="str">
        <f t="shared" si="46"/>
        <v>1531</v>
      </c>
      <c r="E1517" s="66">
        <f t="shared" si="47"/>
        <v>1</v>
      </c>
    </row>
    <row r="1518" spans="1:5" x14ac:dyDescent="0.15">
      <c r="A1518" s="66" t="s">
        <v>3146</v>
      </c>
      <c r="B1518" s="66" t="s">
        <v>3147</v>
      </c>
      <c r="C1518" s="66" t="s">
        <v>86</v>
      </c>
      <c r="D1518" s="66" t="str">
        <f t="shared" si="46"/>
        <v>1532</v>
      </c>
      <c r="E1518" s="66">
        <f t="shared" si="47"/>
        <v>1</v>
      </c>
    </row>
    <row r="1519" spans="1:5" x14ac:dyDescent="0.15">
      <c r="A1519" s="66" t="s">
        <v>3148</v>
      </c>
      <c r="B1519" s="66" t="s">
        <v>3149</v>
      </c>
      <c r="C1519" s="66" t="s">
        <v>75</v>
      </c>
      <c r="D1519" s="66" t="str">
        <f t="shared" si="46"/>
        <v>1533</v>
      </c>
      <c r="E1519" s="66">
        <f t="shared" si="47"/>
        <v>1</v>
      </c>
    </row>
    <row r="1520" spans="1:5" x14ac:dyDescent="0.15">
      <c r="A1520" s="66" t="s">
        <v>3150</v>
      </c>
      <c r="B1520" s="66" t="s">
        <v>3151</v>
      </c>
      <c r="C1520" s="66" t="s">
        <v>86</v>
      </c>
      <c r="D1520" s="66" t="str">
        <f t="shared" si="46"/>
        <v>1534</v>
      </c>
      <c r="E1520" s="66">
        <f t="shared" si="47"/>
        <v>1</v>
      </c>
    </row>
    <row r="1521" spans="1:5" x14ac:dyDescent="0.15">
      <c r="A1521" s="66" t="s">
        <v>3152</v>
      </c>
      <c r="B1521" s="66" t="s">
        <v>3153</v>
      </c>
      <c r="C1521" s="66" t="s">
        <v>86</v>
      </c>
      <c r="D1521" s="66" t="str">
        <f t="shared" si="46"/>
        <v>1535</v>
      </c>
      <c r="E1521" s="66">
        <f t="shared" si="47"/>
        <v>1</v>
      </c>
    </row>
    <row r="1522" spans="1:5" x14ac:dyDescent="0.15">
      <c r="A1522" s="66" t="s">
        <v>3154</v>
      </c>
      <c r="B1522" s="66" t="s">
        <v>3155</v>
      </c>
      <c r="C1522" s="66" t="s">
        <v>86</v>
      </c>
      <c r="D1522" s="66" t="str">
        <f t="shared" si="46"/>
        <v>1536</v>
      </c>
      <c r="E1522" s="66">
        <f t="shared" si="47"/>
        <v>1</v>
      </c>
    </row>
    <row r="1523" spans="1:5" x14ac:dyDescent="0.15">
      <c r="A1523" s="66" t="s">
        <v>3156</v>
      </c>
      <c r="B1523" s="66" t="s">
        <v>3157</v>
      </c>
      <c r="C1523" s="66" t="s">
        <v>359</v>
      </c>
      <c r="D1523" s="66" t="str">
        <f t="shared" si="46"/>
        <v>1537</v>
      </c>
      <c r="E1523" s="66">
        <f t="shared" si="47"/>
        <v>1</v>
      </c>
    </row>
    <row r="1524" spans="1:5" x14ac:dyDescent="0.15">
      <c r="A1524" s="66" t="s">
        <v>3158</v>
      </c>
      <c r="B1524" s="66" t="s">
        <v>3159</v>
      </c>
      <c r="C1524" s="66" t="s">
        <v>86</v>
      </c>
      <c r="D1524" s="66" t="str">
        <f t="shared" si="46"/>
        <v>1538</v>
      </c>
      <c r="E1524" s="66">
        <f t="shared" si="47"/>
        <v>1</v>
      </c>
    </row>
    <row r="1525" spans="1:5" x14ac:dyDescent="0.15">
      <c r="A1525" s="66" t="s">
        <v>3160</v>
      </c>
      <c r="B1525" s="66" t="s">
        <v>3161</v>
      </c>
      <c r="C1525" s="66" t="s">
        <v>101</v>
      </c>
      <c r="D1525" s="66" t="str">
        <f t="shared" si="46"/>
        <v>1539</v>
      </c>
      <c r="E1525" s="66">
        <f t="shared" si="47"/>
        <v>1</v>
      </c>
    </row>
    <row r="1526" spans="1:5" x14ac:dyDescent="0.15">
      <c r="A1526" s="66" t="s">
        <v>3162</v>
      </c>
      <c r="B1526" s="66" t="s">
        <v>3163</v>
      </c>
      <c r="C1526" s="66" t="s">
        <v>245</v>
      </c>
      <c r="D1526" s="66" t="str">
        <f t="shared" si="46"/>
        <v>1540</v>
      </c>
      <c r="E1526" s="66">
        <f t="shared" si="47"/>
        <v>1</v>
      </c>
    </row>
    <row r="1527" spans="1:5" x14ac:dyDescent="0.15">
      <c r="A1527" s="66" t="s">
        <v>3164</v>
      </c>
      <c r="B1527" s="66" t="s">
        <v>3165</v>
      </c>
      <c r="C1527" s="66" t="s">
        <v>86</v>
      </c>
      <c r="D1527" s="66" t="str">
        <f t="shared" si="46"/>
        <v>1541</v>
      </c>
      <c r="E1527" s="66">
        <f t="shared" si="47"/>
        <v>1</v>
      </c>
    </row>
    <row r="1528" spans="1:5" x14ac:dyDescent="0.15">
      <c r="A1528" s="66" t="s">
        <v>3166</v>
      </c>
      <c r="B1528" s="66" t="s">
        <v>3167</v>
      </c>
      <c r="C1528" s="66" t="s">
        <v>67</v>
      </c>
      <c r="D1528" s="66" t="str">
        <f t="shared" si="46"/>
        <v>1542</v>
      </c>
      <c r="E1528" s="66">
        <f t="shared" si="47"/>
        <v>1</v>
      </c>
    </row>
    <row r="1529" spans="1:5" x14ac:dyDescent="0.15">
      <c r="A1529" s="66" t="s">
        <v>3168</v>
      </c>
      <c r="B1529" s="66" t="s">
        <v>3169</v>
      </c>
      <c r="C1529" s="66" t="s">
        <v>79</v>
      </c>
      <c r="D1529" s="66" t="str">
        <f t="shared" si="46"/>
        <v>1543</v>
      </c>
      <c r="E1529" s="66">
        <f t="shared" si="47"/>
        <v>1</v>
      </c>
    </row>
    <row r="1530" spans="1:5" x14ac:dyDescent="0.15">
      <c r="A1530" s="66" t="s">
        <v>3170</v>
      </c>
      <c r="B1530" s="66" t="s">
        <v>3171</v>
      </c>
      <c r="C1530" s="66" t="s">
        <v>79</v>
      </c>
      <c r="D1530" s="66" t="str">
        <f t="shared" si="46"/>
        <v>1544</v>
      </c>
      <c r="E1530" s="66">
        <f t="shared" si="47"/>
        <v>1</v>
      </c>
    </row>
    <row r="1531" spans="1:5" x14ac:dyDescent="0.15">
      <c r="A1531" s="66" t="s">
        <v>3172</v>
      </c>
      <c r="B1531" s="66" t="s">
        <v>3173</v>
      </c>
      <c r="C1531" s="66" t="s">
        <v>359</v>
      </c>
      <c r="D1531" s="66" t="str">
        <f t="shared" si="46"/>
        <v>1545</v>
      </c>
      <c r="E1531" s="66">
        <f t="shared" si="47"/>
        <v>1</v>
      </c>
    </row>
    <row r="1532" spans="1:5" x14ac:dyDescent="0.15">
      <c r="A1532" s="66" t="s">
        <v>3174</v>
      </c>
      <c r="B1532" s="66" t="s">
        <v>3175</v>
      </c>
      <c r="C1532" s="66" t="s">
        <v>359</v>
      </c>
      <c r="D1532" s="66" t="str">
        <f t="shared" si="46"/>
        <v>1546</v>
      </c>
      <c r="E1532" s="66">
        <f t="shared" si="47"/>
        <v>1</v>
      </c>
    </row>
    <row r="1533" spans="1:5" x14ac:dyDescent="0.15">
      <c r="A1533" s="66" t="s">
        <v>3176</v>
      </c>
      <c r="B1533" s="66" t="s">
        <v>3177</v>
      </c>
      <c r="C1533" s="66" t="s">
        <v>67</v>
      </c>
      <c r="D1533" s="66" t="str">
        <f t="shared" si="46"/>
        <v>1547</v>
      </c>
      <c r="E1533" s="66">
        <f t="shared" si="47"/>
        <v>1</v>
      </c>
    </row>
    <row r="1534" spans="1:5" x14ac:dyDescent="0.15">
      <c r="A1534" s="66" t="s">
        <v>3178</v>
      </c>
      <c r="B1534" s="66" t="s">
        <v>3179</v>
      </c>
      <c r="C1534" s="66" t="s">
        <v>467</v>
      </c>
      <c r="D1534" s="66" t="str">
        <f t="shared" si="46"/>
        <v>1548</v>
      </c>
      <c r="E1534" s="66">
        <f t="shared" si="47"/>
        <v>1</v>
      </c>
    </row>
    <row r="1535" spans="1:5" x14ac:dyDescent="0.15">
      <c r="A1535" s="66" t="s">
        <v>3180</v>
      </c>
      <c r="B1535" s="66" t="s">
        <v>3181</v>
      </c>
      <c r="C1535" s="66" t="s">
        <v>874</v>
      </c>
      <c r="D1535" s="66" t="str">
        <f t="shared" si="46"/>
        <v>1549</v>
      </c>
      <c r="E1535" s="66">
        <f t="shared" si="47"/>
        <v>1</v>
      </c>
    </row>
    <row r="1536" spans="1:5" x14ac:dyDescent="0.15">
      <c r="A1536" s="66" t="s">
        <v>3182</v>
      </c>
      <c r="B1536" s="66" t="s">
        <v>3183</v>
      </c>
      <c r="C1536" s="66" t="s">
        <v>131</v>
      </c>
      <c r="D1536" s="66" t="str">
        <f t="shared" si="46"/>
        <v>1550</v>
      </c>
      <c r="E1536" s="66">
        <f t="shared" si="47"/>
        <v>1</v>
      </c>
    </row>
    <row r="1537" spans="1:5" x14ac:dyDescent="0.15">
      <c r="A1537" s="66" t="s">
        <v>3184</v>
      </c>
      <c r="B1537" s="66" t="s">
        <v>3185</v>
      </c>
      <c r="C1537" s="66" t="s">
        <v>874</v>
      </c>
      <c r="D1537" s="66" t="str">
        <f t="shared" si="46"/>
        <v>1551</v>
      </c>
      <c r="E1537" s="66">
        <f t="shared" si="47"/>
        <v>1</v>
      </c>
    </row>
    <row r="1538" spans="1:5" x14ac:dyDescent="0.15">
      <c r="A1538" s="66" t="s">
        <v>3186</v>
      </c>
      <c r="B1538" s="66" t="s">
        <v>3187</v>
      </c>
      <c r="C1538" s="66" t="s">
        <v>133</v>
      </c>
      <c r="D1538" s="66" t="str">
        <f t="shared" ref="D1538:D1601" si="48">A1538</f>
        <v>1552</v>
      </c>
      <c r="E1538" s="66">
        <f t="shared" ref="E1538:E1601" si="49">COUNTIFS(B:B,B1538)</f>
        <v>1</v>
      </c>
    </row>
    <row r="1539" spans="1:5" x14ac:dyDescent="0.15">
      <c r="A1539" s="66" t="s">
        <v>3188</v>
      </c>
      <c r="B1539" s="66" t="s">
        <v>3189</v>
      </c>
      <c r="C1539" s="66" t="s">
        <v>277</v>
      </c>
      <c r="D1539" s="66" t="str">
        <f t="shared" si="48"/>
        <v>1553</v>
      </c>
      <c r="E1539" s="66">
        <f t="shared" si="49"/>
        <v>1</v>
      </c>
    </row>
    <row r="1540" spans="1:5" x14ac:dyDescent="0.15">
      <c r="A1540" s="66" t="s">
        <v>3190</v>
      </c>
      <c r="B1540" s="66" t="s">
        <v>3191</v>
      </c>
      <c r="C1540" s="66" t="s">
        <v>133</v>
      </c>
      <c r="D1540" s="66" t="str">
        <f t="shared" si="48"/>
        <v>1554</v>
      </c>
      <c r="E1540" s="66">
        <f t="shared" si="49"/>
        <v>1</v>
      </c>
    </row>
    <row r="1541" spans="1:5" x14ac:dyDescent="0.15">
      <c r="A1541" s="66" t="s">
        <v>3192</v>
      </c>
      <c r="B1541" s="66" t="s">
        <v>3193</v>
      </c>
      <c r="C1541" s="66" t="s">
        <v>133</v>
      </c>
      <c r="D1541" s="66" t="str">
        <f t="shared" si="48"/>
        <v>1555</v>
      </c>
      <c r="E1541" s="66">
        <f t="shared" si="49"/>
        <v>1</v>
      </c>
    </row>
    <row r="1542" spans="1:5" x14ac:dyDescent="0.15">
      <c r="A1542" s="66" t="s">
        <v>3194</v>
      </c>
      <c r="B1542" s="66" t="s">
        <v>3195</v>
      </c>
      <c r="C1542" s="66" t="s">
        <v>359</v>
      </c>
      <c r="D1542" s="66" t="str">
        <f t="shared" si="48"/>
        <v>1556</v>
      </c>
      <c r="E1542" s="66">
        <f t="shared" si="49"/>
        <v>1</v>
      </c>
    </row>
    <row r="1543" spans="1:5" x14ac:dyDescent="0.15">
      <c r="A1543" s="66" t="s">
        <v>3196</v>
      </c>
      <c r="B1543" s="66" t="s">
        <v>3197</v>
      </c>
      <c r="C1543" s="66" t="s">
        <v>359</v>
      </c>
      <c r="D1543" s="66" t="str">
        <f t="shared" si="48"/>
        <v>1557</v>
      </c>
      <c r="E1543" s="66">
        <f t="shared" si="49"/>
        <v>1</v>
      </c>
    </row>
    <row r="1544" spans="1:5" x14ac:dyDescent="0.15">
      <c r="A1544" s="66" t="s">
        <v>3198</v>
      </c>
      <c r="B1544" s="66" t="s">
        <v>3199</v>
      </c>
      <c r="C1544" s="66" t="s">
        <v>359</v>
      </c>
      <c r="D1544" s="66" t="str">
        <f t="shared" si="48"/>
        <v>1558</v>
      </c>
      <c r="E1544" s="66">
        <f t="shared" si="49"/>
        <v>1</v>
      </c>
    </row>
    <row r="1545" spans="1:5" x14ac:dyDescent="0.15">
      <c r="A1545" s="66" t="s">
        <v>3200</v>
      </c>
      <c r="B1545" s="66" t="s">
        <v>3201</v>
      </c>
      <c r="C1545" s="66" t="s">
        <v>874</v>
      </c>
      <c r="D1545" s="66" t="str">
        <f t="shared" si="48"/>
        <v>1559</v>
      </c>
      <c r="E1545" s="66">
        <f t="shared" si="49"/>
        <v>1</v>
      </c>
    </row>
    <row r="1546" spans="1:5" x14ac:dyDescent="0.15">
      <c r="A1546" s="66" t="s">
        <v>3202</v>
      </c>
      <c r="B1546" s="66" t="s">
        <v>3203</v>
      </c>
      <c r="C1546" s="66" t="s">
        <v>101</v>
      </c>
      <c r="D1546" s="66" t="str">
        <f t="shared" si="48"/>
        <v>1560</v>
      </c>
      <c r="E1546" s="66">
        <f t="shared" si="49"/>
        <v>1</v>
      </c>
    </row>
    <row r="1547" spans="1:5" x14ac:dyDescent="0.15">
      <c r="A1547" s="66" t="s">
        <v>3204</v>
      </c>
      <c r="B1547" s="66" t="s">
        <v>3205</v>
      </c>
      <c r="C1547" s="66" t="s">
        <v>101</v>
      </c>
      <c r="D1547" s="66" t="str">
        <f t="shared" si="48"/>
        <v>1561</v>
      </c>
      <c r="E1547" s="66">
        <f t="shared" si="49"/>
        <v>1</v>
      </c>
    </row>
    <row r="1548" spans="1:5" x14ac:dyDescent="0.15">
      <c r="A1548" s="66" t="s">
        <v>3206</v>
      </c>
      <c r="B1548" s="66" t="s">
        <v>3207</v>
      </c>
      <c r="C1548" s="66" t="s">
        <v>874</v>
      </c>
      <c r="D1548" s="66" t="str">
        <f t="shared" si="48"/>
        <v>1562</v>
      </c>
      <c r="E1548" s="66">
        <f t="shared" si="49"/>
        <v>1</v>
      </c>
    </row>
    <row r="1549" spans="1:5" x14ac:dyDescent="0.15">
      <c r="A1549" s="66" t="s">
        <v>3208</v>
      </c>
      <c r="B1549" s="66" t="s">
        <v>3209</v>
      </c>
      <c r="C1549" s="66" t="s">
        <v>359</v>
      </c>
      <c r="D1549" s="66" t="str">
        <f t="shared" si="48"/>
        <v>1563</v>
      </c>
      <c r="E1549" s="66">
        <f t="shared" si="49"/>
        <v>1</v>
      </c>
    </row>
    <row r="1550" spans="1:5" x14ac:dyDescent="0.15">
      <c r="A1550" s="66" t="s">
        <v>3210</v>
      </c>
      <c r="B1550" s="66" t="s">
        <v>3211</v>
      </c>
      <c r="C1550" s="66" t="s">
        <v>131</v>
      </c>
      <c r="D1550" s="66" t="str">
        <f t="shared" si="48"/>
        <v>1564</v>
      </c>
      <c r="E1550" s="66">
        <f t="shared" si="49"/>
        <v>1</v>
      </c>
    </row>
    <row r="1551" spans="1:5" x14ac:dyDescent="0.15">
      <c r="A1551" s="66" t="s">
        <v>3212</v>
      </c>
      <c r="B1551" s="66" t="s">
        <v>3213</v>
      </c>
      <c r="C1551" s="66" t="s">
        <v>359</v>
      </c>
      <c r="D1551" s="66" t="str">
        <f t="shared" si="48"/>
        <v>1565</v>
      </c>
      <c r="E1551" s="66">
        <f t="shared" si="49"/>
        <v>1</v>
      </c>
    </row>
    <row r="1552" spans="1:5" x14ac:dyDescent="0.15">
      <c r="A1552" s="66" t="s">
        <v>3214</v>
      </c>
      <c r="B1552" s="66" t="s">
        <v>3215</v>
      </c>
      <c r="C1552" s="66" t="s">
        <v>245</v>
      </c>
      <c r="D1552" s="66" t="str">
        <f t="shared" si="48"/>
        <v>1566</v>
      </c>
      <c r="E1552" s="66">
        <f t="shared" si="49"/>
        <v>1</v>
      </c>
    </row>
    <row r="1553" spans="1:5" x14ac:dyDescent="0.15">
      <c r="A1553" s="66" t="s">
        <v>3216</v>
      </c>
      <c r="B1553" s="66" t="s">
        <v>3217</v>
      </c>
      <c r="C1553" s="66" t="s">
        <v>133</v>
      </c>
      <c r="D1553" s="66" t="str">
        <f t="shared" si="48"/>
        <v>1567</v>
      </c>
      <c r="E1553" s="66">
        <f t="shared" si="49"/>
        <v>1</v>
      </c>
    </row>
    <row r="1554" spans="1:5" x14ac:dyDescent="0.15">
      <c r="A1554" s="66" t="s">
        <v>3218</v>
      </c>
      <c r="B1554" s="66" t="s">
        <v>3219</v>
      </c>
      <c r="C1554" s="66" t="s">
        <v>79</v>
      </c>
      <c r="D1554" s="66" t="str">
        <f t="shared" si="48"/>
        <v>1568</v>
      </c>
      <c r="E1554" s="66">
        <f t="shared" si="49"/>
        <v>1</v>
      </c>
    </row>
    <row r="1555" spans="1:5" x14ac:dyDescent="0.15">
      <c r="A1555" s="66" t="s">
        <v>3220</v>
      </c>
      <c r="B1555" s="66" t="s">
        <v>3221</v>
      </c>
      <c r="C1555" s="66" t="s">
        <v>268</v>
      </c>
      <c r="D1555" s="66" t="str">
        <f t="shared" si="48"/>
        <v>1569</v>
      </c>
      <c r="E1555" s="66">
        <f t="shared" si="49"/>
        <v>1</v>
      </c>
    </row>
    <row r="1556" spans="1:5" x14ac:dyDescent="0.15">
      <c r="A1556" s="66" t="s">
        <v>3222</v>
      </c>
      <c r="B1556" s="66" t="s">
        <v>3223</v>
      </c>
      <c r="C1556" s="66" t="s">
        <v>874</v>
      </c>
      <c r="D1556" s="66" t="str">
        <f t="shared" si="48"/>
        <v>1570</v>
      </c>
      <c r="E1556" s="66">
        <f t="shared" si="49"/>
        <v>1</v>
      </c>
    </row>
    <row r="1557" spans="1:5" x14ac:dyDescent="0.15">
      <c r="A1557" s="66" t="s">
        <v>3224</v>
      </c>
      <c r="B1557" s="66" t="s">
        <v>3225</v>
      </c>
      <c r="C1557" s="66" t="s">
        <v>424</v>
      </c>
      <c r="D1557" s="66" t="str">
        <f t="shared" si="48"/>
        <v>1571</v>
      </c>
      <c r="E1557" s="66">
        <f t="shared" si="49"/>
        <v>1</v>
      </c>
    </row>
    <row r="1558" spans="1:5" x14ac:dyDescent="0.15">
      <c r="A1558" s="66" t="s">
        <v>3226</v>
      </c>
      <c r="B1558" s="66" t="s">
        <v>3227</v>
      </c>
      <c r="C1558" s="66" t="s">
        <v>133</v>
      </c>
      <c r="D1558" s="66" t="str">
        <f t="shared" si="48"/>
        <v>1572</v>
      </c>
      <c r="E1558" s="66">
        <f t="shared" si="49"/>
        <v>1</v>
      </c>
    </row>
    <row r="1559" spans="1:5" x14ac:dyDescent="0.15">
      <c r="A1559" s="66" t="s">
        <v>3228</v>
      </c>
      <c r="B1559" s="66" t="s">
        <v>3229</v>
      </c>
      <c r="C1559" s="66" t="s">
        <v>359</v>
      </c>
      <c r="D1559" s="66" t="str">
        <f t="shared" si="48"/>
        <v>1573</v>
      </c>
      <c r="E1559" s="66">
        <f t="shared" si="49"/>
        <v>1</v>
      </c>
    </row>
    <row r="1560" spans="1:5" x14ac:dyDescent="0.15">
      <c r="A1560" s="66" t="s">
        <v>3230</v>
      </c>
      <c r="B1560" s="66" t="s">
        <v>3231</v>
      </c>
      <c r="C1560" s="66" t="s">
        <v>359</v>
      </c>
      <c r="D1560" s="66" t="str">
        <f t="shared" si="48"/>
        <v>1574</v>
      </c>
      <c r="E1560" s="66">
        <f t="shared" si="49"/>
        <v>1</v>
      </c>
    </row>
    <row r="1561" spans="1:5" x14ac:dyDescent="0.15">
      <c r="A1561" s="66" t="s">
        <v>3232</v>
      </c>
      <c r="B1561" s="66" t="s">
        <v>3233</v>
      </c>
      <c r="C1561" s="66" t="s">
        <v>79</v>
      </c>
      <c r="D1561" s="66" t="str">
        <f t="shared" si="48"/>
        <v>1575</v>
      </c>
      <c r="E1561" s="66">
        <f t="shared" si="49"/>
        <v>2</v>
      </c>
    </row>
    <row r="1562" spans="1:5" x14ac:dyDescent="0.15">
      <c r="A1562" s="66" t="s">
        <v>3234</v>
      </c>
      <c r="B1562" s="66" t="s">
        <v>3235</v>
      </c>
      <c r="C1562" s="66" t="s">
        <v>140</v>
      </c>
      <c r="D1562" s="66" t="str">
        <f t="shared" si="48"/>
        <v>1576</v>
      </c>
      <c r="E1562" s="66">
        <f t="shared" si="49"/>
        <v>1</v>
      </c>
    </row>
    <row r="1563" spans="1:5" x14ac:dyDescent="0.15">
      <c r="A1563" s="66" t="s">
        <v>3236</v>
      </c>
      <c r="B1563" s="66" t="s">
        <v>3237</v>
      </c>
      <c r="C1563" s="66" t="s">
        <v>436</v>
      </c>
      <c r="D1563" s="66" t="str">
        <f t="shared" si="48"/>
        <v>1577</v>
      </c>
      <c r="E1563" s="66">
        <f t="shared" si="49"/>
        <v>1</v>
      </c>
    </row>
    <row r="1564" spans="1:5" x14ac:dyDescent="0.15">
      <c r="A1564" s="66" t="s">
        <v>3238</v>
      </c>
      <c r="B1564" s="66" t="s">
        <v>3239</v>
      </c>
      <c r="C1564" s="66" t="s">
        <v>133</v>
      </c>
      <c r="D1564" s="66" t="str">
        <f t="shared" si="48"/>
        <v>1578</v>
      </c>
      <c r="E1564" s="66">
        <f t="shared" si="49"/>
        <v>1</v>
      </c>
    </row>
    <row r="1565" spans="1:5" x14ac:dyDescent="0.15">
      <c r="A1565" s="66" t="s">
        <v>3240</v>
      </c>
      <c r="B1565" s="66" t="s">
        <v>3241</v>
      </c>
      <c r="C1565" s="66" t="s">
        <v>133</v>
      </c>
      <c r="D1565" s="66" t="str">
        <f t="shared" si="48"/>
        <v>1579</v>
      </c>
      <c r="E1565" s="66">
        <f t="shared" si="49"/>
        <v>1</v>
      </c>
    </row>
    <row r="1566" spans="1:5" x14ac:dyDescent="0.15">
      <c r="A1566" s="66" t="s">
        <v>3242</v>
      </c>
      <c r="B1566" s="66" t="s">
        <v>3243</v>
      </c>
      <c r="C1566" s="66" t="s">
        <v>359</v>
      </c>
      <c r="D1566" s="66" t="str">
        <f t="shared" si="48"/>
        <v>1580</v>
      </c>
      <c r="E1566" s="66">
        <f t="shared" si="49"/>
        <v>1</v>
      </c>
    </row>
    <row r="1567" spans="1:5" x14ac:dyDescent="0.15">
      <c r="A1567" s="66" t="s">
        <v>3244</v>
      </c>
      <c r="B1567" s="66" t="s">
        <v>3245</v>
      </c>
      <c r="C1567" s="66" t="s">
        <v>359</v>
      </c>
      <c r="D1567" s="66" t="str">
        <f t="shared" si="48"/>
        <v>1581</v>
      </c>
      <c r="E1567" s="66">
        <f t="shared" si="49"/>
        <v>1</v>
      </c>
    </row>
    <row r="1568" spans="1:5" x14ac:dyDescent="0.15">
      <c r="A1568" s="66" t="s">
        <v>3246</v>
      </c>
      <c r="B1568" s="66" t="s">
        <v>3247</v>
      </c>
      <c r="C1568" s="66" t="s">
        <v>359</v>
      </c>
      <c r="D1568" s="66" t="str">
        <f t="shared" si="48"/>
        <v>1582</v>
      </c>
      <c r="E1568" s="66">
        <f t="shared" si="49"/>
        <v>1</v>
      </c>
    </row>
    <row r="1569" spans="1:5" x14ac:dyDescent="0.15">
      <c r="A1569" s="66" t="s">
        <v>3248</v>
      </c>
      <c r="B1569" s="66" t="s">
        <v>3249</v>
      </c>
      <c r="C1569" s="66" t="s">
        <v>140</v>
      </c>
      <c r="D1569" s="66" t="str">
        <f t="shared" si="48"/>
        <v>1583</v>
      </c>
      <c r="E1569" s="66">
        <f t="shared" si="49"/>
        <v>1</v>
      </c>
    </row>
    <row r="1570" spans="1:5" x14ac:dyDescent="0.15">
      <c r="A1570" s="66" t="s">
        <v>3250</v>
      </c>
      <c r="B1570" s="66" t="s">
        <v>3251</v>
      </c>
      <c r="C1570" s="66" t="s">
        <v>101</v>
      </c>
      <c r="D1570" s="66" t="str">
        <f t="shared" si="48"/>
        <v>1584</v>
      </c>
      <c r="E1570" s="66">
        <f t="shared" si="49"/>
        <v>1</v>
      </c>
    </row>
    <row r="1571" spans="1:5" x14ac:dyDescent="0.15">
      <c r="A1571" s="66" t="s">
        <v>3252</v>
      </c>
      <c r="B1571" s="66" t="s">
        <v>3253</v>
      </c>
      <c r="C1571" s="66" t="s">
        <v>359</v>
      </c>
      <c r="D1571" s="66" t="str">
        <f t="shared" si="48"/>
        <v>1585</v>
      </c>
      <c r="E1571" s="66">
        <f t="shared" si="49"/>
        <v>1</v>
      </c>
    </row>
    <row r="1572" spans="1:5" x14ac:dyDescent="0.15">
      <c r="A1572" s="66" t="s">
        <v>3254</v>
      </c>
      <c r="B1572" s="66" t="s">
        <v>3255</v>
      </c>
      <c r="C1572" s="66" t="s">
        <v>359</v>
      </c>
      <c r="D1572" s="66" t="str">
        <f t="shared" si="48"/>
        <v>1586</v>
      </c>
      <c r="E1572" s="66">
        <f t="shared" si="49"/>
        <v>1</v>
      </c>
    </row>
    <row r="1573" spans="1:5" x14ac:dyDescent="0.15">
      <c r="A1573" s="66" t="s">
        <v>3256</v>
      </c>
      <c r="B1573" s="66" t="s">
        <v>3257</v>
      </c>
      <c r="C1573" s="66" t="s">
        <v>874</v>
      </c>
      <c r="D1573" s="66" t="str">
        <f t="shared" si="48"/>
        <v>1587</v>
      </c>
      <c r="E1573" s="66">
        <f t="shared" si="49"/>
        <v>1</v>
      </c>
    </row>
    <row r="1574" spans="1:5" x14ac:dyDescent="0.15">
      <c r="A1574" s="66" t="s">
        <v>3258</v>
      </c>
      <c r="B1574" s="66" t="s">
        <v>3259</v>
      </c>
      <c r="C1574" s="66" t="s">
        <v>359</v>
      </c>
      <c r="D1574" s="66" t="str">
        <f t="shared" si="48"/>
        <v>1588</v>
      </c>
      <c r="E1574" s="66">
        <f t="shared" si="49"/>
        <v>1</v>
      </c>
    </row>
    <row r="1575" spans="1:5" x14ac:dyDescent="0.15">
      <c r="A1575" s="66" t="s">
        <v>3260</v>
      </c>
      <c r="B1575" s="66" t="s">
        <v>3261</v>
      </c>
      <c r="C1575" s="66" t="s">
        <v>359</v>
      </c>
      <c r="D1575" s="66" t="str">
        <f t="shared" si="48"/>
        <v>1589</v>
      </c>
      <c r="E1575" s="66">
        <f t="shared" si="49"/>
        <v>1</v>
      </c>
    </row>
    <row r="1576" spans="1:5" x14ac:dyDescent="0.15">
      <c r="A1576" s="66" t="s">
        <v>3262</v>
      </c>
      <c r="B1576" s="66" t="s">
        <v>3263</v>
      </c>
      <c r="C1576" s="66" t="s">
        <v>359</v>
      </c>
      <c r="D1576" s="66" t="str">
        <f t="shared" si="48"/>
        <v>1590</v>
      </c>
      <c r="E1576" s="66">
        <f t="shared" si="49"/>
        <v>1</v>
      </c>
    </row>
    <row r="1577" spans="1:5" x14ac:dyDescent="0.15">
      <c r="A1577" s="66" t="s">
        <v>3264</v>
      </c>
      <c r="B1577" s="66" t="s">
        <v>3265</v>
      </c>
      <c r="C1577" s="66" t="s">
        <v>467</v>
      </c>
      <c r="D1577" s="66" t="str">
        <f t="shared" si="48"/>
        <v>1591</v>
      </c>
      <c r="E1577" s="66">
        <f t="shared" si="49"/>
        <v>1</v>
      </c>
    </row>
    <row r="1578" spans="1:5" x14ac:dyDescent="0.15">
      <c r="A1578" s="66" t="s">
        <v>3266</v>
      </c>
      <c r="B1578" s="66" t="s">
        <v>3267</v>
      </c>
      <c r="C1578" s="66" t="s">
        <v>86</v>
      </c>
      <c r="D1578" s="66" t="str">
        <f t="shared" si="48"/>
        <v>1592</v>
      </c>
      <c r="E1578" s="66">
        <f t="shared" si="49"/>
        <v>1</v>
      </c>
    </row>
    <row r="1579" spans="1:5" x14ac:dyDescent="0.15">
      <c r="A1579" s="66" t="s">
        <v>3268</v>
      </c>
      <c r="B1579" s="66" t="s">
        <v>3269</v>
      </c>
      <c r="C1579" s="66" t="s">
        <v>874</v>
      </c>
      <c r="D1579" s="66" t="str">
        <f t="shared" si="48"/>
        <v>1593</v>
      </c>
      <c r="E1579" s="66">
        <f t="shared" si="49"/>
        <v>1</v>
      </c>
    </row>
    <row r="1580" spans="1:5" x14ac:dyDescent="0.15">
      <c r="A1580" s="66" t="s">
        <v>3270</v>
      </c>
      <c r="B1580" s="66" t="s">
        <v>3271</v>
      </c>
      <c r="C1580" s="66" t="s">
        <v>75</v>
      </c>
      <c r="D1580" s="66" t="str">
        <f t="shared" si="48"/>
        <v>1594</v>
      </c>
      <c r="E1580" s="66">
        <f t="shared" si="49"/>
        <v>1</v>
      </c>
    </row>
    <row r="1581" spans="1:5" x14ac:dyDescent="0.15">
      <c r="A1581" s="66" t="s">
        <v>3272</v>
      </c>
      <c r="B1581" s="66" t="s">
        <v>3273</v>
      </c>
      <c r="C1581" s="66" t="s">
        <v>436</v>
      </c>
      <c r="D1581" s="66" t="str">
        <f t="shared" si="48"/>
        <v>1595</v>
      </c>
      <c r="E1581" s="66">
        <f t="shared" si="49"/>
        <v>1</v>
      </c>
    </row>
    <row r="1582" spans="1:5" x14ac:dyDescent="0.15">
      <c r="A1582" s="66" t="s">
        <v>3274</v>
      </c>
      <c r="B1582" s="66" t="s">
        <v>3275</v>
      </c>
      <c r="C1582" s="66" t="s">
        <v>86</v>
      </c>
      <c r="D1582" s="66" t="str">
        <f t="shared" si="48"/>
        <v>1596</v>
      </c>
      <c r="E1582" s="66">
        <f t="shared" si="49"/>
        <v>1</v>
      </c>
    </row>
    <row r="1583" spans="1:5" x14ac:dyDescent="0.15">
      <c r="A1583" s="66" t="s">
        <v>3276</v>
      </c>
      <c r="B1583" s="66" t="s">
        <v>3277</v>
      </c>
      <c r="C1583" s="66" t="s">
        <v>245</v>
      </c>
      <c r="D1583" s="66" t="str">
        <f t="shared" si="48"/>
        <v>1597</v>
      </c>
      <c r="E1583" s="66">
        <f t="shared" si="49"/>
        <v>1</v>
      </c>
    </row>
    <row r="1584" spans="1:5" x14ac:dyDescent="0.15">
      <c r="A1584" s="66" t="s">
        <v>3278</v>
      </c>
      <c r="B1584" s="66" t="s">
        <v>3279</v>
      </c>
      <c r="C1584" s="66" t="s">
        <v>86</v>
      </c>
      <c r="D1584" s="66" t="str">
        <f t="shared" si="48"/>
        <v>1598</v>
      </c>
      <c r="E1584" s="66">
        <f t="shared" si="49"/>
        <v>1</v>
      </c>
    </row>
    <row r="1585" spans="1:5" x14ac:dyDescent="0.15">
      <c r="A1585" s="66" t="s">
        <v>3280</v>
      </c>
      <c r="B1585" s="66" t="s">
        <v>3281</v>
      </c>
      <c r="C1585" s="66" t="s">
        <v>75</v>
      </c>
      <c r="D1585" s="66" t="str">
        <f t="shared" si="48"/>
        <v>1599</v>
      </c>
      <c r="E1585" s="66">
        <f t="shared" si="49"/>
        <v>1</v>
      </c>
    </row>
    <row r="1586" spans="1:5" x14ac:dyDescent="0.15">
      <c r="A1586" s="66" t="s">
        <v>3282</v>
      </c>
      <c r="B1586" s="66" t="s">
        <v>3283</v>
      </c>
      <c r="C1586" s="66" t="s">
        <v>75</v>
      </c>
      <c r="D1586" s="66" t="str">
        <f t="shared" si="48"/>
        <v>1600</v>
      </c>
      <c r="E1586" s="66">
        <f t="shared" si="49"/>
        <v>1</v>
      </c>
    </row>
    <row r="1587" spans="1:5" x14ac:dyDescent="0.15">
      <c r="A1587" s="66" t="s">
        <v>3284</v>
      </c>
      <c r="B1587" s="66" t="s">
        <v>3285</v>
      </c>
      <c r="C1587" s="66" t="s">
        <v>359</v>
      </c>
      <c r="D1587" s="66" t="str">
        <f t="shared" si="48"/>
        <v>1601</v>
      </c>
      <c r="E1587" s="66">
        <f t="shared" si="49"/>
        <v>1</v>
      </c>
    </row>
    <row r="1588" spans="1:5" x14ac:dyDescent="0.15">
      <c r="A1588" s="66" t="s">
        <v>3286</v>
      </c>
      <c r="B1588" s="66" t="s">
        <v>3287</v>
      </c>
      <c r="C1588" s="66" t="s">
        <v>86</v>
      </c>
      <c r="D1588" s="66" t="str">
        <f t="shared" si="48"/>
        <v>1602</v>
      </c>
      <c r="E1588" s="66">
        <f t="shared" si="49"/>
        <v>1</v>
      </c>
    </row>
    <row r="1589" spans="1:5" x14ac:dyDescent="0.15">
      <c r="A1589" s="66" t="s">
        <v>3288</v>
      </c>
      <c r="B1589" s="66" t="s">
        <v>3289</v>
      </c>
      <c r="C1589" s="66" t="s">
        <v>79</v>
      </c>
      <c r="D1589" s="66" t="str">
        <f t="shared" si="48"/>
        <v>1603</v>
      </c>
      <c r="E1589" s="66">
        <f t="shared" si="49"/>
        <v>1</v>
      </c>
    </row>
    <row r="1590" spans="1:5" x14ac:dyDescent="0.15">
      <c r="A1590" s="66" t="s">
        <v>3290</v>
      </c>
      <c r="B1590" s="66" t="s">
        <v>3291</v>
      </c>
      <c r="C1590" s="66" t="s">
        <v>79</v>
      </c>
      <c r="D1590" s="66" t="str">
        <f t="shared" si="48"/>
        <v>1604</v>
      </c>
      <c r="E1590" s="66">
        <f t="shared" si="49"/>
        <v>1</v>
      </c>
    </row>
    <row r="1591" spans="1:5" x14ac:dyDescent="0.15">
      <c r="A1591" s="66" t="s">
        <v>3292</v>
      </c>
      <c r="B1591" s="66" t="s">
        <v>3293</v>
      </c>
      <c r="C1591" s="66" t="s">
        <v>79</v>
      </c>
      <c r="D1591" s="66" t="str">
        <f t="shared" si="48"/>
        <v>1605</v>
      </c>
      <c r="E1591" s="66">
        <f t="shared" si="49"/>
        <v>1</v>
      </c>
    </row>
    <row r="1592" spans="1:5" x14ac:dyDescent="0.15">
      <c r="A1592" s="66" t="s">
        <v>3294</v>
      </c>
      <c r="B1592" s="66" t="s">
        <v>3295</v>
      </c>
      <c r="C1592" s="66" t="s">
        <v>79</v>
      </c>
      <c r="D1592" s="66" t="str">
        <f t="shared" si="48"/>
        <v>1606</v>
      </c>
      <c r="E1592" s="66">
        <f t="shared" si="49"/>
        <v>1</v>
      </c>
    </row>
    <row r="1593" spans="1:5" x14ac:dyDescent="0.15">
      <c r="A1593" s="66" t="s">
        <v>3296</v>
      </c>
      <c r="B1593" s="66" t="s">
        <v>3297</v>
      </c>
      <c r="C1593" s="66" t="s">
        <v>79</v>
      </c>
      <c r="D1593" s="66" t="str">
        <f t="shared" si="48"/>
        <v>1607</v>
      </c>
      <c r="E1593" s="66">
        <f t="shared" si="49"/>
        <v>1</v>
      </c>
    </row>
    <row r="1594" spans="1:5" x14ac:dyDescent="0.15">
      <c r="A1594" s="66" t="s">
        <v>3298</v>
      </c>
      <c r="B1594" s="66" t="s">
        <v>3299</v>
      </c>
      <c r="C1594" s="66" t="s">
        <v>874</v>
      </c>
      <c r="D1594" s="66" t="str">
        <f t="shared" si="48"/>
        <v>1608</v>
      </c>
      <c r="E1594" s="66">
        <f t="shared" si="49"/>
        <v>2</v>
      </c>
    </row>
    <row r="1595" spans="1:5" x14ac:dyDescent="0.15">
      <c r="A1595" s="66" t="s">
        <v>3300</v>
      </c>
      <c r="B1595" s="66" t="s">
        <v>2161</v>
      </c>
      <c r="C1595" s="66" t="s">
        <v>86</v>
      </c>
      <c r="D1595" s="66" t="str">
        <f t="shared" si="48"/>
        <v>1609</v>
      </c>
      <c r="E1595" s="66">
        <f t="shared" si="49"/>
        <v>2</v>
      </c>
    </row>
    <row r="1596" spans="1:5" x14ac:dyDescent="0.15">
      <c r="A1596" s="66" t="s">
        <v>3301</v>
      </c>
      <c r="B1596" s="66" t="s">
        <v>3302</v>
      </c>
      <c r="C1596" s="66" t="s">
        <v>101</v>
      </c>
      <c r="D1596" s="66" t="str">
        <f t="shared" si="48"/>
        <v>1610</v>
      </c>
      <c r="E1596" s="66">
        <f t="shared" si="49"/>
        <v>1</v>
      </c>
    </row>
    <row r="1597" spans="1:5" x14ac:dyDescent="0.15">
      <c r="A1597" s="66" t="s">
        <v>3303</v>
      </c>
      <c r="B1597" s="66" t="s">
        <v>3304</v>
      </c>
      <c r="C1597" s="66" t="s">
        <v>131</v>
      </c>
      <c r="D1597" s="66" t="str">
        <f t="shared" si="48"/>
        <v>1611</v>
      </c>
      <c r="E1597" s="66">
        <f t="shared" si="49"/>
        <v>1</v>
      </c>
    </row>
    <row r="1598" spans="1:5" x14ac:dyDescent="0.15">
      <c r="A1598" s="66" t="s">
        <v>3305</v>
      </c>
      <c r="B1598" s="66" t="s">
        <v>3306</v>
      </c>
      <c r="C1598" s="66" t="s">
        <v>436</v>
      </c>
      <c r="D1598" s="66" t="str">
        <f t="shared" si="48"/>
        <v>1612</v>
      </c>
      <c r="E1598" s="66">
        <f t="shared" si="49"/>
        <v>1</v>
      </c>
    </row>
    <row r="1599" spans="1:5" x14ac:dyDescent="0.15">
      <c r="A1599" s="66" t="s">
        <v>3307</v>
      </c>
      <c r="B1599" s="66" t="s">
        <v>3308</v>
      </c>
      <c r="C1599" s="66" t="s">
        <v>131</v>
      </c>
      <c r="D1599" s="66" t="str">
        <f t="shared" si="48"/>
        <v>1613</v>
      </c>
      <c r="E1599" s="66">
        <f t="shared" si="49"/>
        <v>1</v>
      </c>
    </row>
    <row r="1600" spans="1:5" x14ac:dyDescent="0.15">
      <c r="A1600" s="66" t="s">
        <v>3309</v>
      </c>
      <c r="B1600" s="66" t="s">
        <v>3310</v>
      </c>
      <c r="C1600" s="66" t="s">
        <v>245</v>
      </c>
      <c r="D1600" s="66" t="str">
        <f t="shared" si="48"/>
        <v>1614</v>
      </c>
      <c r="E1600" s="66">
        <f t="shared" si="49"/>
        <v>1</v>
      </c>
    </row>
    <row r="1601" spans="1:5" x14ac:dyDescent="0.15">
      <c r="A1601" s="66" t="s">
        <v>3311</v>
      </c>
      <c r="B1601" s="66" t="s">
        <v>3312</v>
      </c>
      <c r="C1601" s="66" t="s">
        <v>359</v>
      </c>
      <c r="D1601" s="66" t="str">
        <f t="shared" si="48"/>
        <v>1615</v>
      </c>
      <c r="E1601" s="66">
        <f t="shared" si="49"/>
        <v>1</v>
      </c>
    </row>
    <row r="1602" spans="1:5" x14ac:dyDescent="0.15">
      <c r="A1602" s="66" t="s">
        <v>3313</v>
      </c>
      <c r="B1602" s="66" t="s">
        <v>3314</v>
      </c>
      <c r="C1602" s="66" t="s">
        <v>359</v>
      </c>
      <c r="D1602" s="66" t="str">
        <f t="shared" ref="D1602:D1665" si="50">A1602</f>
        <v>1616</v>
      </c>
      <c r="E1602" s="66">
        <f t="shared" ref="E1602:E1665" si="51">COUNTIFS(B:B,B1602)</f>
        <v>1</v>
      </c>
    </row>
    <row r="1603" spans="1:5" x14ac:dyDescent="0.15">
      <c r="A1603" s="66" t="s">
        <v>3315</v>
      </c>
      <c r="B1603" s="66" t="s">
        <v>3316</v>
      </c>
      <c r="C1603" s="66" t="s">
        <v>359</v>
      </c>
      <c r="D1603" s="66" t="str">
        <f t="shared" si="50"/>
        <v>1617</v>
      </c>
      <c r="E1603" s="66">
        <f t="shared" si="51"/>
        <v>1</v>
      </c>
    </row>
    <row r="1604" spans="1:5" x14ac:dyDescent="0.15">
      <c r="A1604" s="66" t="s">
        <v>3317</v>
      </c>
      <c r="B1604" s="66" t="s">
        <v>3318</v>
      </c>
      <c r="C1604" s="66" t="s">
        <v>359</v>
      </c>
      <c r="D1604" s="66" t="str">
        <f t="shared" si="50"/>
        <v>1618</v>
      </c>
      <c r="E1604" s="66">
        <f t="shared" si="51"/>
        <v>1</v>
      </c>
    </row>
    <row r="1605" spans="1:5" x14ac:dyDescent="0.15">
      <c r="A1605" s="66" t="s">
        <v>3319</v>
      </c>
      <c r="B1605" s="66" t="s">
        <v>3320</v>
      </c>
      <c r="C1605" s="66" t="s">
        <v>133</v>
      </c>
      <c r="D1605" s="66" t="str">
        <f t="shared" si="50"/>
        <v>1619</v>
      </c>
      <c r="E1605" s="66">
        <f t="shared" si="51"/>
        <v>1</v>
      </c>
    </row>
    <row r="1606" spans="1:5" x14ac:dyDescent="0.15">
      <c r="A1606" s="66" t="s">
        <v>3321</v>
      </c>
      <c r="B1606" s="66" t="s">
        <v>3322</v>
      </c>
      <c r="C1606" s="66" t="s">
        <v>359</v>
      </c>
      <c r="D1606" s="66" t="str">
        <f t="shared" si="50"/>
        <v>1620</v>
      </c>
      <c r="E1606" s="66">
        <f t="shared" si="51"/>
        <v>1</v>
      </c>
    </row>
    <row r="1607" spans="1:5" x14ac:dyDescent="0.15">
      <c r="A1607" s="66" t="s">
        <v>3323</v>
      </c>
      <c r="B1607" s="66" t="s">
        <v>3324</v>
      </c>
      <c r="C1607" s="66" t="s">
        <v>874</v>
      </c>
      <c r="D1607" s="66" t="str">
        <f t="shared" si="50"/>
        <v>1621</v>
      </c>
      <c r="E1607" s="66">
        <f t="shared" si="51"/>
        <v>1</v>
      </c>
    </row>
    <row r="1608" spans="1:5" x14ac:dyDescent="0.15">
      <c r="A1608" s="66" t="s">
        <v>3325</v>
      </c>
      <c r="B1608" s="66" t="s">
        <v>3326</v>
      </c>
      <c r="C1608" s="66" t="s">
        <v>359</v>
      </c>
      <c r="D1608" s="66" t="str">
        <f t="shared" si="50"/>
        <v>1622</v>
      </c>
      <c r="E1608" s="66">
        <f t="shared" si="51"/>
        <v>1</v>
      </c>
    </row>
    <row r="1609" spans="1:5" x14ac:dyDescent="0.15">
      <c r="A1609" s="66" t="s">
        <v>3327</v>
      </c>
      <c r="B1609" s="66" t="s">
        <v>3328</v>
      </c>
      <c r="C1609" s="66" t="s">
        <v>359</v>
      </c>
      <c r="D1609" s="66" t="str">
        <f t="shared" si="50"/>
        <v>1623</v>
      </c>
      <c r="E1609" s="66">
        <f t="shared" si="51"/>
        <v>1</v>
      </c>
    </row>
    <row r="1610" spans="1:5" x14ac:dyDescent="0.15">
      <c r="A1610" s="66" t="s">
        <v>3329</v>
      </c>
      <c r="B1610" s="66" t="s">
        <v>3330</v>
      </c>
      <c r="C1610" s="66" t="s">
        <v>359</v>
      </c>
      <c r="D1610" s="66" t="str">
        <f t="shared" si="50"/>
        <v>1624</v>
      </c>
      <c r="E1610" s="66">
        <f t="shared" si="51"/>
        <v>1</v>
      </c>
    </row>
    <row r="1611" spans="1:5" x14ac:dyDescent="0.15">
      <c r="A1611" s="66" t="s">
        <v>3331</v>
      </c>
      <c r="B1611" s="66" t="s">
        <v>3332</v>
      </c>
      <c r="C1611" s="66" t="s">
        <v>359</v>
      </c>
      <c r="D1611" s="66" t="str">
        <f t="shared" si="50"/>
        <v>1625</v>
      </c>
      <c r="E1611" s="66">
        <f t="shared" si="51"/>
        <v>1</v>
      </c>
    </row>
    <row r="1612" spans="1:5" x14ac:dyDescent="0.15">
      <c r="A1612" s="66" t="s">
        <v>3333</v>
      </c>
      <c r="B1612" s="66" t="s">
        <v>3334</v>
      </c>
      <c r="C1612" s="66" t="s">
        <v>874</v>
      </c>
      <c r="D1612" s="66" t="str">
        <f t="shared" si="50"/>
        <v>1626</v>
      </c>
      <c r="E1612" s="66">
        <f t="shared" si="51"/>
        <v>1</v>
      </c>
    </row>
    <row r="1613" spans="1:5" x14ac:dyDescent="0.15">
      <c r="A1613" s="66" t="s">
        <v>3335</v>
      </c>
      <c r="B1613" s="66" t="s">
        <v>3336</v>
      </c>
      <c r="C1613" s="66" t="s">
        <v>874</v>
      </c>
      <c r="D1613" s="66" t="str">
        <f t="shared" si="50"/>
        <v>1627</v>
      </c>
      <c r="E1613" s="66">
        <f t="shared" si="51"/>
        <v>1</v>
      </c>
    </row>
    <row r="1614" spans="1:5" x14ac:dyDescent="0.15">
      <c r="A1614" s="66" t="s">
        <v>3337</v>
      </c>
      <c r="B1614" s="66" t="s">
        <v>3338</v>
      </c>
      <c r="C1614" s="66" t="s">
        <v>359</v>
      </c>
      <c r="D1614" s="66" t="str">
        <f t="shared" si="50"/>
        <v>1628</v>
      </c>
      <c r="E1614" s="66">
        <f t="shared" si="51"/>
        <v>1</v>
      </c>
    </row>
    <row r="1615" spans="1:5" x14ac:dyDescent="0.15">
      <c r="A1615" s="66" t="s">
        <v>3339</v>
      </c>
      <c r="B1615" s="66" t="s">
        <v>3340</v>
      </c>
      <c r="C1615" s="66" t="s">
        <v>359</v>
      </c>
      <c r="D1615" s="66" t="str">
        <f t="shared" si="50"/>
        <v>1629</v>
      </c>
      <c r="E1615" s="66">
        <f t="shared" si="51"/>
        <v>1</v>
      </c>
    </row>
    <row r="1616" spans="1:5" x14ac:dyDescent="0.15">
      <c r="A1616" s="66" t="s">
        <v>3341</v>
      </c>
      <c r="B1616" s="66" t="s">
        <v>3342</v>
      </c>
      <c r="C1616" s="66" t="s">
        <v>359</v>
      </c>
      <c r="D1616" s="66" t="str">
        <f t="shared" si="50"/>
        <v>1630</v>
      </c>
      <c r="E1616" s="66">
        <f t="shared" si="51"/>
        <v>1</v>
      </c>
    </row>
    <row r="1617" spans="1:5" x14ac:dyDescent="0.15">
      <c r="A1617" s="66" t="s">
        <v>3343</v>
      </c>
      <c r="B1617" s="66" t="s">
        <v>3344</v>
      </c>
      <c r="C1617" s="66" t="s">
        <v>359</v>
      </c>
      <c r="D1617" s="66" t="str">
        <f t="shared" si="50"/>
        <v>1631</v>
      </c>
      <c r="E1617" s="66">
        <f t="shared" si="51"/>
        <v>1</v>
      </c>
    </row>
    <row r="1618" spans="1:5" x14ac:dyDescent="0.15">
      <c r="A1618" s="66" t="s">
        <v>3345</v>
      </c>
      <c r="B1618" s="66" t="s">
        <v>3346</v>
      </c>
      <c r="C1618" s="66" t="s">
        <v>359</v>
      </c>
      <c r="D1618" s="66" t="str">
        <f t="shared" si="50"/>
        <v>1632</v>
      </c>
      <c r="E1618" s="66">
        <f t="shared" si="51"/>
        <v>1</v>
      </c>
    </row>
    <row r="1619" spans="1:5" x14ac:dyDescent="0.15">
      <c r="A1619" s="66" t="s">
        <v>3347</v>
      </c>
      <c r="B1619" s="66" t="s">
        <v>3348</v>
      </c>
      <c r="C1619" s="66" t="s">
        <v>359</v>
      </c>
      <c r="D1619" s="66" t="str">
        <f t="shared" si="50"/>
        <v>1633</v>
      </c>
      <c r="E1619" s="66">
        <f t="shared" si="51"/>
        <v>1</v>
      </c>
    </row>
    <row r="1620" spans="1:5" x14ac:dyDescent="0.15">
      <c r="A1620" s="66" t="s">
        <v>3349</v>
      </c>
      <c r="B1620" s="66" t="s">
        <v>3350</v>
      </c>
      <c r="C1620" s="66" t="s">
        <v>359</v>
      </c>
      <c r="D1620" s="66" t="str">
        <f t="shared" si="50"/>
        <v>1634</v>
      </c>
      <c r="E1620" s="66">
        <f t="shared" si="51"/>
        <v>1</v>
      </c>
    </row>
    <row r="1621" spans="1:5" x14ac:dyDescent="0.15">
      <c r="A1621" s="66" t="s">
        <v>3351</v>
      </c>
      <c r="B1621" s="66" t="s">
        <v>3352</v>
      </c>
      <c r="C1621" s="66" t="s">
        <v>359</v>
      </c>
      <c r="D1621" s="66" t="str">
        <f t="shared" si="50"/>
        <v>1635</v>
      </c>
      <c r="E1621" s="66">
        <f t="shared" si="51"/>
        <v>1</v>
      </c>
    </row>
    <row r="1622" spans="1:5" x14ac:dyDescent="0.15">
      <c r="A1622" s="66" t="s">
        <v>3353</v>
      </c>
      <c r="B1622" s="66" t="s">
        <v>3354</v>
      </c>
      <c r="C1622" s="66" t="s">
        <v>359</v>
      </c>
      <c r="D1622" s="66" t="str">
        <f t="shared" si="50"/>
        <v>1636</v>
      </c>
      <c r="E1622" s="66">
        <f t="shared" si="51"/>
        <v>1</v>
      </c>
    </row>
    <row r="1623" spans="1:5" x14ac:dyDescent="0.15">
      <c r="A1623" s="66" t="s">
        <v>3355</v>
      </c>
      <c r="B1623" s="66" t="s">
        <v>3356</v>
      </c>
      <c r="C1623" s="66" t="s">
        <v>359</v>
      </c>
      <c r="D1623" s="66" t="str">
        <f t="shared" si="50"/>
        <v>1637</v>
      </c>
      <c r="E1623" s="66">
        <f t="shared" si="51"/>
        <v>1</v>
      </c>
    </row>
    <row r="1624" spans="1:5" x14ac:dyDescent="0.15">
      <c r="A1624" s="66" t="s">
        <v>3357</v>
      </c>
      <c r="B1624" s="66" t="s">
        <v>3358</v>
      </c>
      <c r="C1624" s="66" t="s">
        <v>359</v>
      </c>
      <c r="D1624" s="66" t="str">
        <f t="shared" si="50"/>
        <v>1638</v>
      </c>
      <c r="E1624" s="66">
        <f t="shared" si="51"/>
        <v>1</v>
      </c>
    </row>
    <row r="1625" spans="1:5" x14ac:dyDescent="0.15">
      <c r="A1625" s="66" t="s">
        <v>3359</v>
      </c>
      <c r="B1625" s="66" t="s">
        <v>3360</v>
      </c>
      <c r="C1625" s="66" t="s">
        <v>813</v>
      </c>
      <c r="D1625" s="66" t="str">
        <f t="shared" si="50"/>
        <v>1639</v>
      </c>
      <c r="E1625" s="66">
        <f t="shared" si="51"/>
        <v>1</v>
      </c>
    </row>
    <row r="1626" spans="1:5" x14ac:dyDescent="0.15">
      <c r="A1626" s="66" t="s">
        <v>3361</v>
      </c>
      <c r="B1626" s="66" t="s">
        <v>3362</v>
      </c>
      <c r="C1626" s="66" t="s">
        <v>79</v>
      </c>
      <c r="D1626" s="66" t="str">
        <f t="shared" si="50"/>
        <v>1640</v>
      </c>
      <c r="E1626" s="66">
        <f t="shared" si="51"/>
        <v>1</v>
      </c>
    </row>
    <row r="1627" spans="1:5" x14ac:dyDescent="0.15">
      <c r="A1627" s="66" t="s">
        <v>3363</v>
      </c>
      <c r="B1627" s="66" t="s">
        <v>3364</v>
      </c>
      <c r="C1627" s="66" t="s">
        <v>86</v>
      </c>
      <c r="D1627" s="66" t="str">
        <f t="shared" si="50"/>
        <v>1641</v>
      </c>
      <c r="E1627" s="66">
        <f t="shared" si="51"/>
        <v>1</v>
      </c>
    </row>
    <row r="1628" spans="1:5" x14ac:dyDescent="0.15">
      <c r="A1628" s="66" t="s">
        <v>3365</v>
      </c>
      <c r="B1628" s="66" t="s">
        <v>3366</v>
      </c>
      <c r="C1628" s="66" t="s">
        <v>359</v>
      </c>
      <c r="D1628" s="66" t="str">
        <f t="shared" si="50"/>
        <v>1642</v>
      </c>
      <c r="E1628" s="66">
        <f t="shared" si="51"/>
        <v>1</v>
      </c>
    </row>
    <row r="1629" spans="1:5" x14ac:dyDescent="0.15">
      <c r="A1629" s="66" t="s">
        <v>3367</v>
      </c>
      <c r="B1629" s="66" t="s">
        <v>3368</v>
      </c>
      <c r="C1629" s="66" t="s">
        <v>359</v>
      </c>
      <c r="D1629" s="66" t="str">
        <f t="shared" si="50"/>
        <v>1643</v>
      </c>
      <c r="E1629" s="66">
        <f t="shared" si="51"/>
        <v>1</v>
      </c>
    </row>
    <row r="1630" spans="1:5" x14ac:dyDescent="0.15">
      <c r="A1630" s="66" t="s">
        <v>3369</v>
      </c>
      <c r="B1630" s="66" t="s">
        <v>3370</v>
      </c>
      <c r="C1630" s="66" t="s">
        <v>79</v>
      </c>
      <c r="D1630" s="66" t="str">
        <f t="shared" si="50"/>
        <v>1644</v>
      </c>
      <c r="E1630" s="66">
        <f t="shared" si="51"/>
        <v>1</v>
      </c>
    </row>
    <row r="1631" spans="1:5" x14ac:dyDescent="0.15">
      <c r="A1631" s="66" t="s">
        <v>3371</v>
      </c>
      <c r="B1631" s="66" t="s">
        <v>3372</v>
      </c>
      <c r="C1631" s="66" t="s">
        <v>79</v>
      </c>
      <c r="D1631" s="66" t="str">
        <f t="shared" si="50"/>
        <v>1645</v>
      </c>
      <c r="E1631" s="66">
        <f t="shared" si="51"/>
        <v>1</v>
      </c>
    </row>
    <row r="1632" spans="1:5" x14ac:dyDescent="0.15">
      <c r="A1632" s="66" t="s">
        <v>3373</v>
      </c>
      <c r="B1632" s="66" t="s">
        <v>3374</v>
      </c>
      <c r="C1632" s="66" t="s">
        <v>79</v>
      </c>
      <c r="D1632" s="66" t="str">
        <f t="shared" si="50"/>
        <v>1646</v>
      </c>
      <c r="E1632" s="66">
        <f t="shared" si="51"/>
        <v>1</v>
      </c>
    </row>
    <row r="1633" spans="1:5" x14ac:dyDescent="0.15">
      <c r="A1633" s="66" t="s">
        <v>3375</v>
      </c>
      <c r="B1633" s="66" t="s">
        <v>3376</v>
      </c>
      <c r="C1633" s="66" t="s">
        <v>874</v>
      </c>
      <c r="D1633" s="66" t="str">
        <f t="shared" si="50"/>
        <v>1647</v>
      </c>
      <c r="E1633" s="66">
        <f t="shared" si="51"/>
        <v>1</v>
      </c>
    </row>
    <row r="1634" spans="1:5" x14ac:dyDescent="0.15">
      <c r="A1634" s="66" t="s">
        <v>3377</v>
      </c>
      <c r="B1634" s="66" t="s">
        <v>3378</v>
      </c>
      <c r="C1634" s="66" t="s">
        <v>86</v>
      </c>
      <c r="D1634" s="66" t="str">
        <f t="shared" si="50"/>
        <v>1648</v>
      </c>
      <c r="E1634" s="66">
        <f t="shared" si="51"/>
        <v>1</v>
      </c>
    </row>
    <row r="1635" spans="1:5" x14ac:dyDescent="0.15">
      <c r="A1635" s="66" t="s">
        <v>3379</v>
      </c>
      <c r="B1635" s="66" t="s">
        <v>3380</v>
      </c>
      <c r="C1635" s="66" t="s">
        <v>359</v>
      </c>
      <c r="D1635" s="66" t="str">
        <f t="shared" si="50"/>
        <v>1649</v>
      </c>
      <c r="E1635" s="66">
        <f t="shared" si="51"/>
        <v>1</v>
      </c>
    </row>
    <row r="1636" spans="1:5" x14ac:dyDescent="0.15">
      <c r="A1636" s="66" t="s">
        <v>3381</v>
      </c>
      <c r="B1636" s="66" t="s">
        <v>3382</v>
      </c>
      <c r="C1636" s="66" t="s">
        <v>71</v>
      </c>
      <c r="D1636" s="66" t="str">
        <f t="shared" si="50"/>
        <v>1650</v>
      </c>
      <c r="E1636" s="66">
        <f t="shared" si="51"/>
        <v>1</v>
      </c>
    </row>
    <row r="1637" spans="1:5" x14ac:dyDescent="0.15">
      <c r="A1637" s="66" t="s">
        <v>3383</v>
      </c>
      <c r="B1637" s="66" t="s">
        <v>3384</v>
      </c>
      <c r="C1637" s="66" t="s">
        <v>79</v>
      </c>
      <c r="D1637" s="66" t="str">
        <f t="shared" si="50"/>
        <v>1651</v>
      </c>
      <c r="E1637" s="66">
        <f t="shared" si="51"/>
        <v>1</v>
      </c>
    </row>
    <row r="1638" spans="1:5" x14ac:dyDescent="0.15">
      <c r="A1638" s="66" t="s">
        <v>3385</v>
      </c>
      <c r="B1638" s="66" t="s">
        <v>3386</v>
      </c>
      <c r="C1638" s="66" t="s">
        <v>86</v>
      </c>
      <c r="D1638" s="66" t="str">
        <f t="shared" si="50"/>
        <v>1652</v>
      </c>
      <c r="E1638" s="66">
        <f t="shared" si="51"/>
        <v>1</v>
      </c>
    </row>
    <row r="1639" spans="1:5" x14ac:dyDescent="0.15">
      <c r="A1639" s="66" t="s">
        <v>3387</v>
      </c>
      <c r="B1639" s="66" t="s">
        <v>3388</v>
      </c>
      <c r="C1639" s="66" t="s">
        <v>86</v>
      </c>
      <c r="D1639" s="66" t="str">
        <f t="shared" si="50"/>
        <v>1653</v>
      </c>
      <c r="E1639" s="66">
        <f t="shared" si="51"/>
        <v>1</v>
      </c>
    </row>
    <row r="1640" spans="1:5" x14ac:dyDescent="0.15">
      <c r="A1640" s="66" t="s">
        <v>3389</v>
      </c>
      <c r="B1640" s="66" t="s">
        <v>3390</v>
      </c>
      <c r="C1640" s="66" t="s">
        <v>133</v>
      </c>
      <c r="D1640" s="66" t="str">
        <f t="shared" si="50"/>
        <v>1654</v>
      </c>
      <c r="E1640" s="66">
        <f t="shared" si="51"/>
        <v>1</v>
      </c>
    </row>
    <row r="1641" spans="1:5" x14ac:dyDescent="0.15">
      <c r="A1641" s="66" t="s">
        <v>3391</v>
      </c>
      <c r="B1641" s="66" t="s">
        <v>3392</v>
      </c>
      <c r="C1641" s="66" t="s">
        <v>86</v>
      </c>
      <c r="D1641" s="66" t="str">
        <f t="shared" si="50"/>
        <v>1655</v>
      </c>
      <c r="E1641" s="66">
        <f t="shared" si="51"/>
        <v>1</v>
      </c>
    </row>
    <row r="1642" spans="1:5" x14ac:dyDescent="0.15">
      <c r="A1642" s="66" t="s">
        <v>3393</v>
      </c>
      <c r="B1642" s="66" t="s">
        <v>3394</v>
      </c>
      <c r="C1642" s="66" t="s">
        <v>101</v>
      </c>
      <c r="D1642" s="66" t="str">
        <f t="shared" si="50"/>
        <v>1656</v>
      </c>
      <c r="E1642" s="66">
        <f t="shared" si="51"/>
        <v>1</v>
      </c>
    </row>
    <row r="1643" spans="1:5" x14ac:dyDescent="0.15">
      <c r="A1643" s="66" t="s">
        <v>3395</v>
      </c>
      <c r="B1643" s="66" t="s">
        <v>3396</v>
      </c>
      <c r="C1643" s="66" t="s">
        <v>101</v>
      </c>
      <c r="D1643" s="66" t="str">
        <f t="shared" si="50"/>
        <v>1657</v>
      </c>
      <c r="E1643" s="66">
        <f t="shared" si="51"/>
        <v>1</v>
      </c>
    </row>
    <row r="1644" spans="1:5" x14ac:dyDescent="0.15">
      <c r="A1644" s="66" t="s">
        <v>3397</v>
      </c>
      <c r="B1644" s="66" t="s">
        <v>3398</v>
      </c>
      <c r="C1644" s="66" t="s">
        <v>874</v>
      </c>
      <c r="D1644" s="66" t="str">
        <f t="shared" si="50"/>
        <v>1658</v>
      </c>
      <c r="E1644" s="66">
        <f t="shared" si="51"/>
        <v>1</v>
      </c>
    </row>
    <row r="1645" spans="1:5" x14ac:dyDescent="0.15">
      <c r="A1645" s="66" t="s">
        <v>3399</v>
      </c>
      <c r="B1645" s="66" t="s">
        <v>3400</v>
      </c>
      <c r="C1645" s="66" t="s">
        <v>79</v>
      </c>
      <c r="D1645" s="66" t="str">
        <f t="shared" si="50"/>
        <v>1659</v>
      </c>
      <c r="E1645" s="66">
        <f t="shared" si="51"/>
        <v>1</v>
      </c>
    </row>
    <row r="1646" spans="1:5" x14ac:dyDescent="0.15">
      <c r="A1646" s="66" t="s">
        <v>3401</v>
      </c>
      <c r="B1646" s="66" t="s">
        <v>3402</v>
      </c>
      <c r="C1646" s="66" t="s">
        <v>86</v>
      </c>
      <c r="D1646" s="66" t="str">
        <f t="shared" si="50"/>
        <v>1660</v>
      </c>
      <c r="E1646" s="66">
        <f t="shared" si="51"/>
        <v>1</v>
      </c>
    </row>
    <row r="1647" spans="1:5" x14ac:dyDescent="0.15">
      <c r="A1647" s="66" t="s">
        <v>3403</v>
      </c>
      <c r="B1647" s="66" t="s">
        <v>3404</v>
      </c>
      <c r="C1647" s="66" t="s">
        <v>86</v>
      </c>
      <c r="D1647" s="66" t="str">
        <f t="shared" si="50"/>
        <v>1661</v>
      </c>
      <c r="E1647" s="66">
        <f t="shared" si="51"/>
        <v>1</v>
      </c>
    </row>
    <row r="1648" spans="1:5" x14ac:dyDescent="0.15">
      <c r="A1648" s="66" t="s">
        <v>3405</v>
      </c>
      <c r="B1648" s="66" t="s">
        <v>3406</v>
      </c>
      <c r="C1648" s="66" t="s">
        <v>86</v>
      </c>
      <c r="D1648" s="66" t="str">
        <f t="shared" si="50"/>
        <v>1662</v>
      </c>
      <c r="E1648" s="66">
        <f t="shared" si="51"/>
        <v>1</v>
      </c>
    </row>
    <row r="1649" spans="1:5" x14ac:dyDescent="0.15">
      <c r="A1649" s="66" t="s">
        <v>3407</v>
      </c>
      <c r="B1649" s="66" t="s">
        <v>3408</v>
      </c>
      <c r="C1649" s="66" t="s">
        <v>359</v>
      </c>
      <c r="D1649" s="66" t="str">
        <f t="shared" si="50"/>
        <v>1663</v>
      </c>
      <c r="E1649" s="66">
        <f t="shared" si="51"/>
        <v>1</v>
      </c>
    </row>
    <row r="1650" spans="1:5" x14ac:dyDescent="0.15">
      <c r="A1650" s="66" t="s">
        <v>3409</v>
      </c>
      <c r="B1650" s="66" t="s">
        <v>3410</v>
      </c>
      <c r="C1650" s="66" t="s">
        <v>359</v>
      </c>
      <c r="D1650" s="66" t="str">
        <f t="shared" si="50"/>
        <v>1664</v>
      </c>
      <c r="E1650" s="66">
        <f t="shared" si="51"/>
        <v>1</v>
      </c>
    </row>
    <row r="1651" spans="1:5" x14ac:dyDescent="0.15">
      <c r="A1651" s="66" t="s">
        <v>3411</v>
      </c>
      <c r="B1651" s="66" t="s">
        <v>3412</v>
      </c>
      <c r="C1651" s="66" t="s">
        <v>436</v>
      </c>
      <c r="D1651" s="66" t="str">
        <f t="shared" si="50"/>
        <v>1665</v>
      </c>
      <c r="E1651" s="66">
        <f t="shared" si="51"/>
        <v>1</v>
      </c>
    </row>
    <row r="1652" spans="1:5" x14ac:dyDescent="0.15">
      <c r="A1652" s="66" t="s">
        <v>3413</v>
      </c>
      <c r="B1652" s="66" t="s">
        <v>3414</v>
      </c>
      <c r="C1652" s="66" t="s">
        <v>86</v>
      </c>
      <c r="D1652" s="66" t="str">
        <f t="shared" si="50"/>
        <v>1666</v>
      </c>
      <c r="E1652" s="66">
        <f t="shared" si="51"/>
        <v>1</v>
      </c>
    </row>
    <row r="1653" spans="1:5" x14ac:dyDescent="0.15">
      <c r="A1653" s="66" t="s">
        <v>3415</v>
      </c>
      <c r="B1653" s="66" t="s">
        <v>3416</v>
      </c>
      <c r="C1653" s="66" t="s">
        <v>133</v>
      </c>
      <c r="D1653" s="66" t="str">
        <f t="shared" si="50"/>
        <v>1667</v>
      </c>
      <c r="E1653" s="66">
        <f t="shared" si="51"/>
        <v>1</v>
      </c>
    </row>
    <row r="1654" spans="1:5" x14ac:dyDescent="0.15">
      <c r="A1654" s="66" t="s">
        <v>3417</v>
      </c>
      <c r="B1654" s="66" t="s">
        <v>3418</v>
      </c>
      <c r="C1654" s="66" t="s">
        <v>133</v>
      </c>
      <c r="D1654" s="66" t="str">
        <f t="shared" si="50"/>
        <v>1668</v>
      </c>
      <c r="E1654" s="66">
        <f t="shared" si="51"/>
        <v>1</v>
      </c>
    </row>
    <row r="1655" spans="1:5" x14ac:dyDescent="0.15">
      <c r="A1655" s="66" t="s">
        <v>3419</v>
      </c>
      <c r="B1655" s="66" t="s">
        <v>3420</v>
      </c>
      <c r="C1655" s="66" t="s">
        <v>86</v>
      </c>
      <c r="D1655" s="66" t="str">
        <f t="shared" si="50"/>
        <v>1669</v>
      </c>
      <c r="E1655" s="66">
        <f t="shared" si="51"/>
        <v>1</v>
      </c>
    </row>
    <row r="1656" spans="1:5" x14ac:dyDescent="0.15">
      <c r="A1656" s="66" t="s">
        <v>3421</v>
      </c>
      <c r="B1656" s="66" t="s">
        <v>3422</v>
      </c>
      <c r="C1656" s="66" t="s">
        <v>86</v>
      </c>
      <c r="D1656" s="66" t="str">
        <f t="shared" si="50"/>
        <v>1670</v>
      </c>
      <c r="E1656" s="66">
        <f t="shared" si="51"/>
        <v>1</v>
      </c>
    </row>
    <row r="1657" spans="1:5" x14ac:dyDescent="0.15">
      <c r="A1657" s="66" t="s">
        <v>3423</v>
      </c>
      <c r="B1657" s="66" t="s">
        <v>3424</v>
      </c>
      <c r="C1657" s="66" t="s">
        <v>71</v>
      </c>
      <c r="D1657" s="66" t="str">
        <f t="shared" si="50"/>
        <v>1671</v>
      </c>
      <c r="E1657" s="66">
        <f t="shared" si="51"/>
        <v>1</v>
      </c>
    </row>
    <row r="1658" spans="1:5" x14ac:dyDescent="0.15">
      <c r="A1658" s="66" t="s">
        <v>3425</v>
      </c>
      <c r="B1658" s="66" t="s">
        <v>3426</v>
      </c>
      <c r="C1658" s="66" t="s">
        <v>359</v>
      </c>
      <c r="D1658" s="66" t="str">
        <f t="shared" si="50"/>
        <v>1672</v>
      </c>
      <c r="E1658" s="66">
        <f t="shared" si="51"/>
        <v>1</v>
      </c>
    </row>
    <row r="1659" spans="1:5" x14ac:dyDescent="0.15">
      <c r="A1659" s="66" t="s">
        <v>3427</v>
      </c>
      <c r="B1659" s="66" t="s">
        <v>3428</v>
      </c>
      <c r="C1659" s="66" t="s">
        <v>86</v>
      </c>
      <c r="D1659" s="66" t="str">
        <f t="shared" si="50"/>
        <v>1673</v>
      </c>
      <c r="E1659" s="66">
        <f t="shared" si="51"/>
        <v>1</v>
      </c>
    </row>
    <row r="1660" spans="1:5" x14ac:dyDescent="0.15">
      <c r="A1660" s="66" t="s">
        <v>3429</v>
      </c>
      <c r="B1660" s="66" t="s">
        <v>3430</v>
      </c>
      <c r="C1660" s="66" t="s">
        <v>79</v>
      </c>
      <c r="D1660" s="66" t="str">
        <f t="shared" si="50"/>
        <v>1674</v>
      </c>
      <c r="E1660" s="66">
        <f t="shared" si="51"/>
        <v>1</v>
      </c>
    </row>
    <row r="1661" spans="1:5" x14ac:dyDescent="0.15">
      <c r="A1661" s="66" t="s">
        <v>3431</v>
      </c>
      <c r="B1661" s="66" t="s">
        <v>3432</v>
      </c>
      <c r="C1661" s="66" t="s">
        <v>436</v>
      </c>
      <c r="D1661" s="66" t="str">
        <f t="shared" si="50"/>
        <v>1675</v>
      </c>
      <c r="E1661" s="66">
        <f t="shared" si="51"/>
        <v>1</v>
      </c>
    </row>
    <row r="1662" spans="1:5" x14ac:dyDescent="0.15">
      <c r="A1662" s="66" t="s">
        <v>3433</v>
      </c>
      <c r="B1662" s="66" t="s">
        <v>3434</v>
      </c>
      <c r="C1662" s="66" t="s">
        <v>359</v>
      </c>
      <c r="D1662" s="66" t="str">
        <f t="shared" si="50"/>
        <v>1676</v>
      </c>
      <c r="E1662" s="66">
        <f t="shared" si="51"/>
        <v>1</v>
      </c>
    </row>
    <row r="1663" spans="1:5" x14ac:dyDescent="0.15">
      <c r="A1663" s="66" t="s">
        <v>3435</v>
      </c>
      <c r="B1663" s="66" t="s">
        <v>3436</v>
      </c>
      <c r="C1663" s="66" t="s">
        <v>133</v>
      </c>
      <c r="D1663" s="66" t="str">
        <f t="shared" si="50"/>
        <v>1677</v>
      </c>
      <c r="E1663" s="66">
        <f t="shared" si="51"/>
        <v>1</v>
      </c>
    </row>
    <row r="1664" spans="1:5" x14ac:dyDescent="0.15">
      <c r="A1664" s="66" t="s">
        <v>3437</v>
      </c>
      <c r="B1664" s="66" t="s">
        <v>2565</v>
      </c>
      <c r="C1664" s="66" t="s">
        <v>86</v>
      </c>
      <c r="D1664" s="66" t="str">
        <f t="shared" si="50"/>
        <v>1678</v>
      </c>
      <c r="E1664" s="66">
        <f t="shared" si="51"/>
        <v>2</v>
      </c>
    </row>
    <row r="1665" spans="1:5" x14ac:dyDescent="0.15">
      <c r="A1665" s="66" t="s">
        <v>3438</v>
      </c>
      <c r="B1665" s="66" t="s">
        <v>3439</v>
      </c>
      <c r="C1665" s="66" t="s">
        <v>86</v>
      </c>
      <c r="D1665" s="66" t="str">
        <f t="shared" si="50"/>
        <v>1679</v>
      </c>
      <c r="E1665" s="66">
        <f t="shared" si="51"/>
        <v>1</v>
      </c>
    </row>
    <row r="1666" spans="1:5" x14ac:dyDescent="0.15">
      <c r="A1666" s="66" t="s">
        <v>3440</v>
      </c>
      <c r="B1666" s="66" t="s">
        <v>3441</v>
      </c>
      <c r="C1666" s="66" t="s">
        <v>359</v>
      </c>
      <c r="D1666" s="66" t="str">
        <f t="shared" ref="D1666:D1729" si="52">A1666</f>
        <v>1680</v>
      </c>
      <c r="E1666" s="66">
        <f t="shared" ref="E1666:E1729" si="53">COUNTIFS(B:B,B1666)</f>
        <v>1</v>
      </c>
    </row>
    <row r="1667" spans="1:5" x14ac:dyDescent="0.15">
      <c r="A1667" s="66" t="s">
        <v>3442</v>
      </c>
      <c r="B1667" s="66" t="s">
        <v>3443</v>
      </c>
      <c r="C1667" s="66" t="s">
        <v>359</v>
      </c>
      <c r="D1667" s="66" t="str">
        <f t="shared" si="52"/>
        <v>1681</v>
      </c>
      <c r="E1667" s="66">
        <f t="shared" si="53"/>
        <v>1</v>
      </c>
    </row>
    <row r="1668" spans="1:5" x14ac:dyDescent="0.15">
      <c r="A1668" s="66" t="s">
        <v>3444</v>
      </c>
      <c r="B1668" s="66" t="s">
        <v>3445</v>
      </c>
      <c r="C1668" s="66" t="s">
        <v>86</v>
      </c>
      <c r="D1668" s="66" t="str">
        <f t="shared" si="52"/>
        <v>1682</v>
      </c>
      <c r="E1668" s="66">
        <f t="shared" si="53"/>
        <v>1</v>
      </c>
    </row>
    <row r="1669" spans="1:5" x14ac:dyDescent="0.15">
      <c r="A1669" s="66" t="s">
        <v>3446</v>
      </c>
      <c r="B1669" s="66" t="s">
        <v>3447</v>
      </c>
      <c r="C1669" s="66" t="s">
        <v>67</v>
      </c>
      <c r="D1669" s="66" t="str">
        <f t="shared" si="52"/>
        <v>1683</v>
      </c>
      <c r="E1669" s="66">
        <f t="shared" si="53"/>
        <v>1</v>
      </c>
    </row>
    <row r="1670" spans="1:5" x14ac:dyDescent="0.15">
      <c r="A1670" s="66" t="s">
        <v>3448</v>
      </c>
      <c r="B1670" s="66" t="s">
        <v>3449</v>
      </c>
      <c r="C1670" s="66" t="s">
        <v>67</v>
      </c>
      <c r="D1670" s="66" t="str">
        <f t="shared" si="52"/>
        <v>1684</v>
      </c>
      <c r="E1670" s="66">
        <f t="shared" si="53"/>
        <v>1</v>
      </c>
    </row>
    <row r="1671" spans="1:5" x14ac:dyDescent="0.15">
      <c r="A1671" s="66" t="s">
        <v>3450</v>
      </c>
      <c r="B1671" s="66" t="s">
        <v>411</v>
      </c>
      <c r="C1671" s="66" t="s">
        <v>359</v>
      </c>
      <c r="D1671" s="66" t="str">
        <f t="shared" si="52"/>
        <v>1685</v>
      </c>
      <c r="E1671" s="66">
        <f t="shared" si="53"/>
        <v>4</v>
      </c>
    </row>
    <row r="1672" spans="1:5" x14ac:dyDescent="0.15">
      <c r="A1672" s="66" t="s">
        <v>3451</v>
      </c>
      <c r="B1672" s="66" t="s">
        <v>3452</v>
      </c>
      <c r="C1672" s="66" t="s">
        <v>133</v>
      </c>
      <c r="D1672" s="66" t="str">
        <f t="shared" si="52"/>
        <v>1686</v>
      </c>
      <c r="E1672" s="66">
        <f t="shared" si="53"/>
        <v>1</v>
      </c>
    </row>
    <row r="1673" spans="1:5" x14ac:dyDescent="0.15">
      <c r="A1673" s="66" t="s">
        <v>3453</v>
      </c>
      <c r="B1673" s="66" t="s">
        <v>3454</v>
      </c>
      <c r="C1673" s="66" t="s">
        <v>133</v>
      </c>
      <c r="D1673" s="66" t="str">
        <f t="shared" si="52"/>
        <v>1687</v>
      </c>
      <c r="E1673" s="66">
        <f t="shared" si="53"/>
        <v>1</v>
      </c>
    </row>
    <row r="1674" spans="1:5" x14ac:dyDescent="0.15">
      <c r="A1674" s="66" t="s">
        <v>3455</v>
      </c>
      <c r="B1674" s="66" t="s">
        <v>3456</v>
      </c>
      <c r="C1674" s="66" t="s">
        <v>86</v>
      </c>
      <c r="D1674" s="66" t="str">
        <f t="shared" si="52"/>
        <v>1688</v>
      </c>
      <c r="E1674" s="66">
        <f t="shared" si="53"/>
        <v>1</v>
      </c>
    </row>
    <row r="1675" spans="1:5" x14ac:dyDescent="0.15">
      <c r="A1675" s="66" t="s">
        <v>3457</v>
      </c>
      <c r="B1675" s="66" t="s">
        <v>3458</v>
      </c>
      <c r="C1675" s="66" t="s">
        <v>131</v>
      </c>
      <c r="D1675" s="66" t="str">
        <f t="shared" si="52"/>
        <v>1689</v>
      </c>
      <c r="E1675" s="66">
        <f t="shared" si="53"/>
        <v>1</v>
      </c>
    </row>
    <row r="1676" spans="1:5" x14ac:dyDescent="0.15">
      <c r="A1676" s="66" t="s">
        <v>3459</v>
      </c>
      <c r="B1676" s="66" t="s">
        <v>3460</v>
      </c>
      <c r="C1676" s="66" t="s">
        <v>131</v>
      </c>
      <c r="D1676" s="66" t="str">
        <f t="shared" si="52"/>
        <v>1690</v>
      </c>
      <c r="E1676" s="66">
        <f t="shared" si="53"/>
        <v>1</v>
      </c>
    </row>
    <row r="1677" spans="1:5" x14ac:dyDescent="0.15">
      <c r="A1677" s="66" t="s">
        <v>3461</v>
      </c>
      <c r="B1677" s="66" t="s">
        <v>3462</v>
      </c>
      <c r="C1677" s="66" t="s">
        <v>86</v>
      </c>
      <c r="D1677" s="66" t="str">
        <f t="shared" si="52"/>
        <v>1691</v>
      </c>
      <c r="E1677" s="66">
        <f t="shared" si="53"/>
        <v>1</v>
      </c>
    </row>
    <row r="1678" spans="1:5" x14ac:dyDescent="0.15">
      <c r="A1678" s="66" t="s">
        <v>3463</v>
      </c>
      <c r="B1678" s="66" t="s">
        <v>3464</v>
      </c>
      <c r="C1678" s="66" t="s">
        <v>359</v>
      </c>
      <c r="D1678" s="66" t="str">
        <f t="shared" si="52"/>
        <v>1692</v>
      </c>
      <c r="E1678" s="66">
        <f t="shared" si="53"/>
        <v>1</v>
      </c>
    </row>
    <row r="1679" spans="1:5" x14ac:dyDescent="0.15">
      <c r="A1679" s="66" t="s">
        <v>3465</v>
      </c>
      <c r="B1679" s="66" t="s">
        <v>3466</v>
      </c>
      <c r="C1679" s="66" t="s">
        <v>359</v>
      </c>
      <c r="D1679" s="66" t="str">
        <f t="shared" si="52"/>
        <v>1693</v>
      </c>
      <c r="E1679" s="66">
        <f t="shared" si="53"/>
        <v>1</v>
      </c>
    </row>
    <row r="1680" spans="1:5" x14ac:dyDescent="0.15">
      <c r="A1680" s="66" t="s">
        <v>3467</v>
      </c>
      <c r="B1680" s="66" t="s">
        <v>3468</v>
      </c>
      <c r="C1680" s="66" t="s">
        <v>133</v>
      </c>
      <c r="D1680" s="66" t="str">
        <f t="shared" si="52"/>
        <v>1694</v>
      </c>
      <c r="E1680" s="66">
        <f t="shared" si="53"/>
        <v>1</v>
      </c>
    </row>
    <row r="1681" spans="1:5" x14ac:dyDescent="0.15">
      <c r="A1681" s="66" t="s">
        <v>3469</v>
      </c>
      <c r="B1681" s="66" t="s">
        <v>3470</v>
      </c>
      <c r="C1681" s="66" t="s">
        <v>86</v>
      </c>
      <c r="D1681" s="66" t="str">
        <f t="shared" si="52"/>
        <v>1695</v>
      </c>
      <c r="E1681" s="66">
        <f t="shared" si="53"/>
        <v>1</v>
      </c>
    </row>
    <row r="1682" spans="1:5" x14ac:dyDescent="0.15">
      <c r="A1682" s="66" t="s">
        <v>3471</v>
      </c>
      <c r="B1682" s="66" t="s">
        <v>3472</v>
      </c>
      <c r="C1682" s="66" t="s">
        <v>101</v>
      </c>
      <c r="D1682" s="66" t="str">
        <f t="shared" si="52"/>
        <v>1696</v>
      </c>
      <c r="E1682" s="66">
        <f t="shared" si="53"/>
        <v>1</v>
      </c>
    </row>
    <row r="1683" spans="1:5" x14ac:dyDescent="0.15">
      <c r="A1683" s="66" t="s">
        <v>3473</v>
      </c>
      <c r="B1683" s="66" t="s">
        <v>3474</v>
      </c>
      <c r="C1683" s="66" t="s">
        <v>101</v>
      </c>
      <c r="D1683" s="66" t="str">
        <f t="shared" si="52"/>
        <v>1697</v>
      </c>
      <c r="E1683" s="66">
        <f t="shared" si="53"/>
        <v>1</v>
      </c>
    </row>
    <row r="1684" spans="1:5" x14ac:dyDescent="0.15">
      <c r="A1684" s="66" t="s">
        <v>3475</v>
      </c>
      <c r="B1684" s="66" t="s">
        <v>3476</v>
      </c>
      <c r="C1684" s="66" t="s">
        <v>359</v>
      </c>
      <c r="D1684" s="66" t="str">
        <f t="shared" si="52"/>
        <v>1698</v>
      </c>
      <c r="E1684" s="66">
        <f t="shared" si="53"/>
        <v>1</v>
      </c>
    </row>
    <row r="1685" spans="1:5" x14ac:dyDescent="0.15">
      <c r="A1685" s="66" t="s">
        <v>3477</v>
      </c>
      <c r="B1685" s="66" t="s">
        <v>2453</v>
      </c>
      <c r="C1685" s="66" t="s">
        <v>359</v>
      </c>
      <c r="D1685" s="66" t="str">
        <f t="shared" si="52"/>
        <v>1699</v>
      </c>
      <c r="E1685" s="66">
        <f t="shared" si="53"/>
        <v>4</v>
      </c>
    </row>
    <row r="1686" spans="1:5" x14ac:dyDescent="0.15">
      <c r="A1686" s="66" t="s">
        <v>3478</v>
      </c>
      <c r="B1686" s="66" t="s">
        <v>3479</v>
      </c>
      <c r="C1686" s="66" t="s">
        <v>874</v>
      </c>
      <c r="D1686" s="66" t="str">
        <f t="shared" si="52"/>
        <v>1700</v>
      </c>
      <c r="E1686" s="66">
        <f t="shared" si="53"/>
        <v>1</v>
      </c>
    </row>
    <row r="1687" spans="1:5" x14ac:dyDescent="0.15">
      <c r="A1687" s="66" t="s">
        <v>3480</v>
      </c>
      <c r="B1687" s="66" t="s">
        <v>3481</v>
      </c>
      <c r="C1687" s="66" t="s">
        <v>385</v>
      </c>
      <c r="D1687" s="66" t="str">
        <f t="shared" si="52"/>
        <v>1701</v>
      </c>
      <c r="E1687" s="66">
        <f t="shared" si="53"/>
        <v>1</v>
      </c>
    </row>
    <row r="1688" spans="1:5" x14ac:dyDescent="0.15">
      <c r="A1688" s="66" t="s">
        <v>3482</v>
      </c>
      <c r="B1688" s="66" t="s">
        <v>3483</v>
      </c>
      <c r="C1688" s="66" t="s">
        <v>86</v>
      </c>
      <c r="D1688" s="66" t="str">
        <f t="shared" si="52"/>
        <v>1702</v>
      </c>
      <c r="E1688" s="66">
        <f t="shared" si="53"/>
        <v>1</v>
      </c>
    </row>
    <row r="1689" spans="1:5" x14ac:dyDescent="0.15">
      <c r="A1689" s="66" t="s">
        <v>3484</v>
      </c>
      <c r="B1689" s="66" t="s">
        <v>3485</v>
      </c>
      <c r="C1689" s="66" t="s">
        <v>86</v>
      </c>
      <c r="D1689" s="66" t="str">
        <f t="shared" si="52"/>
        <v>1703</v>
      </c>
      <c r="E1689" s="66">
        <f t="shared" si="53"/>
        <v>1</v>
      </c>
    </row>
    <row r="1690" spans="1:5" x14ac:dyDescent="0.15">
      <c r="A1690" s="66" t="s">
        <v>3486</v>
      </c>
      <c r="B1690" s="66" t="s">
        <v>3487</v>
      </c>
      <c r="C1690" s="66" t="s">
        <v>71</v>
      </c>
      <c r="D1690" s="66" t="str">
        <f t="shared" si="52"/>
        <v>1704</v>
      </c>
      <c r="E1690" s="66">
        <f t="shared" si="53"/>
        <v>1</v>
      </c>
    </row>
    <row r="1691" spans="1:5" x14ac:dyDescent="0.15">
      <c r="A1691" s="66" t="s">
        <v>3488</v>
      </c>
      <c r="B1691" s="66" t="s">
        <v>3489</v>
      </c>
      <c r="C1691" s="66" t="s">
        <v>140</v>
      </c>
      <c r="D1691" s="66" t="str">
        <f t="shared" si="52"/>
        <v>1705</v>
      </c>
      <c r="E1691" s="66">
        <f t="shared" si="53"/>
        <v>1</v>
      </c>
    </row>
    <row r="1692" spans="1:5" x14ac:dyDescent="0.15">
      <c r="A1692" s="66" t="s">
        <v>3490</v>
      </c>
      <c r="B1692" s="66" t="s">
        <v>3491</v>
      </c>
      <c r="C1692" s="66" t="s">
        <v>133</v>
      </c>
      <c r="D1692" s="66" t="str">
        <f t="shared" si="52"/>
        <v>1706</v>
      </c>
      <c r="E1692" s="66">
        <f t="shared" si="53"/>
        <v>1</v>
      </c>
    </row>
    <row r="1693" spans="1:5" x14ac:dyDescent="0.15">
      <c r="A1693" s="66" t="s">
        <v>3492</v>
      </c>
      <c r="B1693" s="66" t="s">
        <v>3493</v>
      </c>
      <c r="C1693" s="66" t="s">
        <v>359</v>
      </c>
      <c r="D1693" s="66" t="str">
        <f t="shared" si="52"/>
        <v>1707</v>
      </c>
      <c r="E1693" s="66">
        <f t="shared" si="53"/>
        <v>1</v>
      </c>
    </row>
    <row r="1694" spans="1:5" x14ac:dyDescent="0.15">
      <c r="A1694" s="66" t="s">
        <v>3494</v>
      </c>
      <c r="B1694" s="66" t="s">
        <v>3495</v>
      </c>
      <c r="C1694" s="66" t="s">
        <v>359</v>
      </c>
      <c r="D1694" s="66" t="str">
        <f t="shared" si="52"/>
        <v>1708</v>
      </c>
      <c r="E1694" s="66">
        <f t="shared" si="53"/>
        <v>1</v>
      </c>
    </row>
    <row r="1695" spans="1:5" x14ac:dyDescent="0.15">
      <c r="A1695" s="66" t="s">
        <v>3496</v>
      </c>
      <c r="B1695" s="66" t="s">
        <v>2723</v>
      </c>
      <c r="C1695" s="66" t="s">
        <v>277</v>
      </c>
      <c r="D1695" s="66" t="str">
        <f t="shared" si="52"/>
        <v>1709</v>
      </c>
      <c r="E1695" s="66">
        <f t="shared" si="53"/>
        <v>2</v>
      </c>
    </row>
    <row r="1696" spans="1:5" x14ac:dyDescent="0.15">
      <c r="A1696" s="66" t="s">
        <v>3497</v>
      </c>
      <c r="B1696" s="66" t="s">
        <v>3498</v>
      </c>
      <c r="C1696" s="66" t="s">
        <v>277</v>
      </c>
      <c r="D1696" s="66" t="str">
        <f t="shared" si="52"/>
        <v>1710</v>
      </c>
      <c r="E1696" s="66">
        <f t="shared" si="53"/>
        <v>1</v>
      </c>
    </row>
    <row r="1697" spans="1:5" x14ac:dyDescent="0.15">
      <c r="A1697" s="66" t="s">
        <v>3499</v>
      </c>
      <c r="B1697" s="66" t="s">
        <v>3500</v>
      </c>
      <c r="C1697" s="66" t="s">
        <v>245</v>
      </c>
      <c r="D1697" s="66" t="str">
        <f t="shared" si="52"/>
        <v>1711</v>
      </c>
      <c r="E1697" s="66">
        <f t="shared" si="53"/>
        <v>1</v>
      </c>
    </row>
    <row r="1698" spans="1:5" x14ac:dyDescent="0.15">
      <c r="A1698" s="66" t="s">
        <v>3501</v>
      </c>
      <c r="B1698" s="66" t="s">
        <v>3502</v>
      </c>
      <c r="C1698" s="66" t="s">
        <v>133</v>
      </c>
      <c r="D1698" s="66" t="str">
        <f t="shared" si="52"/>
        <v>1712</v>
      </c>
      <c r="E1698" s="66">
        <f t="shared" si="53"/>
        <v>1</v>
      </c>
    </row>
    <row r="1699" spans="1:5" x14ac:dyDescent="0.15">
      <c r="A1699" s="66" t="s">
        <v>3503</v>
      </c>
      <c r="B1699" s="66" t="s">
        <v>3504</v>
      </c>
      <c r="C1699" s="66" t="s">
        <v>86</v>
      </c>
      <c r="D1699" s="66" t="str">
        <f t="shared" si="52"/>
        <v>1713</v>
      </c>
      <c r="E1699" s="66">
        <f t="shared" si="53"/>
        <v>1</v>
      </c>
    </row>
    <row r="1700" spans="1:5" x14ac:dyDescent="0.15">
      <c r="A1700" s="66" t="s">
        <v>3505</v>
      </c>
      <c r="B1700" s="66" t="s">
        <v>3506</v>
      </c>
      <c r="C1700" s="66" t="s">
        <v>86</v>
      </c>
      <c r="D1700" s="66" t="str">
        <f t="shared" si="52"/>
        <v>1714</v>
      </c>
      <c r="E1700" s="66">
        <f t="shared" si="53"/>
        <v>1</v>
      </c>
    </row>
    <row r="1701" spans="1:5" x14ac:dyDescent="0.15">
      <c r="A1701" s="66" t="s">
        <v>3507</v>
      </c>
      <c r="B1701" s="66" t="s">
        <v>3508</v>
      </c>
      <c r="C1701" s="66" t="s">
        <v>359</v>
      </c>
      <c r="D1701" s="66" t="str">
        <f t="shared" si="52"/>
        <v>1715</v>
      </c>
      <c r="E1701" s="66">
        <f t="shared" si="53"/>
        <v>1</v>
      </c>
    </row>
    <row r="1702" spans="1:5" x14ac:dyDescent="0.15">
      <c r="A1702" s="66" t="s">
        <v>3509</v>
      </c>
      <c r="B1702" s="66" t="s">
        <v>3510</v>
      </c>
      <c r="C1702" s="66" t="s">
        <v>359</v>
      </c>
      <c r="D1702" s="66" t="str">
        <f t="shared" si="52"/>
        <v>1716</v>
      </c>
      <c r="E1702" s="66">
        <f t="shared" si="53"/>
        <v>1</v>
      </c>
    </row>
    <row r="1703" spans="1:5" x14ac:dyDescent="0.15">
      <c r="A1703" s="66" t="s">
        <v>3511</v>
      </c>
      <c r="B1703" s="66" t="s">
        <v>3512</v>
      </c>
      <c r="C1703" s="66" t="s">
        <v>359</v>
      </c>
      <c r="D1703" s="66" t="str">
        <f t="shared" si="52"/>
        <v>1717</v>
      </c>
      <c r="E1703" s="66">
        <f t="shared" si="53"/>
        <v>1</v>
      </c>
    </row>
    <row r="1704" spans="1:5" x14ac:dyDescent="0.15">
      <c r="A1704" s="66" t="s">
        <v>3513</v>
      </c>
      <c r="B1704" s="66" t="s">
        <v>3514</v>
      </c>
      <c r="C1704" s="66" t="s">
        <v>359</v>
      </c>
      <c r="D1704" s="66" t="str">
        <f t="shared" si="52"/>
        <v>1718</v>
      </c>
      <c r="E1704" s="66">
        <f t="shared" si="53"/>
        <v>1</v>
      </c>
    </row>
    <row r="1705" spans="1:5" x14ac:dyDescent="0.15">
      <c r="A1705" s="66" t="s">
        <v>3515</v>
      </c>
      <c r="B1705" s="66" t="s">
        <v>3516</v>
      </c>
      <c r="C1705" s="66" t="s">
        <v>86</v>
      </c>
      <c r="D1705" s="66" t="str">
        <f t="shared" si="52"/>
        <v>1719</v>
      </c>
      <c r="E1705" s="66">
        <f t="shared" si="53"/>
        <v>1</v>
      </c>
    </row>
    <row r="1706" spans="1:5" x14ac:dyDescent="0.15">
      <c r="A1706" s="66" t="s">
        <v>3517</v>
      </c>
      <c r="B1706" s="66" t="s">
        <v>3518</v>
      </c>
      <c r="C1706" s="66" t="s">
        <v>245</v>
      </c>
      <c r="D1706" s="66" t="str">
        <f t="shared" si="52"/>
        <v>1720</v>
      </c>
      <c r="E1706" s="66">
        <f t="shared" si="53"/>
        <v>1</v>
      </c>
    </row>
    <row r="1707" spans="1:5" x14ac:dyDescent="0.15">
      <c r="A1707" s="66" t="s">
        <v>3519</v>
      </c>
      <c r="B1707" s="66" t="s">
        <v>3520</v>
      </c>
      <c r="C1707" s="66" t="s">
        <v>75</v>
      </c>
      <c r="D1707" s="66" t="str">
        <f t="shared" si="52"/>
        <v>1721</v>
      </c>
      <c r="E1707" s="66">
        <f t="shared" si="53"/>
        <v>1</v>
      </c>
    </row>
    <row r="1708" spans="1:5" x14ac:dyDescent="0.15">
      <c r="A1708" s="66" t="s">
        <v>3521</v>
      </c>
      <c r="B1708" s="66" t="s">
        <v>3522</v>
      </c>
      <c r="C1708" s="66" t="s">
        <v>359</v>
      </c>
      <c r="D1708" s="66" t="str">
        <f t="shared" si="52"/>
        <v>1722</v>
      </c>
      <c r="E1708" s="66">
        <f t="shared" si="53"/>
        <v>1</v>
      </c>
    </row>
    <row r="1709" spans="1:5" x14ac:dyDescent="0.15">
      <c r="A1709" s="66" t="s">
        <v>3523</v>
      </c>
      <c r="B1709" s="66" t="s">
        <v>3524</v>
      </c>
      <c r="C1709" s="66" t="s">
        <v>86</v>
      </c>
      <c r="D1709" s="66" t="str">
        <f t="shared" si="52"/>
        <v>1723</v>
      </c>
      <c r="E1709" s="66">
        <f t="shared" si="53"/>
        <v>1</v>
      </c>
    </row>
    <row r="1710" spans="1:5" x14ac:dyDescent="0.15">
      <c r="A1710" s="66" t="s">
        <v>3525</v>
      </c>
      <c r="B1710" s="66" t="s">
        <v>3526</v>
      </c>
      <c r="C1710" s="66" t="s">
        <v>140</v>
      </c>
      <c r="D1710" s="66" t="str">
        <f t="shared" si="52"/>
        <v>1724</v>
      </c>
      <c r="E1710" s="66">
        <f t="shared" si="53"/>
        <v>1</v>
      </c>
    </row>
    <row r="1711" spans="1:5" x14ac:dyDescent="0.15">
      <c r="A1711" s="66" t="s">
        <v>3527</v>
      </c>
      <c r="B1711" s="66" t="s">
        <v>3528</v>
      </c>
      <c r="C1711" s="66" t="s">
        <v>133</v>
      </c>
      <c r="D1711" s="66" t="str">
        <f t="shared" si="52"/>
        <v>1725</v>
      </c>
      <c r="E1711" s="66">
        <f t="shared" si="53"/>
        <v>1</v>
      </c>
    </row>
    <row r="1712" spans="1:5" x14ac:dyDescent="0.15">
      <c r="A1712" s="66" t="s">
        <v>3529</v>
      </c>
      <c r="B1712" s="66" t="s">
        <v>3530</v>
      </c>
      <c r="C1712" s="66" t="s">
        <v>133</v>
      </c>
      <c r="D1712" s="66" t="str">
        <f t="shared" si="52"/>
        <v>1726</v>
      </c>
      <c r="E1712" s="66">
        <f t="shared" si="53"/>
        <v>1</v>
      </c>
    </row>
    <row r="1713" spans="1:5" x14ac:dyDescent="0.15">
      <c r="A1713" s="66" t="s">
        <v>3531</v>
      </c>
      <c r="B1713" s="66" t="s">
        <v>3299</v>
      </c>
      <c r="C1713" s="66" t="s">
        <v>101</v>
      </c>
      <c r="D1713" s="66" t="str">
        <f t="shared" si="52"/>
        <v>1727</v>
      </c>
      <c r="E1713" s="66">
        <f t="shared" si="53"/>
        <v>2</v>
      </c>
    </row>
    <row r="1714" spans="1:5" x14ac:dyDescent="0.15">
      <c r="A1714" s="66" t="s">
        <v>3532</v>
      </c>
      <c r="B1714" s="66" t="s">
        <v>3533</v>
      </c>
      <c r="C1714" s="66" t="s">
        <v>101</v>
      </c>
      <c r="D1714" s="66" t="str">
        <f t="shared" si="52"/>
        <v>1728</v>
      </c>
      <c r="E1714" s="66">
        <f t="shared" si="53"/>
        <v>1</v>
      </c>
    </row>
    <row r="1715" spans="1:5" x14ac:dyDescent="0.15">
      <c r="A1715" s="66" t="s">
        <v>3534</v>
      </c>
      <c r="B1715" s="66" t="s">
        <v>3535</v>
      </c>
      <c r="C1715" s="66" t="s">
        <v>101</v>
      </c>
      <c r="D1715" s="66" t="str">
        <f t="shared" si="52"/>
        <v>1729</v>
      </c>
      <c r="E1715" s="66">
        <f t="shared" si="53"/>
        <v>1</v>
      </c>
    </row>
    <row r="1716" spans="1:5" x14ac:dyDescent="0.15">
      <c r="A1716" s="66" t="s">
        <v>3536</v>
      </c>
      <c r="B1716" s="66" t="s">
        <v>3537</v>
      </c>
      <c r="C1716" s="66" t="s">
        <v>86</v>
      </c>
      <c r="D1716" s="66" t="str">
        <f t="shared" si="52"/>
        <v>1730</v>
      </c>
      <c r="E1716" s="66">
        <f t="shared" si="53"/>
        <v>1</v>
      </c>
    </row>
    <row r="1717" spans="1:5" x14ac:dyDescent="0.15">
      <c r="A1717" s="66" t="s">
        <v>3538</v>
      </c>
      <c r="B1717" s="66" t="s">
        <v>3539</v>
      </c>
      <c r="C1717" s="66" t="s">
        <v>359</v>
      </c>
      <c r="D1717" s="66" t="str">
        <f t="shared" si="52"/>
        <v>1731</v>
      </c>
      <c r="E1717" s="66">
        <f t="shared" si="53"/>
        <v>1</v>
      </c>
    </row>
    <row r="1718" spans="1:5" x14ac:dyDescent="0.15">
      <c r="A1718" s="66" t="s">
        <v>3540</v>
      </c>
      <c r="B1718" s="66" t="s">
        <v>3541</v>
      </c>
      <c r="C1718" s="66" t="s">
        <v>71</v>
      </c>
      <c r="D1718" s="66" t="str">
        <f t="shared" si="52"/>
        <v>1732</v>
      </c>
      <c r="E1718" s="66">
        <f t="shared" si="53"/>
        <v>1</v>
      </c>
    </row>
    <row r="1719" spans="1:5" x14ac:dyDescent="0.15">
      <c r="A1719" s="66" t="s">
        <v>3542</v>
      </c>
      <c r="B1719" s="66" t="s">
        <v>3543</v>
      </c>
      <c r="C1719" s="66" t="s">
        <v>75</v>
      </c>
      <c r="D1719" s="66" t="str">
        <f t="shared" si="52"/>
        <v>1733</v>
      </c>
      <c r="E1719" s="66">
        <f t="shared" si="53"/>
        <v>1</v>
      </c>
    </row>
    <row r="1720" spans="1:5" x14ac:dyDescent="0.15">
      <c r="A1720" s="66" t="s">
        <v>3544</v>
      </c>
      <c r="B1720" s="66" t="s">
        <v>3545</v>
      </c>
      <c r="C1720" s="66" t="s">
        <v>101</v>
      </c>
      <c r="D1720" s="66" t="str">
        <f t="shared" si="52"/>
        <v>1734</v>
      </c>
      <c r="E1720" s="66">
        <f t="shared" si="53"/>
        <v>1</v>
      </c>
    </row>
    <row r="1721" spans="1:5" x14ac:dyDescent="0.15">
      <c r="A1721" s="66" t="s">
        <v>3546</v>
      </c>
      <c r="B1721" s="66" t="s">
        <v>3547</v>
      </c>
      <c r="C1721" s="66" t="s">
        <v>75</v>
      </c>
      <c r="D1721" s="66" t="str">
        <f t="shared" si="52"/>
        <v>1735</v>
      </c>
      <c r="E1721" s="66">
        <f t="shared" si="53"/>
        <v>1</v>
      </c>
    </row>
    <row r="1722" spans="1:5" x14ac:dyDescent="0.15">
      <c r="A1722" s="66" t="s">
        <v>3548</v>
      </c>
      <c r="B1722" s="66" t="s">
        <v>3549</v>
      </c>
      <c r="C1722" s="66" t="s">
        <v>75</v>
      </c>
      <c r="D1722" s="66" t="str">
        <f t="shared" si="52"/>
        <v>1736</v>
      </c>
      <c r="E1722" s="66">
        <f t="shared" si="53"/>
        <v>1</v>
      </c>
    </row>
    <row r="1723" spans="1:5" x14ac:dyDescent="0.15">
      <c r="A1723" s="66" t="s">
        <v>3550</v>
      </c>
      <c r="B1723" s="66" t="s">
        <v>3551</v>
      </c>
      <c r="C1723" s="66" t="s">
        <v>75</v>
      </c>
      <c r="D1723" s="66" t="str">
        <f t="shared" si="52"/>
        <v>1737</v>
      </c>
      <c r="E1723" s="66">
        <f t="shared" si="53"/>
        <v>1</v>
      </c>
    </row>
    <row r="1724" spans="1:5" x14ac:dyDescent="0.15">
      <c r="A1724" s="66" t="s">
        <v>3552</v>
      </c>
      <c r="B1724" s="66" t="s">
        <v>3553</v>
      </c>
      <c r="C1724" s="66" t="s">
        <v>277</v>
      </c>
      <c r="D1724" s="66" t="str">
        <f t="shared" si="52"/>
        <v>1738</v>
      </c>
      <c r="E1724" s="66">
        <f t="shared" si="53"/>
        <v>1</v>
      </c>
    </row>
    <row r="1725" spans="1:5" x14ac:dyDescent="0.15">
      <c r="A1725" s="66" t="s">
        <v>3554</v>
      </c>
      <c r="B1725" s="66" t="s">
        <v>3555</v>
      </c>
      <c r="C1725" s="66" t="s">
        <v>458</v>
      </c>
      <c r="D1725" s="66" t="str">
        <f t="shared" si="52"/>
        <v>1739</v>
      </c>
      <c r="E1725" s="66">
        <f t="shared" si="53"/>
        <v>1</v>
      </c>
    </row>
    <row r="1726" spans="1:5" x14ac:dyDescent="0.15">
      <c r="A1726" s="66" t="s">
        <v>3556</v>
      </c>
      <c r="B1726" s="66" t="s">
        <v>3557</v>
      </c>
      <c r="C1726" s="66" t="s">
        <v>131</v>
      </c>
      <c r="D1726" s="66" t="str">
        <f t="shared" si="52"/>
        <v>1740</v>
      </c>
      <c r="E1726" s="66">
        <f t="shared" si="53"/>
        <v>1</v>
      </c>
    </row>
    <row r="1727" spans="1:5" x14ac:dyDescent="0.15">
      <c r="A1727" s="66" t="s">
        <v>3558</v>
      </c>
      <c r="B1727" s="66" t="s">
        <v>3559</v>
      </c>
      <c r="C1727" s="66" t="s">
        <v>101</v>
      </c>
      <c r="D1727" s="66" t="str">
        <f t="shared" si="52"/>
        <v>1741</v>
      </c>
      <c r="E1727" s="66">
        <f t="shared" si="53"/>
        <v>1</v>
      </c>
    </row>
    <row r="1728" spans="1:5" x14ac:dyDescent="0.15">
      <c r="A1728" s="66" t="s">
        <v>3560</v>
      </c>
      <c r="B1728" s="66" t="s">
        <v>3561</v>
      </c>
      <c r="C1728" s="66" t="s">
        <v>86</v>
      </c>
      <c r="D1728" s="66" t="str">
        <f t="shared" si="52"/>
        <v>1742</v>
      </c>
      <c r="E1728" s="66">
        <f t="shared" si="53"/>
        <v>1</v>
      </c>
    </row>
    <row r="1729" spans="1:5" x14ac:dyDescent="0.15">
      <c r="A1729" s="66" t="s">
        <v>3562</v>
      </c>
      <c r="B1729" s="66" t="s">
        <v>3563</v>
      </c>
      <c r="C1729" s="66" t="s">
        <v>86</v>
      </c>
      <c r="D1729" s="66" t="str">
        <f t="shared" si="52"/>
        <v>1743</v>
      </c>
      <c r="E1729" s="66">
        <f t="shared" si="53"/>
        <v>1</v>
      </c>
    </row>
    <row r="1730" spans="1:5" x14ac:dyDescent="0.15">
      <c r="A1730" s="66" t="s">
        <v>3564</v>
      </c>
      <c r="B1730" s="66" t="s">
        <v>3565</v>
      </c>
      <c r="C1730" s="66" t="s">
        <v>359</v>
      </c>
      <c r="D1730" s="66" t="str">
        <f t="shared" ref="D1730:D1793" si="54">A1730</f>
        <v>1744</v>
      </c>
      <c r="E1730" s="66">
        <f t="shared" ref="E1730:E1793" si="55">COUNTIFS(B:B,B1730)</f>
        <v>1</v>
      </c>
    </row>
    <row r="1731" spans="1:5" x14ac:dyDescent="0.15">
      <c r="A1731" s="66" t="s">
        <v>3566</v>
      </c>
      <c r="B1731" s="66" t="s">
        <v>3567</v>
      </c>
      <c r="C1731" s="66" t="s">
        <v>359</v>
      </c>
      <c r="D1731" s="66" t="str">
        <f t="shared" si="54"/>
        <v>1745</v>
      </c>
      <c r="E1731" s="66">
        <f t="shared" si="55"/>
        <v>1</v>
      </c>
    </row>
    <row r="1732" spans="1:5" x14ac:dyDescent="0.15">
      <c r="A1732" s="66" t="s">
        <v>3568</v>
      </c>
      <c r="B1732" s="66" t="s">
        <v>3569</v>
      </c>
      <c r="C1732" s="66" t="s">
        <v>874</v>
      </c>
      <c r="D1732" s="66" t="str">
        <f t="shared" si="54"/>
        <v>1746</v>
      </c>
      <c r="E1732" s="66">
        <f t="shared" si="55"/>
        <v>1</v>
      </c>
    </row>
    <row r="1733" spans="1:5" x14ac:dyDescent="0.15">
      <c r="A1733" s="66" t="s">
        <v>3570</v>
      </c>
      <c r="B1733" s="66" t="s">
        <v>3571</v>
      </c>
      <c r="C1733" s="66" t="s">
        <v>277</v>
      </c>
      <c r="D1733" s="66" t="str">
        <f t="shared" si="54"/>
        <v>1747</v>
      </c>
      <c r="E1733" s="66">
        <f t="shared" si="55"/>
        <v>1</v>
      </c>
    </row>
    <row r="1734" spans="1:5" x14ac:dyDescent="0.15">
      <c r="A1734" s="66" t="s">
        <v>3572</v>
      </c>
      <c r="B1734" s="66" t="s">
        <v>3573</v>
      </c>
      <c r="C1734" s="66" t="s">
        <v>79</v>
      </c>
      <c r="D1734" s="66" t="str">
        <f t="shared" si="54"/>
        <v>1748</v>
      </c>
      <c r="E1734" s="66">
        <f t="shared" si="55"/>
        <v>1</v>
      </c>
    </row>
    <row r="1735" spans="1:5" x14ac:dyDescent="0.15">
      <c r="A1735" s="66" t="s">
        <v>3574</v>
      </c>
      <c r="B1735" s="66" t="s">
        <v>3575</v>
      </c>
      <c r="C1735" s="66" t="s">
        <v>133</v>
      </c>
      <c r="D1735" s="66" t="str">
        <f t="shared" si="54"/>
        <v>1749</v>
      </c>
      <c r="E1735" s="66">
        <f t="shared" si="55"/>
        <v>1</v>
      </c>
    </row>
    <row r="1736" spans="1:5" x14ac:dyDescent="0.15">
      <c r="A1736" s="66" t="s">
        <v>3576</v>
      </c>
      <c r="B1736" s="66" t="s">
        <v>3577</v>
      </c>
      <c r="C1736" s="66" t="s">
        <v>86</v>
      </c>
      <c r="D1736" s="66" t="str">
        <f t="shared" si="54"/>
        <v>1750</v>
      </c>
      <c r="E1736" s="66">
        <f t="shared" si="55"/>
        <v>1</v>
      </c>
    </row>
    <row r="1737" spans="1:5" x14ac:dyDescent="0.15">
      <c r="A1737" s="66" t="s">
        <v>3578</v>
      </c>
      <c r="B1737" s="66" t="s">
        <v>3579</v>
      </c>
      <c r="C1737" s="66" t="s">
        <v>359</v>
      </c>
      <c r="D1737" s="66" t="str">
        <f t="shared" si="54"/>
        <v>1751</v>
      </c>
      <c r="E1737" s="66">
        <f t="shared" si="55"/>
        <v>1</v>
      </c>
    </row>
    <row r="1738" spans="1:5" x14ac:dyDescent="0.15">
      <c r="A1738" s="66" t="s">
        <v>3580</v>
      </c>
      <c r="B1738" s="66" t="s">
        <v>3581</v>
      </c>
      <c r="C1738" s="66" t="s">
        <v>75</v>
      </c>
      <c r="D1738" s="66" t="str">
        <f t="shared" si="54"/>
        <v>1752</v>
      </c>
      <c r="E1738" s="66">
        <f t="shared" si="55"/>
        <v>1</v>
      </c>
    </row>
    <row r="1739" spans="1:5" x14ac:dyDescent="0.15">
      <c r="A1739" s="66" t="s">
        <v>3582</v>
      </c>
      <c r="B1739" s="66" t="s">
        <v>3583</v>
      </c>
      <c r="C1739" s="66" t="s">
        <v>436</v>
      </c>
      <c r="D1739" s="66" t="str">
        <f t="shared" si="54"/>
        <v>1753</v>
      </c>
      <c r="E1739" s="66">
        <f t="shared" si="55"/>
        <v>1</v>
      </c>
    </row>
    <row r="1740" spans="1:5" x14ac:dyDescent="0.15">
      <c r="A1740" s="66" t="s">
        <v>3584</v>
      </c>
      <c r="B1740" s="66" t="s">
        <v>3585</v>
      </c>
      <c r="C1740" s="66" t="s">
        <v>277</v>
      </c>
      <c r="D1740" s="66" t="str">
        <f t="shared" si="54"/>
        <v>1754</v>
      </c>
      <c r="E1740" s="66">
        <f t="shared" si="55"/>
        <v>1</v>
      </c>
    </row>
    <row r="1741" spans="1:5" x14ac:dyDescent="0.15">
      <c r="A1741" s="66" t="s">
        <v>3586</v>
      </c>
      <c r="B1741" s="66" t="s">
        <v>3587</v>
      </c>
      <c r="C1741" s="66" t="s">
        <v>101</v>
      </c>
      <c r="D1741" s="66" t="str">
        <f t="shared" si="54"/>
        <v>1755</v>
      </c>
      <c r="E1741" s="66">
        <f t="shared" si="55"/>
        <v>1</v>
      </c>
    </row>
    <row r="1742" spans="1:5" x14ac:dyDescent="0.15">
      <c r="A1742" s="66" t="s">
        <v>3588</v>
      </c>
      <c r="B1742" s="66" t="s">
        <v>3589</v>
      </c>
      <c r="C1742" s="66" t="s">
        <v>101</v>
      </c>
      <c r="D1742" s="66" t="str">
        <f t="shared" si="54"/>
        <v>1756</v>
      </c>
      <c r="E1742" s="66">
        <f t="shared" si="55"/>
        <v>1</v>
      </c>
    </row>
    <row r="1743" spans="1:5" x14ac:dyDescent="0.15">
      <c r="A1743" s="66" t="s">
        <v>3590</v>
      </c>
      <c r="B1743" s="66" t="s">
        <v>3591</v>
      </c>
      <c r="C1743" s="66" t="s">
        <v>101</v>
      </c>
      <c r="D1743" s="66" t="str">
        <f t="shared" si="54"/>
        <v>1757</v>
      </c>
      <c r="E1743" s="66">
        <f t="shared" si="55"/>
        <v>1</v>
      </c>
    </row>
    <row r="1744" spans="1:5" x14ac:dyDescent="0.15">
      <c r="A1744" s="66" t="s">
        <v>3592</v>
      </c>
      <c r="B1744" s="66" t="s">
        <v>3593</v>
      </c>
      <c r="C1744" s="66" t="s">
        <v>133</v>
      </c>
      <c r="D1744" s="66" t="str">
        <f t="shared" si="54"/>
        <v>1758</v>
      </c>
      <c r="E1744" s="66">
        <f t="shared" si="55"/>
        <v>1</v>
      </c>
    </row>
    <row r="1745" spans="1:5" x14ac:dyDescent="0.15">
      <c r="A1745" s="66" t="s">
        <v>3594</v>
      </c>
      <c r="B1745" s="66" t="s">
        <v>1146</v>
      </c>
      <c r="C1745" s="66" t="s">
        <v>359</v>
      </c>
      <c r="D1745" s="66" t="str">
        <f t="shared" si="54"/>
        <v>1759</v>
      </c>
      <c r="E1745" s="66">
        <f t="shared" si="55"/>
        <v>2</v>
      </c>
    </row>
    <row r="1746" spans="1:5" x14ac:dyDescent="0.15">
      <c r="A1746" s="66" t="s">
        <v>3595</v>
      </c>
      <c r="B1746" s="66" t="s">
        <v>3596</v>
      </c>
      <c r="C1746" s="66" t="s">
        <v>359</v>
      </c>
      <c r="D1746" s="66" t="str">
        <f t="shared" si="54"/>
        <v>1760</v>
      </c>
      <c r="E1746" s="66">
        <f t="shared" si="55"/>
        <v>1</v>
      </c>
    </row>
    <row r="1747" spans="1:5" x14ac:dyDescent="0.15">
      <c r="A1747" s="66" t="s">
        <v>3597</v>
      </c>
      <c r="B1747" s="66" t="s">
        <v>3598</v>
      </c>
      <c r="C1747" s="66" t="s">
        <v>101</v>
      </c>
      <c r="D1747" s="66" t="str">
        <f t="shared" si="54"/>
        <v>1761</v>
      </c>
      <c r="E1747" s="66">
        <f t="shared" si="55"/>
        <v>1</v>
      </c>
    </row>
    <row r="1748" spans="1:5" x14ac:dyDescent="0.15">
      <c r="A1748" s="66" t="s">
        <v>3599</v>
      </c>
      <c r="B1748" s="66" t="s">
        <v>3600</v>
      </c>
      <c r="C1748" s="66" t="s">
        <v>86</v>
      </c>
      <c r="D1748" s="66" t="str">
        <f t="shared" si="54"/>
        <v>1762</v>
      </c>
      <c r="E1748" s="66">
        <f t="shared" si="55"/>
        <v>1</v>
      </c>
    </row>
    <row r="1749" spans="1:5" x14ac:dyDescent="0.15">
      <c r="A1749" s="66" t="s">
        <v>3601</v>
      </c>
      <c r="B1749" s="66" t="s">
        <v>3602</v>
      </c>
      <c r="C1749" s="66" t="s">
        <v>359</v>
      </c>
      <c r="D1749" s="66" t="str">
        <f t="shared" si="54"/>
        <v>1763</v>
      </c>
      <c r="E1749" s="66">
        <f t="shared" si="55"/>
        <v>1</v>
      </c>
    </row>
    <row r="1750" spans="1:5" x14ac:dyDescent="0.15">
      <c r="A1750" s="66" t="s">
        <v>3603</v>
      </c>
      <c r="B1750" s="66" t="s">
        <v>3604</v>
      </c>
      <c r="C1750" s="66" t="s">
        <v>359</v>
      </c>
      <c r="D1750" s="66" t="str">
        <f t="shared" si="54"/>
        <v>1764</v>
      </c>
      <c r="E1750" s="66">
        <f t="shared" si="55"/>
        <v>1</v>
      </c>
    </row>
    <row r="1751" spans="1:5" x14ac:dyDescent="0.15">
      <c r="A1751" s="66" t="s">
        <v>3605</v>
      </c>
      <c r="B1751" s="66" t="s">
        <v>3606</v>
      </c>
      <c r="C1751" s="66" t="s">
        <v>79</v>
      </c>
      <c r="D1751" s="66" t="str">
        <f t="shared" si="54"/>
        <v>1765</v>
      </c>
      <c r="E1751" s="66">
        <f t="shared" si="55"/>
        <v>1</v>
      </c>
    </row>
    <row r="1752" spans="1:5" x14ac:dyDescent="0.15">
      <c r="A1752" s="66" t="s">
        <v>3607</v>
      </c>
      <c r="B1752" s="66" t="s">
        <v>3608</v>
      </c>
      <c r="C1752" s="66" t="s">
        <v>101</v>
      </c>
      <c r="D1752" s="66" t="str">
        <f t="shared" si="54"/>
        <v>1766</v>
      </c>
      <c r="E1752" s="66">
        <f t="shared" si="55"/>
        <v>1</v>
      </c>
    </row>
    <row r="1753" spans="1:5" x14ac:dyDescent="0.15">
      <c r="A1753" s="66" t="s">
        <v>3609</v>
      </c>
      <c r="B1753" s="66" t="s">
        <v>3610</v>
      </c>
      <c r="C1753" s="66" t="s">
        <v>101</v>
      </c>
      <c r="D1753" s="66" t="str">
        <f t="shared" si="54"/>
        <v>1767</v>
      </c>
      <c r="E1753" s="66">
        <f t="shared" si="55"/>
        <v>1</v>
      </c>
    </row>
    <row r="1754" spans="1:5" x14ac:dyDescent="0.15">
      <c r="A1754" s="66" t="s">
        <v>3611</v>
      </c>
      <c r="B1754" s="66" t="s">
        <v>3612</v>
      </c>
      <c r="C1754" s="66" t="s">
        <v>133</v>
      </c>
      <c r="D1754" s="66" t="str">
        <f t="shared" si="54"/>
        <v>1768</v>
      </c>
      <c r="E1754" s="66">
        <f t="shared" si="55"/>
        <v>1</v>
      </c>
    </row>
    <row r="1755" spans="1:5" x14ac:dyDescent="0.15">
      <c r="A1755" s="66" t="s">
        <v>3613</v>
      </c>
      <c r="B1755" s="66" t="s">
        <v>3614</v>
      </c>
      <c r="C1755" s="66" t="s">
        <v>133</v>
      </c>
      <c r="D1755" s="66" t="str">
        <f t="shared" si="54"/>
        <v>1769</v>
      </c>
      <c r="E1755" s="66">
        <f t="shared" si="55"/>
        <v>1</v>
      </c>
    </row>
    <row r="1756" spans="1:5" x14ac:dyDescent="0.15">
      <c r="A1756" s="66" t="s">
        <v>3615</v>
      </c>
      <c r="B1756" s="66" t="s">
        <v>3616</v>
      </c>
      <c r="C1756" s="66" t="s">
        <v>340</v>
      </c>
      <c r="D1756" s="66" t="str">
        <f t="shared" si="54"/>
        <v>1770</v>
      </c>
      <c r="E1756" s="66">
        <f t="shared" si="55"/>
        <v>1</v>
      </c>
    </row>
    <row r="1757" spans="1:5" x14ac:dyDescent="0.15">
      <c r="A1757" s="66" t="s">
        <v>3617</v>
      </c>
      <c r="B1757" s="66" t="s">
        <v>3618</v>
      </c>
      <c r="C1757" s="66" t="s">
        <v>71</v>
      </c>
      <c r="D1757" s="66" t="str">
        <f t="shared" si="54"/>
        <v>1771</v>
      </c>
      <c r="E1757" s="66">
        <f t="shared" si="55"/>
        <v>1</v>
      </c>
    </row>
    <row r="1758" spans="1:5" x14ac:dyDescent="0.15">
      <c r="A1758" s="66" t="s">
        <v>3619</v>
      </c>
      <c r="B1758" s="66" t="s">
        <v>3620</v>
      </c>
      <c r="C1758" s="66" t="s">
        <v>101</v>
      </c>
      <c r="D1758" s="66" t="str">
        <f t="shared" si="54"/>
        <v>1772</v>
      </c>
      <c r="E1758" s="66">
        <f t="shared" si="55"/>
        <v>1</v>
      </c>
    </row>
    <row r="1759" spans="1:5" x14ac:dyDescent="0.15">
      <c r="A1759" s="66" t="s">
        <v>3621</v>
      </c>
      <c r="B1759" s="66" t="s">
        <v>3622</v>
      </c>
      <c r="C1759" s="66" t="s">
        <v>71</v>
      </c>
      <c r="D1759" s="66" t="str">
        <f t="shared" si="54"/>
        <v>1773</v>
      </c>
      <c r="E1759" s="66">
        <f t="shared" si="55"/>
        <v>1</v>
      </c>
    </row>
    <row r="1760" spans="1:5" x14ac:dyDescent="0.15">
      <c r="A1760" s="66" t="s">
        <v>3623</v>
      </c>
      <c r="B1760" s="66" t="s">
        <v>3624</v>
      </c>
      <c r="C1760" s="66" t="s">
        <v>67</v>
      </c>
      <c r="D1760" s="66" t="str">
        <f t="shared" si="54"/>
        <v>1774</v>
      </c>
      <c r="E1760" s="66">
        <f t="shared" si="55"/>
        <v>1</v>
      </c>
    </row>
    <row r="1761" spans="1:5" x14ac:dyDescent="0.15">
      <c r="A1761" s="66" t="s">
        <v>3625</v>
      </c>
      <c r="B1761" s="66" t="s">
        <v>3626</v>
      </c>
      <c r="C1761" s="66" t="s">
        <v>359</v>
      </c>
      <c r="D1761" s="66" t="str">
        <f t="shared" si="54"/>
        <v>1775</v>
      </c>
      <c r="E1761" s="66">
        <f t="shared" si="55"/>
        <v>1</v>
      </c>
    </row>
    <row r="1762" spans="1:5" x14ac:dyDescent="0.15">
      <c r="A1762" s="66" t="s">
        <v>3627</v>
      </c>
      <c r="B1762" s="66" t="s">
        <v>3628</v>
      </c>
      <c r="C1762" s="66" t="s">
        <v>359</v>
      </c>
      <c r="D1762" s="66" t="str">
        <f t="shared" si="54"/>
        <v>1776</v>
      </c>
      <c r="E1762" s="66">
        <f t="shared" si="55"/>
        <v>1</v>
      </c>
    </row>
    <row r="1763" spans="1:5" x14ac:dyDescent="0.15">
      <c r="A1763" s="66" t="s">
        <v>3629</v>
      </c>
      <c r="B1763" s="66" t="s">
        <v>3630</v>
      </c>
      <c r="C1763" s="66" t="s">
        <v>874</v>
      </c>
      <c r="D1763" s="66" t="str">
        <f t="shared" si="54"/>
        <v>1777</v>
      </c>
      <c r="E1763" s="66">
        <f t="shared" si="55"/>
        <v>1</v>
      </c>
    </row>
    <row r="1764" spans="1:5" x14ac:dyDescent="0.15">
      <c r="A1764" s="66" t="s">
        <v>3631</v>
      </c>
      <c r="B1764" s="66" t="s">
        <v>3632</v>
      </c>
      <c r="C1764" s="66" t="s">
        <v>133</v>
      </c>
      <c r="D1764" s="66" t="str">
        <f t="shared" si="54"/>
        <v>1778</v>
      </c>
      <c r="E1764" s="66">
        <f t="shared" si="55"/>
        <v>1</v>
      </c>
    </row>
    <row r="1765" spans="1:5" x14ac:dyDescent="0.15">
      <c r="A1765" s="66" t="s">
        <v>3633</v>
      </c>
      <c r="B1765" s="66" t="s">
        <v>3634</v>
      </c>
      <c r="C1765" s="66" t="s">
        <v>874</v>
      </c>
      <c r="D1765" s="66" t="str">
        <f t="shared" si="54"/>
        <v>1779</v>
      </c>
      <c r="E1765" s="66">
        <f t="shared" si="55"/>
        <v>1</v>
      </c>
    </row>
    <row r="1766" spans="1:5" x14ac:dyDescent="0.15">
      <c r="A1766" s="66" t="s">
        <v>3635</v>
      </c>
      <c r="B1766" s="66" t="s">
        <v>3636</v>
      </c>
      <c r="C1766" s="66" t="s">
        <v>101</v>
      </c>
      <c r="D1766" s="66" t="str">
        <f t="shared" si="54"/>
        <v>1780</v>
      </c>
      <c r="E1766" s="66">
        <f t="shared" si="55"/>
        <v>1</v>
      </c>
    </row>
    <row r="1767" spans="1:5" x14ac:dyDescent="0.15">
      <c r="A1767" s="66" t="s">
        <v>3637</v>
      </c>
      <c r="B1767" s="66" t="s">
        <v>3638</v>
      </c>
      <c r="C1767" s="66" t="s">
        <v>101</v>
      </c>
      <c r="D1767" s="66" t="str">
        <f t="shared" si="54"/>
        <v>1781</v>
      </c>
      <c r="E1767" s="66">
        <f t="shared" si="55"/>
        <v>1</v>
      </c>
    </row>
    <row r="1768" spans="1:5" x14ac:dyDescent="0.15">
      <c r="A1768" s="66" t="s">
        <v>3639</v>
      </c>
      <c r="B1768" s="66" t="s">
        <v>3640</v>
      </c>
      <c r="C1768" s="66" t="s">
        <v>359</v>
      </c>
      <c r="D1768" s="66" t="str">
        <f t="shared" si="54"/>
        <v>1782</v>
      </c>
      <c r="E1768" s="66">
        <f t="shared" si="55"/>
        <v>1</v>
      </c>
    </row>
    <row r="1769" spans="1:5" x14ac:dyDescent="0.15">
      <c r="A1769" s="66" t="s">
        <v>3641</v>
      </c>
      <c r="B1769" s="66" t="s">
        <v>3642</v>
      </c>
      <c r="C1769" s="66" t="s">
        <v>133</v>
      </c>
      <c r="D1769" s="66" t="str">
        <f t="shared" si="54"/>
        <v>1783</v>
      </c>
      <c r="E1769" s="66">
        <f t="shared" si="55"/>
        <v>1</v>
      </c>
    </row>
    <row r="1770" spans="1:5" x14ac:dyDescent="0.15">
      <c r="A1770" s="66" t="s">
        <v>3643</v>
      </c>
      <c r="B1770" s="66" t="s">
        <v>3644</v>
      </c>
      <c r="C1770" s="66" t="s">
        <v>86</v>
      </c>
      <c r="D1770" s="66" t="str">
        <f t="shared" si="54"/>
        <v>1784</v>
      </c>
      <c r="E1770" s="66">
        <f t="shared" si="55"/>
        <v>1</v>
      </c>
    </row>
    <row r="1771" spans="1:5" x14ac:dyDescent="0.15">
      <c r="A1771" s="66" t="s">
        <v>3645</v>
      </c>
      <c r="B1771" s="66" t="s">
        <v>3646</v>
      </c>
      <c r="C1771" s="66" t="s">
        <v>874</v>
      </c>
      <c r="D1771" s="66" t="str">
        <f t="shared" si="54"/>
        <v>1785</v>
      </c>
      <c r="E1771" s="66">
        <f t="shared" si="55"/>
        <v>1</v>
      </c>
    </row>
    <row r="1772" spans="1:5" x14ac:dyDescent="0.15">
      <c r="A1772" s="66" t="s">
        <v>3647</v>
      </c>
      <c r="B1772" s="66" t="s">
        <v>3648</v>
      </c>
      <c r="C1772" s="66" t="s">
        <v>86</v>
      </c>
      <c r="D1772" s="66" t="str">
        <f t="shared" si="54"/>
        <v>1786</v>
      </c>
      <c r="E1772" s="66">
        <f t="shared" si="55"/>
        <v>1</v>
      </c>
    </row>
    <row r="1773" spans="1:5" x14ac:dyDescent="0.15">
      <c r="A1773" s="66" t="s">
        <v>3649</v>
      </c>
      <c r="B1773" s="66" t="s">
        <v>3650</v>
      </c>
      <c r="C1773" s="66" t="s">
        <v>359</v>
      </c>
      <c r="D1773" s="66" t="str">
        <f t="shared" si="54"/>
        <v>1787</v>
      </c>
      <c r="E1773" s="66">
        <f t="shared" si="55"/>
        <v>1</v>
      </c>
    </row>
    <row r="1774" spans="1:5" x14ac:dyDescent="0.15">
      <c r="A1774" s="66" t="s">
        <v>3651</v>
      </c>
      <c r="B1774" s="66" t="s">
        <v>3652</v>
      </c>
      <c r="C1774" s="66" t="s">
        <v>67</v>
      </c>
      <c r="D1774" s="66" t="str">
        <f t="shared" si="54"/>
        <v>1788</v>
      </c>
      <c r="E1774" s="66">
        <f t="shared" si="55"/>
        <v>1</v>
      </c>
    </row>
    <row r="1775" spans="1:5" x14ac:dyDescent="0.15">
      <c r="A1775" s="66" t="s">
        <v>3653</v>
      </c>
      <c r="B1775" s="66" t="s">
        <v>3654</v>
      </c>
      <c r="C1775" s="66" t="s">
        <v>245</v>
      </c>
      <c r="D1775" s="66" t="str">
        <f t="shared" si="54"/>
        <v>1789</v>
      </c>
      <c r="E1775" s="66">
        <f t="shared" si="55"/>
        <v>1</v>
      </c>
    </row>
    <row r="1776" spans="1:5" x14ac:dyDescent="0.15">
      <c r="A1776" s="66" t="s">
        <v>3655</v>
      </c>
      <c r="B1776" s="66" t="s">
        <v>3656</v>
      </c>
      <c r="C1776" s="66" t="s">
        <v>101</v>
      </c>
      <c r="D1776" s="66" t="str">
        <f t="shared" si="54"/>
        <v>1790</v>
      </c>
      <c r="E1776" s="66">
        <f t="shared" si="55"/>
        <v>1</v>
      </c>
    </row>
    <row r="1777" spans="1:5" x14ac:dyDescent="0.15">
      <c r="A1777" s="66" t="s">
        <v>81</v>
      </c>
      <c r="B1777" s="66" t="s">
        <v>83</v>
      </c>
      <c r="C1777" s="66" t="s">
        <v>79</v>
      </c>
      <c r="D1777" s="66" t="str">
        <f t="shared" si="54"/>
        <v>1791</v>
      </c>
      <c r="E1777" s="66">
        <f t="shared" si="55"/>
        <v>1</v>
      </c>
    </row>
    <row r="1778" spans="1:5" x14ac:dyDescent="0.15">
      <c r="A1778" s="66" t="s">
        <v>3657</v>
      </c>
      <c r="B1778" s="66" t="s">
        <v>3658</v>
      </c>
      <c r="C1778" s="66" t="s">
        <v>101</v>
      </c>
      <c r="D1778" s="66" t="str">
        <f t="shared" si="54"/>
        <v>1792</v>
      </c>
      <c r="E1778" s="66">
        <f t="shared" si="55"/>
        <v>1</v>
      </c>
    </row>
    <row r="1779" spans="1:5" x14ac:dyDescent="0.15">
      <c r="A1779" s="66" t="s">
        <v>3659</v>
      </c>
      <c r="B1779" s="66" t="s">
        <v>3660</v>
      </c>
      <c r="C1779" s="66" t="s">
        <v>340</v>
      </c>
      <c r="D1779" s="66" t="str">
        <f t="shared" si="54"/>
        <v>1793</v>
      </c>
      <c r="E1779" s="66">
        <f t="shared" si="55"/>
        <v>1</v>
      </c>
    </row>
    <row r="1780" spans="1:5" x14ac:dyDescent="0.15">
      <c r="A1780" s="66" t="s">
        <v>3661</v>
      </c>
      <c r="B1780" s="66" t="s">
        <v>3662</v>
      </c>
      <c r="C1780" s="66" t="s">
        <v>359</v>
      </c>
      <c r="D1780" s="66" t="str">
        <f t="shared" si="54"/>
        <v>1794</v>
      </c>
      <c r="E1780" s="66">
        <f t="shared" si="55"/>
        <v>1</v>
      </c>
    </row>
    <row r="1781" spans="1:5" x14ac:dyDescent="0.15">
      <c r="A1781" s="66" t="s">
        <v>3663</v>
      </c>
      <c r="B1781" s="66" t="s">
        <v>3664</v>
      </c>
      <c r="C1781" s="66" t="s">
        <v>86</v>
      </c>
      <c r="D1781" s="66" t="str">
        <f t="shared" si="54"/>
        <v>1795</v>
      </c>
      <c r="E1781" s="66">
        <f t="shared" si="55"/>
        <v>1</v>
      </c>
    </row>
    <row r="1782" spans="1:5" x14ac:dyDescent="0.15">
      <c r="A1782" s="66" t="s">
        <v>3665</v>
      </c>
      <c r="B1782" s="66" t="s">
        <v>3666</v>
      </c>
      <c r="C1782" s="66" t="s">
        <v>86</v>
      </c>
      <c r="D1782" s="66" t="str">
        <f t="shared" si="54"/>
        <v>1796</v>
      </c>
      <c r="E1782" s="66">
        <f t="shared" si="55"/>
        <v>1</v>
      </c>
    </row>
    <row r="1783" spans="1:5" x14ac:dyDescent="0.15">
      <c r="A1783" s="66" t="s">
        <v>3667</v>
      </c>
      <c r="B1783" s="66" t="s">
        <v>3668</v>
      </c>
      <c r="C1783" s="66" t="s">
        <v>133</v>
      </c>
      <c r="D1783" s="66" t="str">
        <f t="shared" si="54"/>
        <v>1797</v>
      </c>
      <c r="E1783" s="66">
        <f t="shared" si="55"/>
        <v>1</v>
      </c>
    </row>
    <row r="1784" spans="1:5" x14ac:dyDescent="0.15">
      <c r="A1784" s="66" t="s">
        <v>3669</v>
      </c>
      <c r="B1784" s="66" t="s">
        <v>3670</v>
      </c>
      <c r="C1784" s="66" t="s">
        <v>86</v>
      </c>
      <c r="D1784" s="66" t="str">
        <f t="shared" si="54"/>
        <v>1798</v>
      </c>
      <c r="E1784" s="66">
        <f t="shared" si="55"/>
        <v>1</v>
      </c>
    </row>
    <row r="1785" spans="1:5" x14ac:dyDescent="0.15">
      <c r="A1785" s="66" t="s">
        <v>3671</v>
      </c>
      <c r="B1785" s="66" t="s">
        <v>3672</v>
      </c>
      <c r="C1785" s="66" t="s">
        <v>133</v>
      </c>
      <c r="D1785" s="66" t="str">
        <f t="shared" si="54"/>
        <v>1799</v>
      </c>
      <c r="E1785" s="66">
        <f t="shared" si="55"/>
        <v>1</v>
      </c>
    </row>
    <row r="1786" spans="1:5" x14ac:dyDescent="0.15">
      <c r="A1786" s="66" t="s">
        <v>3673</v>
      </c>
      <c r="B1786" s="66" t="s">
        <v>3674</v>
      </c>
      <c r="C1786" s="66" t="s">
        <v>71</v>
      </c>
      <c r="D1786" s="66" t="str">
        <f t="shared" si="54"/>
        <v>1800</v>
      </c>
      <c r="E1786" s="66">
        <f t="shared" si="55"/>
        <v>1</v>
      </c>
    </row>
    <row r="1787" spans="1:5" x14ac:dyDescent="0.15">
      <c r="A1787" s="66" t="s">
        <v>3675</v>
      </c>
      <c r="B1787" s="66" t="s">
        <v>3676</v>
      </c>
      <c r="C1787" s="66" t="s">
        <v>874</v>
      </c>
      <c r="D1787" s="66" t="str">
        <f t="shared" si="54"/>
        <v>1801</v>
      </c>
      <c r="E1787" s="66">
        <f t="shared" si="55"/>
        <v>1</v>
      </c>
    </row>
    <row r="1788" spans="1:5" x14ac:dyDescent="0.15">
      <c r="A1788" s="66" t="s">
        <v>3677</v>
      </c>
      <c r="B1788" s="66" t="s">
        <v>3678</v>
      </c>
      <c r="C1788" s="66" t="s">
        <v>133</v>
      </c>
      <c r="D1788" s="66" t="str">
        <f t="shared" si="54"/>
        <v>1802</v>
      </c>
      <c r="E1788" s="66">
        <f t="shared" si="55"/>
        <v>1</v>
      </c>
    </row>
    <row r="1789" spans="1:5" x14ac:dyDescent="0.15">
      <c r="A1789" s="66" t="s">
        <v>93</v>
      </c>
      <c r="B1789" s="66" t="s">
        <v>95</v>
      </c>
      <c r="C1789" s="66" t="s">
        <v>86</v>
      </c>
      <c r="D1789" s="66" t="str">
        <f t="shared" si="54"/>
        <v>1803</v>
      </c>
      <c r="E1789" s="66">
        <f t="shared" si="55"/>
        <v>1</v>
      </c>
    </row>
    <row r="1790" spans="1:5" x14ac:dyDescent="0.15">
      <c r="A1790" s="66" t="s">
        <v>3679</v>
      </c>
      <c r="B1790" s="66" t="s">
        <v>3680</v>
      </c>
      <c r="C1790" s="66" t="s">
        <v>79</v>
      </c>
      <c r="D1790" s="66" t="str">
        <f t="shared" si="54"/>
        <v>1804</v>
      </c>
      <c r="E1790" s="66">
        <f t="shared" si="55"/>
        <v>1</v>
      </c>
    </row>
    <row r="1791" spans="1:5" x14ac:dyDescent="0.15">
      <c r="A1791" s="66" t="s">
        <v>3681</v>
      </c>
      <c r="B1791" s="66" t="s">
        <v>3682</v>
      </c>
      <c r="C1791" s="66" t="s">
        <v>79</v>
      </c>
      <c r="D1791" s="66" t="str">
        <f t="shared" si="54"/>
        <v>1805</v>
      </c>
      <c r="E1791" s="66">
        <f t="shared" si="55"/>
        <v>1</v>
      </c>
    </row>
    <row r="1792" spans="1:5" x14ac:dyDescent="0.15">
      <c r="A1792" s="66" t="s">
        <v>3683</v>
      </c>
      <c r="B1792" s="66" t="s">
        <v>3233</v>
      </c>
      <c r="C1792" s="66" t="s">
        <v>874</v>
      </c>
      <c r="D1792" s="66" t="str">
        <f t="shared" si="54"/>
        <v>1806</v>
      </c>
      <c r="E1792" s="66">
        <f t="shared" si="55"/>
        <v>2</v>
      </c>
    </row>
    <row r="1793" spans="1:5" x14ac:dyDescent="0.15">
      <c r="A1793" s="66" t="s">
        <v>3684</v>
      </c>
      <c r="B1793" s="66" t="s">
        <v>3685</v>
      </c>
      <c r="C1793" s="66" t="s">
        <v>101</v>
      </c>
      <c r="D1793" s="66" t="str">
        <f t="shared" si="54"/>
        <v>1807</v>
      </c>
      <c r="E1793" s="66">
        <f t="shared" si="55"/>
        <v>1</v>
      </c>
    </row>
    <row r="1794" spans="1:5" x14ac:dyDescent="0.15">
      <c r="A1794" s="66" t="s">
        <v>3686</v>
      </c>
      <c r="B1794" s="66" t="s">
        <v>3687</v>
      </c>
      <c r="C1794" s="66" t="s">
        <v>86</v>
      </c>
      <c r="D1794" s="66" t="str">
        <f t="shared" ref="D1794:D1857" si="56">A1794</f>
        <v>1808</v>
      </c>
      <c r="E1794" s="66">
        <f t="shared" ref="E1794:E1857" si="57">COUNTIFS(B:B,B1794)</f>
        <v>1</v>
      </c>
    </row>
    <row r="1795" spans="1:5" x14ac:dyDescent="0.15">
      <c r="A1795" s="66" t="s">
        <v>3688</v>
      </c>
      <c r="B1795" s="66" t="s">
        <v>3689</v>
      </c>
      <c r="C1795" s="66" t="s">
        <v>588</v>
      </c>
      <c r="D1795" s="66" t="str">
        <f t="shared" si="56"/>
        <v>1809</v>
      </c>
      <c r="E1795" s="66">
        <f t="shared" si="57"/>
        <v>1</v>
      </c>
    </row>
    <row r="1796" spans="1:5" x14ac:dyDescent="0.15">
      <c r="A1796" s="66" t="s">
        <v>3690</v>
      </c>
      <c r="B1796" s="66" t="s">
        <v>3691</v>
      </c>
      <c r="C1796" s="66" t="s">
        <v>874</v>
      </c>
      <c r="D1796" s="66" t="str">
        <f t="shared" si="56"/>
        <v>1810</v>
      </c>
      <c r="E1796" s="66">
        <f t="shared" si="57"/>
        <v>1</v>
      </c>
    </row>
    <row r="1797" spans="1:5" x14ac:dyDescent="0.15">
      <c r="A1797" s="66" t="s">
        <v>3692</v>
      </c>
      <c r="B1797" s="66" t="s">
        <v>2537</v>
      </c>
      <c r="C1797" s="66" t="s">
        <v>79</v>
      </c>
      <c r="D1797" s="66" t="str">
        <f t="shared" si="56"/>
        <v>1811</v>
      </c>
      <c r="E1797" s="66">
        <f t="shared" si="57"/>
        <v>2</v>
      </c>
    </row>
    <row r="1798" spans="1:5" x14ac:dyDescent="0.15">
      <c r="A1798" s="66" t="s">
        <v>3693</v>
      </c>
      <c r="B1798" s="66" t="s">
        <v>3694</v>
      </c>
      <c r="C1798" s="66" t="s">
        <v>359</v>
      </c>
      <c r="D1798" s="66" t="str">
        <f t="shared" si="56"/>
        <v>1812</v>
      </c>
      <c r="E1798" s="66">
        <f t="shared" si="57"/>
        <v>1</v>
      </c>
    </row>
    <row r="1799" spans="1:5" x14ac:dyDescent="0.15">
      <c r="A1799" s="66" t="s">
        <v>3695</v>
      </c>
      <c r="B1799" s="66" t="s">
        <v>3696</v>
      </c>
      <c r="C1799" s="66" t="s">
        <v>359</v>
      </c>
      <c r="D1799" s="66" t="str">
        <f t="shared" si="56"/>
        <v>1813</v>
      </c>
      <c r="E1799" s="66">
        <f t="shared" si="57"/>
        <v>1</v>
      </c>
    </row>
    <row r="1800" spans="1:5" x14ac:dyDescent="0.15">
      <c r="A1800" s="66" t="s">
        <v>3697</v>
      </c>
      <c r="B1800" s="66" t="s">
        <v>3698</v>
      </c>
      <c r="C1800" s="66" t="s">
        <v>874</v>
      </c>
      <c r="D1800" s="66" t="str">
        <f t="shared" si="56"/>
        <v>1814</v>
      </c>
      <c r="E1800" s="66">
        <f t="shared" si="57"/>
        <v>1</v>
      </c>
    </row>
    <row r="1801" spans="1:5" x14ac:dyDescent="0.15">
      <c r="A1801" s="66" t="s">
        <v>3699</v>
      </c>
      <c r="B1801" s="66" t="s">
        <v>3700</v>
      </c>
      <c r="C1801" s="66" t="s">
        <v>133</v>
      </c>
      <c r="D1801" s="66" t="str">
        <f t="shared" si="56"/>
        <v>1815</v>
      </c>
      <c r="E1801" s="66">
        <f t="shared" si="57"/>
        <v>1</v>
      </c>
    </row>
    <row r="1802" spans="1:5" x14ac:dyDescent="0.15">
      <c r="A1802" s="66" t="s">
        <v>3701</v>
      </c>
      <c r="B1802" s="66" t="s">
        <v>3702</v>
      </c>
      <c r="C1802" s="66" t="s">
        <v>277</v>
      </c>
      <c r="D1802" s="66" t="str">
        <f t="shared" si="56"/>
        <v>1816</v>
      </c>
      <c r="E1802" s="66">
        <f t="shared" si="57"/>
        <v>1</v>
      </c>
    </row>
    <row r="1803" spans="1:5" x14ac:dyDescent="0.15">
      <c r="A1803" s="66" t="s">
        <v>3703</v>
      </c>
      <c r="B1803" s="66" t="s">
        <v>3704</v>
      </c>
      <c r="C1803" s="66" t="s">
        <v>71</v>
      </c>
      <c r="D1803" s="66" t="str">
        <f t="shared" si="56"/>
        <v>1817</v>
      </c>
      <c r="E1803" s="66">
        <f t="shared" si="57"/>
        <v>1</v>
      </c>
    </row>
    <row r="1804" spans="1:5" x14ac:dyDescent="0.15">
      <c r="A1804" s="66" t="s">
        <v>3705</v>
      </c>
      <c r="B1804" s="66" t="s">
        <v>3706</v>
      </c>
      <c r="C1804" s="66" t="s">
        <v>79</v>
      </c>
      <c r="D1804" s="66" t="str">
        <f t="shared" si="56"/>
        <v>1818</v>
      </c>
      <c r="E1804" s="66">
        <f t="shared" si="57"/>
        <v>1</v>
      </c>
    </row>
    <row r="1805" spans="1:5" x14ac:dyDescent="0.15">
      <c r="A1805" s="66" t="s">
        <v>3707</v>
      </c>
      <c r="B1805" s="66" t="s">
        <v>3708</v>
      </c>
      <c r="C1805" s="66" t="s">
        <v>359</v>
      </c>
      <c r="D1805" s="66" t="str">
        <f t="shared" si="56"/>
        <v>1819</v>
      </c>
      <c r="E1805" s="66">
        <f t="shared" si="57"/>
        <v>1</v>
      </c>
    </row>
    <row r="1806" spans="1:5" x14ac:dyDescent="0.15">
      <c r="A1806" s="66" t="s">
        <v>3709</v>
      </c>
      <c r="B1806" s="66" t="s">
        <v>3710</v>
      </c>
      <c r="C1806" s="66" t="s">
        <v>101</v>
      </c>
      <c r="D1806" s="66" t="str">
        <f t="shared" si="56"/>
        <v>1820</v>
      </c>
      <c r="E1806" s="66">
        <f t="shared" si="57"/>
        <v>1</v>
      </c>
    </row>
    <row r="1807" spans="1:5" x14ac:dyDescent="0.15">
      <c r="A1807" s="66" t="s">
        <v>3711</v>
      </c>
      <c r="B1807" s="66" t="s">
        <v>3712</v>
      </c>
      <c r="C1807" s="66" t="s">
        <v>359</v>
      </c>
      <c r="D1807" s="66" t="str">
        <f t="shared" si="56"/>
        <v>1821</v>
      </c>
      <c r="E1807" s="66">
        <f t="shared" si="57"/>
        <v>1</v>
      </c>
    </row>
    <row r="1808" spans="1:5" x14ac:dyDescent="0.15">
      <c r="A1808" s="66" t="s">
        <v>3713</v>
      </c>
      <c r="B1808" s="66" t="s">
        <v>3714</v>
      </c>
      <c r="C1808" s="66" t="s">
        <v>101</v>
      </c>
      <c r="D1808" s="66" t="str">
        <f t="shared" si="56"/>
        <v>1822</v>
      </c>
      <c r="E1808" s="66">
        <f t="shared" si="57"/>
        <v>1</v>
      </c>
    </row>
    <row r="1809" spans="1:5" x14ac:dyDescent="0.15">
      <c r="A1809" s="66" t="s">
        <v>3715</v>
      </c>
      <c r="B1809" s="66" t="s">
        <v>3716</v>
      </c>
      <c r="C1809" s="66" t="s">
        <v>359</v>
      </c>
      <c r="D1809" s="66" t="str">
        <f t="shared" si="56"/>
        <v>1823</v>
      </c>
      <c r="E1809" s="66">
        <f t="shared" si="57"/>
        <v>1</v>
      </c>
    </row>
    <row r="1810" spans="1:5" x14ac:dyDescent="0.15">
      <c r="A1810" s="66" t="s">
        <v>3717</v>
      </c>
      <c r="B1810" s="66" t="s">
        <v>3718</v>
      </c>
      <c r="C1810" s="66" t="s">
        <v>71</v>
      </c>
      <c r="D1810" s="66" t="str">
        <f t="shared" si="56"/>
        <v>1824</v>
      </c>
      <c r="E1810" s="66">
        <f t="shared" si="57"/>
        <v>1</v>
      </c>
    </row>
    <row r="1811" spans="1:5" x14ac:dyDescent="0.15">
      <c r="A1811" s="66" t="s">
        <v>3719</v>
      </c>
      <c r="B1811" s="66" t="s">
        <v>3720</v>
      </c>
      <c r="C1811" s="66" t="s">
        <v>79</v>
      </c>
      <c r="D1811" s="66" t="str">
        <f t="shared" si="56"/>
        <v>1825</v>
      </c>
      <c r="E1811" s="66">
        <f t="shared" si="57"/>
        <v>1</v>
      </c>
    </row>
    <row r="1812" spans="1:5" x14ac:dyDescent="0.15">
      <c r="A1812" s="66" t="s">
        <v>3721</v>
      </c>
      <c r="B1812" s="66" t="s">
        <v>3722</v>
      </c>
      <c r="C1812" s="66" t="s">
        <v>359</v>
      </c>
      <c r="D1812" s="66" t="str">
        <f t="shared" si="56"/>
        <v>1826</v>
      </c>
      <c r="E1812" s="66">
        <f t="shared" si="57"/>
        <v>1</v>
      </c>
    </row>
    <row r="1813" spans="1:5" x14ac:dyDescent="0.15">
      <c r="A1813" s="66" t="s">
        <v>3723</v>
      </c>
      <c r="B1813" s="66" t="s">
        <v>3724</v>
      </c>
      <c r="C1813" s="66" t="s">
        <v>359</v>
      </c>
      <c r="D1813" s="66" t="str">
        <f t="shared" si="56"/>
        <v>1827</v>
      </c>
      <c r="E1813" s="66">
        <f t="shared" si="57"/>
        <v>1</v>
      </c>
    </row>
    <row r="1814" spans="1:5" x14ac:dyDescent="0.15">
      <c r="A1814" s="66" t="s">
        <v>3725</v>
      </c>
      <c r="B1814" s="66" t="s">
        <v>3726</v>
      </c>
      <c r="C1814" s="66" t="s">
        <v>101</v>
      </c>
      <c r="D1814" s="66" t="str">
        <f t="shared" si="56"/>
        <v>1828</v>
      </c>
      <c r="E1814" s="66">
        <f t="shared" si="57"/>
        <v>1</v>
      </c>
    </row>
    <row r="1815" spans="1:5" x14ac:dyDescent="0.15">
      <c r="A1815" s="66" t="s">
        <v>3727</v>
      </c>
      <c r="B1815" s="66" t="s">
        <v>3728</v>
      </c>
      <c r="C1815" s="66" t="s">
        <v>359</v>
      </c>
      <c r="D1815" s="66" t="str">
        <f t="shared" si="56"/>
        <v>1829</v>
      </c>
      <c r="E1815" s="66">
        <f t="shared" si="57"/>
        <v>1</v>
      </c>
    </row>
    <row r="1816" spans="1:5" x14ac:dyDescent="0.15">
      <c r="A1816" s="66" t="s">
        <v>3729</v>
      </c>
      <c r="B1816" s="66" t="s">
        <v>1122</v>
      </c>
      <c r="C1816" s="66" t="s">
        <v>359</v>
      </c>
      <c r="D1816" s="66" t="str">
        <f t="shared" si="56"/>
        <v>1830</v>
      </c>
      <c r="E1816" s="66">
        <f t="shared" si="57"/>
        <v>2</v>
      </c>
    </row>
    <row r="1817" spans="1:5" x14ac:dyDescent="0.15">
      <c r="A1817" s="66" t="s">
        <v>3730</v>
      </c>
      <c r="B1817" s="66" t="s">
        <v>3731</v>
      </c>
      <c r="C1817" s="66" t="s">
        <v>359</v>
      </c>
      <c r="D1817" s="66" t="str">
        <f t="shared" si="56"/>
        <v>1831</v>
      </c>
      <c r="E1817" s="66">
        <f t="shared" si="57"/>
        <v>1</v>
      </c>
    </row>
    <row r="1818" spans="1:5" x14ac:dyDescent="0.15">
      <c r="A1818" s="66" t="s">
        <v>3732</v>
      </c>
      <c r="B1818" s="66" t="s">
        <v>3733</v>
      </c>
      <c r="C1818" s="66" t="s">
        <v>359</v>
      </c>
      <c r="D1818" s="66" t="str">
        <f t="shared" si="56"/>
        <v>1832</v>
      </c>
      <c r="E1818" s="66">
        <f t="shared" si="57"/>
        <v>1</v>
      </c>
    </row>
    <row r="1819" spans="1:5" x14ac:dyDescent="0.15">
      <c r="A1819" s="66" t="s">
        <v>3734</v>
      </c>
      <c r="B1819" s="66" t="s">
        <v>3735</v>
      </c>
      <c r="C1819" s="66" t="s">
        <v>359</v>
      </c>
      <c r="D1819" s="66" t="str">
        <f t="shared" si="56"/>
        <v>1833</v>
      </c>
      <c r="E1819" s="66">
        <f t="shared" si="57"/>
        <v>1</v>
      </c>
    </row>
    <row r="1820" spans="1:5" x14ac:dyDescent="0.15">
      <c r="A1820" s="66" t="s">
        <v>3736</v>
      </c>
      <c r="B1820" s="66" t="s">
        <v>3737</v>
      </c>
      <c r="C1820" s="66" t="s">
        <v>359</v>
      </c>
      <c r="D1820" s="66" t="str">
        <f t="shared" si="56"/>
        <v>1834</v>
      </c>
      <c r="E1820" s="66">
        <f t="shared" si="57"/>
        <v>1</v>
      </c>
    </row>
    <row r="1821" spans="1:5" x14ac:dyDescent="0.15">
      <c r="A1821" s="66" t="s">
        <v>3738</v>
      </c>
      <c r="B1821" s="66" t="s">
        <v>3739</v>
      </c>
      <c r="C1821" s="66" t="s">
        <v>359</v>
      </c>
      <c r="D1821" s="66" t="str">
        <f t="shared" si="56"/>
        <v>1835</v>
      </c>
      <c r="E1821" s="66">
        <f t="shared" si="57"/>
        <v>1</v>
      </c>
    </row>
    <row r="1822" spans="1:5" x14ac:dyDescent="0.15">
      <c r="A1822" s="66" t="s">
        <v>3740</v>
      </c>
      <c r="B1822" s="66" t="s">
        <v>3741</v>
      </c>
      <c r="C1822" s="66" t="s">
        <v>75</v>
      </c>
      <c r="D1822" s="66" t="str">
        <f t="shared" si="56"/>
        <v>1836</v>
      </c>
      <c r="E1822" s="66">
        <f t="shared" si="57"/>
        <v>1</v>
      </c>
    </row>
    <row r="1823" spans="1:5" x14ac:dyDescent="0.15">
      <c r="A1823" s="66" t="s">
        <v>3742</v>
      </c>
      <c r="B1823" s="66" t="s">
        <v>3743</v>
      </c>
      <c r="C1823" s="66" t="s">
        <v>359</v>
      </c>
      <c r="D1823" s="66" t="str">
        <f t="shared" si="56"/>
        <v>1837</v>
      </c>
      <c r="E1823" s="66">
        <f t="shared" si="57"/>
        <v>1</v>
      </c>
    </row>
    <row r="1824" spans="1:5" x14ac:dyDescent="0.15">
      <c r="A1824" s="66" t="s">
        <v>3744</v>
      </c>
      <c r="B1824" s="66" t="s">
        <v>3745</v>
      </c>
      <c r="C1824" s="66" t="s">
        <v>359</v>
      </c>
      <c r="D1824" s="66" t="str">
        <f t="shared" si="56"/>
        <v>1838</v>
      </c>
      <c r="E1824" s="66">
        <f t="shared" si="57"/>
        <v>1</v>
      </c>
    </row>
    <row r="1825" spans="1:5" x14ac:dyDescent="0.15">
      <c r="A1825" s="66" t="s">
        <v>3746</v>
      </c>
      <c r="B1825" s="66" t="s">
        <v>3747</v>
      </c>
      <c r="C1825" s="66" t="s">
        <v>340</v>
      </c>
      <c r="D1825" s="66" t="str">
        <f t="shared" si="56"/>
        <v>1839</v>
      </c>
      <c r="E1825" s="66">
        <f t="shared" si="57"/>
        <v>1</v>
      </c>
    </row>
    <row r="1826" spans="1:5" x14ac:dyDescent="0.15">
      <c r="A1826" s="66" t="s">
        <v>3748</v>
      </c>
      <c r="B1826" s="66" t="s">
        <v>3749</v>
      </c>
      <c r="C1826" s="66" t="s">
        <v>340</v>
      </c>
      <c r="D1826" s="66" t="str">
        <f t="shared" si="56"/>
        <v>1840</v>
      </c>
      <c r="E1826" s="66">
        <f t="shared" si="57"/>
        <v>1</v>
      </c>
    </row>
    <row r="1827" spans="1:5" x14ac:dyDescent="0.15">
      <c r="A1827" s="66" t="s">
        <v>3750</v>
      </c>
      <c r="B1827" s="66" t="s">
        <v>188</v>
      </c>
      <c r="C1827" s="66" t="s">
        <v>71</v>
      </c>
      <c r="D1827" s="66" t="str">
        <f t="shared" si="56"/>
        <v>1841</v>
      </c>
      <c r="E1827" s="66">
        <f t="shared" si="57"/>
        <v>2</v>
      </c>
    </row>
    <row r="1828" spans="1:5" x14ac:dyDescent="0.15">
      <c r="A1828" s="66" t="s">
        <v>3751</v>
      </c>
      <c r="B1828" s="66" t="s">
        <v>3752</v>
      </c>
      <c r="C1828" s="66" t="s">
        <v>101</v>
      </c>
      <c r="D1828" s="66" t="str">
        <f t="shared" si="56"/>
        <v>1842</v>
      </c>
      <c r="E1828" s="66">
        <f t="shared" si="57"/>
        <v>1</v>
      </c>
    </row>
    <row r="1829" spans="1:5" x14ac:dyDescent="0.15">
      <c r="A1829" s="66" t="s">
        <v>3753</v>
      </c>
      <c r="B1829" s="66" t="s">
        <v>3754</v>
      </c>
      <c r="C1829" s="66" t="s">
        <v>75</v>
      </c>
      <c r="D1829" s="66" t="str">
        <f t="shared" si="56"/>
        <v>1843</v>
      </c>
      <c r="E1829" s="66">
        <f t="shared" si="57"/>
        <v>1</v>
      </c>
    </row>
    <row r="1830" spans="1:5" x14ac:dyDescent="0.15">
      <c r="A1830" s="66" t="s">
        <v>3755</v>
      </c>
      <c r="B1830" s="66" t="s">
        <v>3756</v>
      </c>
      <c r="C1830" s="66" t="s">
        <v>75</v>
      </c>
      <c r="D1830" s="66" t="str">
        <f t="shared" si="56"/>
        <v>1844</v>
      </c>
      <c r="E1830" s="66">
        <f t="shared" si="57"/>
        <v>1</v>
      </c>
    </row>
    <row r="1831" spans="1:5" x14ac:dyDescent="0.15">
      <c r="A1831" s="66" t="s">
        <v>3757</v>
      </c>
      <c r="B1831" s="66" t="s">
        <v>3758</v>
      </c>
      <c r="C1831" s="66" t="s">
        <v>75</v>
      </c>
      <c r="D1831" s="66" t="str">
        <f t="shared" si="56"/>
        <v>1845</v>
      </c>
      <c r="E1831" s="66">
        <f t="shared" si="57"/>
        <v>1</v>
      </c>
    </row>
    <row r="1832" spans="1:5" x14ac:dyDescent="0.15">
      <c r="A1832" s="66" t="s">
        <v>3759</v>
      </c>
      <c r="B1832" s="66" t="s">
        <v>3760</v>
      </c>
      <c r="C1832" s="66" t="s">
        <v>340</v>
      </c>
      <c r="D1832" s="66" t="str">
        <f t="shared" si="56"/>
        <v>1846</v>
      </c>
      <c r="E1832" s="66">
        <f t="shared" si="57"/>
        <v>1</v>
      </c>
    </row>
    <row r="1833" spans="1:5" x14ac:dyDescent="0.15">
      <c r="A1833" s="66" t="s">
        <v>3761</v>
      </c>
      <c r="B1833" s="66" t="s">
        <v>3762</v>
      </c>
      <c r="C1833" s="66" t="s">
        <v>75</v>
      </c>
      <c r="D1833" s="66" t="str">
        <f t="shared" si="56"/>
        <v>1847</v>
      </c>
      <c r="E1833" s="66">
        <f t="shared" si="57"/>
        <v>1</v>
      </c>
    </row>
    <row r="1834" spans="1:5" x14ac:dyDescent="0.15">
      <c r="A1834" s="66" t="s">
        <v>3763</v>
      </c>
      <c r="B1834" s="66" t="s">
        <v>3764</v>
      </c>
      <c r="C1834" s="66" t="s">
        <v>79</v>
      </c>
      <c r="D1834" s="66" t="str">
        <f t="shared" si="56"/>
        <v>1848</v>
      </c>
      <c r="E1834" s="66">
        <f t="shared" si="57"/>
        <v>1</v>
      </c>
    </row>
    <row r="1835" spans="1:5" x14ac:dyDescent="0.15">
      <c r="A1835" s="66" t="s">
        <v>3765</v>
      </c>
      <c r="B1835" s="66" t="s">
        <v>3766</v>
      </c>
      <c r="C1835" s="66" t="s">
        <v>359</v>
      </c>
      <c r="D1835" s="66" t="str">
        <f t="shared" si="56"/>
        <v>1849</v>
      </c>
      <c r="E1835" s="66">
        <f t="shared" si="57"/>
        <v>1</v>
      </c>
    </row>
    <row r="1836" spans="1:5" x14ac:dyDescent="0.15">
      <c r="A1836" s="66" t="s">
        <v>3767</v>
      </c>
      <c r="B1836" s="66" t="s">
        <v>3768</v>
      </c>
      <c r="C1836" s="66" t="s">
        <v>359</v>
      </c>
      <c r="D1836" s="66" t="str">
        <f t="shared" si="56"/>
        <v>1850</v>
      </c>
      <c r="E1836" s="66">
        <f t="shared" si="57"/>
        <v>1</v>
      </c>
    </row>
    <row r="1837" spans="1:5" x14ac:dyDescent="0.15">
      <c r="A1837" s="66" t="s">
        <v>3769</v>
      </c>
      <c r="B1837" s="66" t="s">
        <v>3770</v>
      </c>
      <c r="C1837" s="66" t="s">
        <v>359</v>
      </c>
      <c r="D1837" s="66" t="str">
        <f t="shared" si="56"/>
        <v>1851</v>
      </c>
      <c r="E1837" s="66">
        <f t="shared" si="57"/>
        <v>1</v>
      </c>
    </row>
    <row r="1838" spans="1:5" x14ac:dyDescent="0.15">
      <c r="A1838" s="66" t="s">
        <v>3771</v>
      </c>
      <c r="B1838" s="66" t="s">
        <v>2453</v>
      </c>
      <c r="C1838" s="66" t="s">
        <v>359</v>
      </c>
      <c r="D1838" s="66" t="str">
        <f t="shared" si="56"/>
        <v>1852</v>
      </c>
      <c r="E1838" s="66">
        <f t="shared" si="57"/>
        <v>4</v>
      </c>
    </row>
    <row r="1839" spans="1:5" x14ac:dyDescent="0.15">
      <c r="A1839" s="66" t="s">
        <v>3772</v>
      </c>
      <c r="B1839" s="66" t="s">
        <v>3773</v>
      </c>
      <c r="C1839" s="66" t="s">
        <v>359</v>
      </c>
      <c r="D1839" s="66" t="str">
        <f t="shared" si="56"/>
        <v>1853</v>
      </c>
      <c r="E1839" s="66">
        <f t="shared" si="57"/>
        <v>1</v>
      </c>
    </row>
    <row r="1840" spans="1:5" x14ac:dyDescent="0.15">
      <c r="A1840" s="66" t="s">
        <v>3774</v>
      </c>
      <c r="B1840" s="66" t="s">
        <v>3775</v>
      </c>
      <c r="C1840" s="66" t="s">
        <v>359</v>
      </c>
      <c r="D1840" s="66" t="str">
        <f t="shared" si="56"/>
        <v>1854</v>
      </c>
      <c r="E1840" s="66">
        <f t="shared" si="57"/>
        <v>1</v>
      </c>
    </row>
    <row r="1841" spans="1:5" x14ac:dyDescent="0.15">
      <c r="A1841" s="66" t="s">
        <v>3776</v>
      </c>
      <c r="B1841" s="66" t="s">
        <v>3777</v>
      </c>
      <c r="C1841" s="66" t="s">
        <v>359</v>
      </c>
      <c r="D1841" s="66" t="str">
        <f t="shared" si="56"/>
        <v>1855</v>
      </c>
      <c r="E1841" s="66">
        <f t="shared" si="57"/>
        <v>1</v>
      </c>
    </row>
    <row r="1842" spans="1:5" x14ac:dyDescent="0.15">
      <c r="A1842" s="66" t="s">
        <v>3778</v>
      </c>
      <c r="B1842" s="66" t="s">
        <v>3779</v>
      </c>
      <c r="C1842" s="66" t="s">
        <v>359</v>
      </c>
      <c r="D1842" s="66" t="str">
        <f t="shared" si="56"/>
        <v>1856</v>
      </c>
      <c r="E1842" s="66">
        <f t="shared" si="57"/>
        <v>1</v>
      </c>
    </row>
    <row r="1843" spans="1:5" x14ac:dyDescent="0.15">
      <c r="A1843" s="66" t="s">
        <v>3780</v>
      </c>
      <c r="B1843" s="66" t="s">
        <v>3781</v>
      </c>
      <c r="C1843" s="66" t="s">
        <v>359</v>
      </c>
      <c r="D1843" s="66" t="str">
        <f t="shared" si="56"/>
        <v>1857</v>
      </c>
      <c r="E1843" s="66">
        <f t="shared" si="57"/>
        <v>1</v>
      </c>
    </row>
    <row r="1844" spans="1:5" x14ac:dyDescent="0.15">
      <c r="A1844" s="66" t="s">
        <v>3782</v>
      </c>
      <c r="B1844" s="66" t="s">
        <v>3783</v>
      </c>
      <c r="C1844" s="66" t="s">
        <v>140</v>
      </c>
      <c r="D1844" s="66" t="str">
        <f t="shared" si="56"/>
        <v>1858</v>
      </c>
      <c r="E1844" s="66">
        <f t="shared" si="57"/>
        <v>1</v>
      </c>
    </row>
    <row r="1845" spans="1:5" x14ac:dyDescent="0.15">
      <c r="A1845" s="66" t="s">
        <v>3784</v>
      </c>
      <c r="B1845" s="66" t="s">
        <v>3785</v>
      </c>
      <c r="C1845" s="66" t="s">
        <v>140</v>
      </c>
      <c r="D1845" s="66" t="str">
        <f t="shared" si="56"/>
        <v>1859</v>
      </c>
      <c r="E1845" s="66">
        <f t="shared" si="57"/>
        <v>1</v>
      </c>
    </row>
    <row r="1846" spans="1:5" x14ac:dyDescent="0.15">
      <c r="A1846" s="66" t="s">
        <v>3786</v>
      </c>
      <c r="B1846" s="66" t="s">
        <v>3787</v>
      </c>
      <c r="C1846" s="66" t="s">
        <v>359</v>
      </c>
      <c r="D1846" s="66" t="str">
        <f t="shared" si="56"/>
        <v>1860</v>
      </c>
      <c r="E1846" s="66">
        <f t="shared" si="57"/>
        <v>1</v>
      </c>
    </row>
    <row r="1847" spans="1:5" x14ac:dyDescent="0.15">
      <c r="A1847" s="66" t="s">
        <v>3788</v>
      </c>
      <c r="B1847" s="66" t="s">
        <v>3789</v>
      </c>
      <c r="C1847" s="66" t="s">
        <v>359</v>
      </c>
      <c r="D1847" s="66" t="str">
        <f t="shared" si="56"/>
        <v>1861</v>
      </c>
      <c r="E1847" s="66">
        <f t="shared" si="57"/>
        <v>1</v>
      </c>
    </row>
    <row r="1848" spans="1:5" x14ac:dyDescent="0.15">
      <c r="A1848" s="66" t="s">
        <v>3790</v>
      </c>
      <c r="B1848" s="66" t="s">
        <v>3791</v>
      </c>
      <c r="C1848" s="66" t="s">
        <v>359</v>
      </c>
      <c r="D1848" s="66" t="str">
        <f t="shared" si="56"/>
        <v>1862</v>
      </c>
      <c r="E1848" s="66">
        <f t="shared" si="57"/>
        <v>1</v>
      </c>
    </row>
    <row r="1849" spans="1:5" x14ac:dyDescent="0.15">
      <c r="A1849" s="66" t="s">
        <v>3792</v>
      </c>
      <c r="B1849" s="66" t="s">
        <v>3793</v>
      </c>
      <c r="C1849" s="66" t="s">
        <v>359</v>
      </c>
      <c r="D1849" s="66" t="str">
        <f t="shared" si="56"/>
        <v>1863</v>
      </c>
      <c r="E1849" s="66">
        <f t="shared" si="57"/>
        <v>1</v>
      </c>
    </row>
    <row r="1850" spans="1:5" x14ac:dyDescent="0.15">
      <c r="A1850" s="66" t="s">
        <v>3794</v>
      </c>
      <c r="B1850" s="66" t="s">
        <v>3795</v>
      </c>
      <c r="C1850" s="66" t="s">
        <v>359</v>
      </c>
      <c r="D1850" s="66" t="str">
        <f t="shared" si="56"/>
        <v>1864</v>
      </c>
      <c r="E1850" s="66">
        <f t="shared" si="57"/>
        <v>1</v>
      </c>
    </row>
    <row r="1851" spans="1:5" x14ac:dyDescent="0.15">
      <c r="A1851" s="66" t="s">
        <v>3796</v>
      </c>
      <c r="B1851" s="66" t="s">
        <v>3797</v>
      </c>
      <c r="C1851" s="66" t="s">
        <v>140</v>
      </c>
      <c r="D1851" s="66" t="str">
        <f t="shared" si="56"/>
        <v>1865</v>
      </c>
      <c r="E1851" s="66">
        <f t="shared" si="57"/>
        <v>1</v>
      </c>
    </row>
    <row r="1852" spans="1:5" x14ac:dyDescent="0.15">
      <c r="A1852" s="66" t="s">
        <v>3798</v>
      </c>
      <c r="B1852" s="66" t="s">
        <v>3799</v>
      </c>
      <c r="C1852" s="66" t="s">
        <v>140</v>
      </c>
      <c r="D1852" s="66" t="str">
        <f t="shared" si="56"/>
        <v>1866</v>
      </c>
      <c r="E1852" s="66">
        <f t="shared" si="57"/>
        <v>1</v>
      </c>
    </row>
    <row r="1853" spans="1:5" x14ac:dyDescent="0.15">
      <c r="A1853" s="66" t="s">
        <v>3800</v>
      </c>
      <c r="B1853" s="66" t="s">
        <v>3801</v>
      </c>
      <c r="C1853" s="66" t="s">
        <v>140</v>
      </c>
      <c r="D1853" s="66" t="str">
        <f t="shared" si="56"/>
        <v>1867</v>
      </c>
      <c r="E1853" s="66">
        <f t="shared" si="57"/>
        <v>1</v>
      </c>
    </row>
    <row r="1854" spans="1:5" x14ac:dyDescent="0.15">
      <c r="A1854" s="66" t="s">
        <v>3802</v>
      </c>
      <c r="B1854" s="66" t="s">
        <v>3803</v>
      </c>
      <c r="C1854" s="66" t="s">
        <v>71</v>
      </c>
      <c r="D1854" s="66" t="str">
        <f t="shared" si="56"/>
        <v>1868</v>
      </c>
      <c r="E1854" s="66">
        <f t="shared" si="57"/>
        <v>1</v>
      </c>
    </row>
    <row r="1855" spans="1:5" x14ac:dyDescent="0.15">
      <c r="A1855" s="66" t="s">
        <v>3804</v>
      </c>
      <c r="B1855" s="66" t="s">
        <v>3805</v>
      </c>
      <c r="C1855" s="66" t="s">
        <v>874</v>
      </c>
      <c r="D1855" s="66" t="str">
        <f t="shared" si="56"/>
        <v>1869</v>
      </c>
      <c r="E1855" s="66">
        <f t="shared" si="57"/>
        <v>1</v>
      </c>
    </row>
    <row r="1856" spans="1:5" x14ac:dyDescent="0.15">
      <c r="A1856" s="66" t="s">
        <v>3806</v>
      </c>
      <c r="B1856" s="66" t="s">
        <v>3807</v>
      </c>
      <c r="C1856" s="66" t="s">
        <v>874</v>
      </c>
      <c r="D1856" s="66" t="str">
        <f t="shared" si="56"/>
        <v>1870</v>
      </c>
      <c r="E1856" s="66">
        <f t="shared" si="57"/>
        <v>1</v>
      </c>
    </row>
    <row r="1857" spans="1:5" x14ac:dyDescent="0.15">
      <c r="A1857" s="66" t="s">
        <v>3808</v>
      </c>
      <c r="B1857" s="66" t="s">
        <v>3809</v>
      </c>
      <c r="C1857" s="66" t="s">
        <v>101</v>
      </c>
      <c r="D1857" s="66" t="str">
        <f t="shared" si="56"/>
        <v>1871</v>
      </c>
      <c r="E1857" s="66">
        <f t="shared" si="57"/>
        <v>1</v>
      </c>
    </row>
    <row r="1858" spans="1:5" x14ac:dyDescent="0.15">
      <c r="A1858" s="66" t="s">
        <v>3810</v>
      </c>
      <c r="B1858" s="66" t="s">
        <v>3811</v>
      </c>
      <c r="C1858" s="66" t="s">
        <v>133</v>
      </c>
      <c r="D1858" s="66" t="str">
        <f t="shared" ref="D1858:D1921" si="58">A1858</f>
        <v>1872</v>
      </c>
      <c r="E1858" s="66">
        <f t="shared" ref="E1858:E1921" si="59">COUNTIFS(B:B,B1858)</f>
        <v>1</v>
      </c>
    </row>
    <row r="1859" spans="1:5" x14ac:dyDescent="0.15">
      <c r="A1859" s="66" t="s">
        <v>3812</v>
      </c>
      <c r="B1859" s="66" t="s">
        <v>3813</v>
      </c>
      <c r="C1859" s="66" t="s">
        <v>874</v>
      </c>
      <c r="D1859" s="66" t="str">
        <f t="shared" si="58"/>
        <v>1873</v>
      </c>
      <c r="E1859" s="66">
        <f t="shared" si="59"/>
        <v>1</v>
      </c>
    </row>
    <row r="1860" spans="1:5" x14ac:dyDescent="0.15">
      <c r="A1860" s="66" t="s">
        <v>3814</v>
      </c>
      <c r="B1860" s="66" t="s">
        <v>3815</v>
      </c>
      <c r="C1860" s="66" t="s">
        <v>359</v>
      </c>
      <c r="D1860" s="66" t="str">
        <f t="shared" si="58"/>
        <v>1874</v>
      </c>
      <c r="E1860" s="66">
        <f t="shared" si="59"/>
        <v>1</v>
      </c>
    </row>
    <row r="1861" spans="1:5" x14ac:dyDescent="0.15">
      <c r="A1861" s="66" t="s">
        <v>3816</v>
      </c>
      <c r="B1861" s="66" t="s">
        <v>3817</v>
      </c>
      <c r="C1861" s="66" t="s">
        <v>101</v>
      </c>
      <c r="D1861" s="66" t="str">
        <f t="shared" si="58"/>
        <v>1875</v>
      </c>
      <c r="E1861" s="66">
        <f t="shared" si="59"/>
        <v>1</v>
      </c>
    </row>
    <row r="1862" spans="1:5" x14ac:dyDescent="0.15">
      <c r="A1862" s="66" t="s">
        <v>3818</v>
      </c>
      <c r="B1862" s="66" t="s">
        <v>3819</v>
      </c>
      <c r="C1862" s="66" t="s">
        <v>101</v>
      </c>
      <c r="D1862" s="66" t="str">
        <f t="shared" si="58"/>
        <v>1876</v>
      </c>
      <c r="E1862" s="66">
        <f t="shared" si="59"/>
        <v>1</v>
      </c>
    </row>
    <row r="1863" spans="1:5" x14ac:dyDescent="0.15">
      <c r="A1863" s="66" t="s">
        <v>3820</v>
      </c>
      <c r="B1863" s="66" t="s">
        <v>3821</v>
      </c>
      <c r="C1863" s="66" t="s">
        <v>359</v>
      </c>
      <c r="D1863" s="66" t="str">
        <f t="shared" si="58"/>
        <v>1877</v>
      </c>
      <c r="E1863" s="66">
        <f t="shared" si="59"/>
        <v>1</v>
      </c>
    </row>
    <row r="1864" spans="1:5" x14ac:dyDescent="0.15">
      <c r="A1864" s="66" t="s">
        <v>3822</v>
      </c>
      <c r="B1864" s="66" t="s">
        <v>3823</v>
      </c>
      <c r="C1864" s="66" t="s">
        <v>71</v>
      </c>
      <c r="D1864" s="66" t="str">
        <f t="shared" si="58"/>
        <v>1878</v>
      </c>
      <c r="E1864" s="66">
        <f t="shared" si="59"/>
        <v>1</v>
      </c>
    </row>
    <row r="1865" spans="1:5" x14ac:dyDescent="0.15">
      <c r="A1865" s="66" t="s">
        <v>3824</v>
      </c>
      <c r="B1865" s="66" t="s">
        <v>3825</v>
      </c>
      <c r="C1865" s="66" t="s">
        <v>813</v>
      </c>
      <c r="D1865" s="66" t="str">
        <f t="shared" si="58"/>
        <v>1879</v>
      </c>
      <c r="E1865" s="66">
        <f t="shared" si="59"/>
        <v>1</v>
      </c>
    </row>
    <row r="1866" spans="1:5" x14ac:dyDescent="0.15">
      <c r="A1866" s="66" t="s">
        <v>3826</v>
      </c>
      <c r="B1866" s="66" t="s">
        <v>3827</v>
      </c>
      <c r="C1866" s="66" t="s">
        <v>101</v>
      </c>
      <c r="D1866" s="66" t="str">
        <f t="shared" si="58"/>
        <v>1880</v>
      </c>
      <c r="E1866" s="66">
        <f t="shared" si="59"/>
        <v>1</v>
      </c>
    </row>
    <row r="1867" spans="1:5" x14ac:dyDescent="0.15">
      <c r="A1867" s="66" t="s">
        <v>3828</v>
      </c>
      <c r="B1867" s="66" t="s">
        <v>3829</v>
      </c>
      <c r="C1867" s="66" t="s">
        <v>874</v>
      </c>
      <c r="D1867" s="66" t="str">
        <f t="shared" si="58"/>
        <v>1881</v>
      </c>
      <c r="E1867" s="66">
        <f t="shared" si="59"/>
        <v>1</v>
      </c>
    </row>
    <row r="1868" spans="1:5" x14ac:dyDescent="0.15">
      <c r="A1868" s="66" t="s">
        <v>3830</v>
      </c>
      <c r="B1868" s="66" t="s">
        <v>3831</v>
      </c>
      <c r="C1868" s="66" t="s">
        <v>874</v>
      </c>
      <c r="D1868" s="66" t="str">
        <f t="shared" si="58"/>
        <v>1882</v>
      </c>
      <c r="E1868" s="66">
        <f t="shared" si="59"/>
        <v>1</v>
      </c>
    </row>
    <row r="1869" spans="1:5" x14ac:dyDescent="0.15">
      <c r="A1869" s="66" t="s">
        <v>3832</v>
      </c>
      <c r="B1869" s="66" t="s">
        <v>1291</v>
      </c>
      <c r="C1869" s="66" t="s">
        <v>340</v>
      </c>
      <c r="D1869" s="66" t="str">
        <f t="shared" si="58"/>
        <v>1883</v>
      </c>
      <c r="E1869" s="66">
        <f t="shared" si="59"/>
        <v>2</v>
      </c>
    </row>
    <row r="1870" spans="1:5" x14ac:dyDescent="0.15">
      <c r="A1870" s="66" t="s">
        <v>3833</v>
      </c>
      <c r="B1870" s="66" t="s">
        <v>3834</v>
      </c>
      <c r="C1870" s="66" t="s">
        <v>359</v>
      </c>
      <c r="D1870" s="66" t="str">
        <f t="shared" si="58"/>
        <v>1884</v>
      </c>
      <c r="E1870" s="66">
        <f t="shared" si="59"/>
        <v>1</v>
      </c>
    </row>
    <row r="1871" spans="1:5" x14ac:dyDescent="0.15">
      <c r="A1871" s="66" t="s">
        <v>3835</v>
      </c>
      <c r="B1871" s="66" t="s">
        <v>3836</v>
      </c>
      <c r="C1871" s="66" t="s">
        <v>101</v>
      </c>
      <c r="D1871" s="66" t="str">
        <f t="shared" si="58"/>
        <v>1885</v>
      </c>
      <c r="E1871" s="66">
        <f t="shared" si="59"/>
        <v>1</v>
      </c>
    </row>
    <row r="1872" spans="1:5" x14ac:dyDescent="0.15">
      <c r="A1872" s="66" t="s">
        <v>3837</v>
      </c>
      <c r="B1872" s="66" t="s">
        <v>3838</v>
      </c>
      <c r="C1872" s="66" t="s">
        <v>101</v>
      </c>
      <c r="D1872" s="66" t="str">
        <f t="shared" si="58"/>
        <v>1886</v>
      </c>
      <c r="E1872" s="66">
        <f t="shared" si="59"/>
        <v>1</v>
      </c>
    </row>
    <row r="1873" spans="1:5" x14ac:dyDescent="0.15">
      <c r="A1873" s="66" t="s">
        <v>3839</v>
      </c>
      <c r="B1873" s="66" t="s">
        <v>3840</v>
      </c>
      <c r="C1873" s="66" t="s">
        <v>86</v>
      </c>
      <c r="D1873" s="66" t="str">
        <f t="shared" si="58"/>
        <v>1887</v>
      </c>
      <c r="E1873" s="66">
        <f t="shared" si="59"/>
        <v>1</v>
      </c>
    </row>
    <row r="1874" spans="1:5" x14ac:dyDescent="0.15">
      <c r="A1874" s="66" t="s">
        <v>3841</v>
      </c>
      <c r="B1874" s="66" t="s">
        <v>3842</v>
      </c>
      <c r="C1874" s="66" t="s">
        <v>86</v>
      </c>
      <c r="D1874" s="66" t="str">
        <f t="shared" si="58"/>
        <v>1888</v>
      </c>
      <c r="E1874" s="66">
        <f t="shared" si="59"/>
        <v>1</v>
      </c>
    </row>
    <row r="1875" spans="1:5" x14ac:dyDescent="0.15">
      <c r="A1875" s="66" t="s">
        <v>3843</v>
      </c>
      <c r="B1875" s="66" t="s">
        <v>3844</v>
      </c>
      <c r="C1875" s="66" t="s">
        <v>101</v>
      </c>
      <c r="D1875" s="66" t="str">
        <f t="shared" si="58"/>
        <v>1889</v>
      </c>
      <c r="E1875" s="66">
        <f t="shared" si="59"/>
        <v>1</v>
      </c>
    </row>
    <row r="1876" spans="1:5" x14ac:dyDescent="0.15">
      <c r="A1876" s="66" t="s">
        <v>3845</v>
      </c>
      <c r="B1876" s="66" t="s">
        <v>3846</v>
      </c>
      <c r="C1876" s="66" t="s">
        <v>133</v>
      </c>
      <c r="D1876" s="66" t="str">
        <f t="shared" si="58"/>
        <v>1890</v>
      </c>
      <c r="E1876" s="66">
        <f t="shared" si="59"/>
        <v>1</v>
      </c>
    </row>
    <row r="1877" spans="1:5" x14ac:dyDescent="0.15">
      <c r="A1877" s="66" t="s">
        <v>3847</v>
      </c>
      <c r="B1877" s="66" t="s">
        <v>3848</v>
      </c>
      <c r="C1877" s="66" t="s">
        <v>86</v>
      </c>
      <c r="D1877" s="66" t="str">
        <f t="shared" si="58"/>
        <v>1891</v>
      </c>
      <c r="E1877" s="66">
        <f t="shared" si="59"/>
        <v>1</v>
      </c>
    </row>
    <row r="1878" spans="1:5" x14ac:dyDescent="0.15">
      <c r="A1878" s="66" t="s">
        <v>3849</v>
      </c>
      <c r="B1878" s="66" t="s">
        <v>3850</v>
      </c>
      <c r="C1878" s="66" t="s">
        <v>133</v>
      </c>
      <c r="D1878" s="66" t="str">
        <f t="shared" si="58"/>
        <v>1892</v>
      </c>
      <c r="E1878" s="66">
        <f t="shared" si="59"/>
        <v>1</v>
      </c>
    </row>
    <row r="1879" spans="1:5" x14ac:dyDescent="0.15">
      <c r="A1879" s="66" t="s">
        <v>3851</v>
      </c>
      <c r="B1879" s="66" t="s">
        <v>3852</v>
      </c>
      <c r="C1879" s="66" t="s">
        <v>101</v>
      </c>
      <c r="D1879" s="66" t="str">
        <f t="shared" si="58"/>
        <v>1893</v>
      </c>
      <c r="E1879" s="66">
        <f t="shared" si="59"/>
        <v>1</v>
      </c>
    </row>
    <row r="1880" spans="1:5" x14ac:dyDescent="0.15">
      <c r="A1880" s="66" t="s">
        <v>3853</v>
      </c>
      <c r="B1880" s="66" t="s">
        <v>3854</v>
      </c>
      <c r="C1880" s="66" t="s">
        <v>874</v>
      </c>
      <c r="D1880" s="66" t="str">
        <f t="shared" si="58"/>
        <v>1894</v>
      </c>
      <c r="E1880" s="66">
        <f t="shared" si="59"/>
        <v>1</v>
      </c>
    </row>
    <row r="1881" spans="1:5" x14ac:dyDescent="0.15">
      <c r="A1881" s="66" t="s">
        <v>3855</v>
      </c>
      <c r="B1881" s="66" t="s">
        <v>3856</v>
      </c>
      <c r="C1881" s="66" t="s">
        <v>874</v>
      </c>
      <c r="D1881" s="66" t="str">
        <f t="shared" si="58"/>
        <v>1895</v>
      </c>
      <c r="E1881" s="66">
        <f t="shared" si="59"/>
        <v>1</v>
      </c>
    </row>
    <row r="1882" spans="1:5" x14ac:dyDescent="0.15">
      <c r="A1882" s="66" t="s">
        <v>3857</v>
      </c>
      <c r="B1882" s="66" t="s">
        <v>3858</v>
      </c>
      <c r="C1882" s="66" t="s">
        <v>874</v>
      </c>
      <c r="D1882" s="66" t="str">
        <f t="shared" si="58"/>
        <v>1896</v>
      </c>
      <c r="E1882" s="66">
        <f t="shared" si="59"/>
        <v>1</v>
      </c>
    </row>
    <row r="1883" spans="1:5" x14ac:dyDescent="0.15">
      <c r="A1883" s="66" t="s">
        <v>3859</v>
      </c>
      <c r="B1883" s="66" t="s">
        <v>3860</v>
      </c>
      <c r="C1883" s="66" t="s">
        <v>874</v>
      </c>
      <c r="D1883" s="66" t="str">
        <f t="shared" si="58"/>
        <v>1897</v>
      </c>
      <c r="E1883" s="66">
        <f t="shared" si="59"/>
        <v>1</v>
      </c>
    </row>
    <row r="1884" spans="1:5" x14ac:dyDescent="0.15">
      <c r="A1884" s="66" t="s">
        <v>3861</v>
      </c>
      <c r="B1884" s="66" t="s">
        <v>3862</v>
      </c>
      <c r="C1884" s="66" t="s">
        <v>359</v>
      </c>
      <c r="D1884" s="66" t="str">
        <f t="shared" si="58"/>
        <v>1898</v>
      </c>
      <c r="E1884" s="66">
        <f t="shared" si="59"/>
        <v>1</v>
      </c>
    </row>
    <row r="1885" spans="1:5" x14ac:dyDescent="0.15">
      <c r="A1885" s="66" t="s">
        <v>3863</v>
      </c>
      <c r="B1885" s="66" t="s">
        <v>3864</v>
      </c>
      <c r="C1885" s="66" t="s">
        <v>101</v>
      </c>
      <c r="D1885" s="66" t="str">
        <f t="shared" si="58"/>
        <v>1899</v>
      </c>
      <c r="E1885" s="66">
        <f t="shared" si="59"/>
        <v>1</v>
      </c>
    </row>
    <row r="1886" spans="1:5" x14ac:dyDescent="0.15">
      <c r="A1886" s="66" t="s">
        <v>3865</v>
      </c>
      <c r="B1886" s="66" t="s">
        <v>3866</v>
      </c>
      <c r="C1886" s="66" t="s">
        <v>101</v>
      </c>
      <c r="D1886" s="66" t="str">
        <f t="shared" si="58"/>
        <v>1900</v>
      </c>
      <c r="E1886" s="66">
        <f t="shared" si="59"/>
        <v>1</v>
      </c>
    </row>
    <row r="1887" spans="1:5" x14ac:dyDescent="0.15">
      <c r="A1887" s="66" t="s">
        <v>3867</v>
      </c>
      <c r="B1887" s="66" t="s">
        <v>3868</v>
      </c>
      <c r="C1887" s="66" t="s">
        <v>874</v>
      </c>
      <c r="D1887" s="66" t="str">
        <f t="shared" si="58"/>
        <v>1901</v>
      </c>
      <c r="E1887" s="66">
        <f t="shared" si="59"/>
        <v>1</v>
      </c>
    </row>
    <row r="1888" spans="1:5" x14ac:dyDescent="0.15">
      <c r="A1888" s="66" t="s">
        <v>3869</v>
      </c>
      <c r="B1888" s="66" t="s">
        <v>3870</v>
      </c>
      <c r="C1888" s="66" t="s">
        <v>874</v>
      </c>
      <c r="D1888" s="66" t="str">
        <f t="shared" si="58"/>
        <v>1902</v>
      </c>
      <c r="E1888" s="66">
        <f t="shared" si="59"/>
        <v>1</v>
      </c>
    </row>
    <row r="1889" spans="1:5" x14ac:dyDescent="0.15">
      <c r="A1889" s="66" t="s">
        <v>3871</v>
      </c>
      <c r="B1889" s="66" t="s">
        <v>3872</v>
      </c>
      <c r="C1889" s="66" t="s">
        <v>874</v>
      </c>
      <c r="D1889" s="66" t="str">
        <f t="shared" si="58"/>
        <v>1903</v>
      </c>
      <c r="E1889" s="66">
        <f t="shared" si="59"/>
        <v>1</v>
      </c>
    </row>
    <row r="1890" spans="1:5" x14ac:dyDescent="0.15">
      <c r="A1890" s="66" t="s">
        <v>3873</v>
      </c>
      <c r="B1890" s="66" t="s">
        <v>3874</v>
      </c>
      <c r="C1890" s="66" t="s">
        <v>874</v>
      </c>
      <c r="D1890" s="66" t="str">
        <f t="shared" si="58"/>
        <v>1904</v>
      </c>
      <c r="E1890" s="66">
        <f t="shared" si="59"/>
        <v>1</v>
      </c>
    </row>
    <row r="1891" spans="1:5" x14ac:dyDescent="0.15">
      <c r="A1891" s="66" t="s">
        <v>3875</v>
      </c>
      <c r="B1891" s="66" t="s">
        <v>3876</v>
      </c>
      <c r="C1891" s="66" t="s">
        <v>874</v>
      </c>
      <c r="D1891" s="66" t="str">
        <f t="shared" si="58"/>
        <v>1905</v>
      </c>
      <c r="E1891" s="66">
        <f t="shared" si="59"/>
        <v>1</v>
      </c>
    </row>
    <row r="1892" spans="1:5" x14ac:dyDescent="0.15">
      <c r="A1892" s="66" t="s">
        <v>3877</v>
      </c>
      <c r="B1892" s="66" t="s">
        <v>3878</v>
      </c>
      <c r="C1892" s="66" t="s">
        <v>359</v>
      </c>
      <c r="D1892" s="66" t="str">
        <f t="shared" si="58"/>
        <v>1906</v>
      </c>
      <c r="E1892" s="66">
        <f t="shared" si="59"/>
        <v>1</v>
      </c>
    </row>
    <row r="1893" spans="1:5" x14ac:dyDescent="0.15">
      <c r="A1893" s="66" t="s">
        <v>3879</v>
      </c>
      <c r="B1893" s="66" t="s">
        <v>3880</v>
      </c>
      <c r="C1893" s="66" t="s">
        <v>359</v>
      </c>
      <c r="D1893" s="66" t="str">
        <f t="shared" si="58"/>
        <v>1907</v>
      </c>
      <c r="E1893" s="66">
        <f t="shared" si="59"/>
        <v>1</v>
      </c>
    </row>
    <row r="1894" spans="1:5" x14ac:dyDescent="0.15">
      <c r="A1894" s="66" t="s">
        <v>3881</v>
      </c>
      <c r="B1894" s="66" t="s">
        <v>3882</v>
      </c>
      <c r="C1894" s="66" t="s">
        <v>101</v>
      </c>
      <c r="D1894" s="66" t="str">
        <f t="shared" si="58"/>
        <v>1908</v>
      </c>
      <c r="E1894" s="66">
        <f t="shared" si="59"/>
        <v>1</v>
      </c>
    </row>
    <row r="1895" spans="1:5" x14ac:dyDescent="0.15">
      <c r="A1895" s="66" t="s">
        <v>3883</v>
      </c>
      <c r="B1895" s="66" t="s">
        <v>3884</v>
      </c>
      <c r="C1895" s="66" t="s">
        <v>874</v>
      </c>
      <c r="D1895" s="66" t="str">
        <f t="shared" si="58"/>
        <v>1909</v>
      </c>
      <c r="E1895" s="66">
        <f t="shared" si="59"/>
        <v>1</v>
      </c>
    </row>
    <row r="1896" spans="1:5" x14ac:dyDescent="0.15">
      <c r="A1896" s="66" t="s">
        <v>3885</v>
      </c>
      <c r="B1896" s="66" t="s">
        <v>3886</v>
      </c>
      <c r="C1896" s="66" t="s">
        <v>359</v>
      </c>
      <c r="D1896" s="66" t="str">
        <f t="shared" si="58"/>
        <v>1910</v>
      </c>
      <c r="E1896" s="66">
        <f t="shared" si="59"/>
        <v>1</v>
      </c>
    </row>
    <row r="1897" spans="1:5" x14ac:dyDescent="0.15">
      <c r="A1897" s="66" t="s">
        <v>3887</v>
      </c>
      <c r="B1897" s="66" t="s">
        <v>3888</v>
      </c>
      <c r="C1897" s="66" t="s">
        <v>79</v>
      </c>
      <c r="D1897" s="66" t="str">
        <f t="shared" si="58"/>
        <v>1911</v>
      </c>
      <c r="E1897" s="66">
        <f t="shared" si="59"/>
        <v>1</v>
      </c>
    </row>
    <row r="1898" spans="1:5" x14ac:dyDescent="0.15">
      <c r="A1898" s="66" t="s">
        <v>3889</v>
      </c>
      <c r="B1898" s="66" t="s">
        <v>3890</v>
      </c>
      <c r="C1898" s="66" t="s">
        <v>359</v>
      </c>
      <c r="D1898" s="66" t="str">
        <f t="shared" si="58"/>
        <v>1912</v>
      </c>
      <c r="E1898" s="66">
        <f t="shared" si="59"/>
        <v>1</v>
      </c>
    </row>
    <row r="1899" spans="1:5" x14ac:dyDescent="0.15">
      <c r="A1899" s="66" t="s">
        <v>3891</v>
      </c>
      <c r="B1899" s="66" t="s">
        <v>3892</v>
      </c>
      <c r="C1899" s="66" t="s">
        <v>359</v>
      </c>
      <c r="D1899" s="66" t="str">
        <f t="shared" si="58"/>
        <v>1913</v>
      </c>
      <c r="E1899" s="66">
        <f t="shared" si="59"/>
        <v>1</v>
      </c>
    </row>
    <row r="1900" spans="1:5" x14ac:dyDescent="0.15">
      <c r="A1900" s="66" t="s">
        <v>3893</v>
      </c>
      <c r="B1900" s="66" t="s">
        <v>3894</v>
      </c>
      <c r="C1900" s="66" t="s">
        <v>874</v>
      </c>
      <c r="D1900" s="66" t="str">
        <f t="shared" si="58"/>
        <v>1914</v>
      </c>
      <c r="E1900" s="66">
        <f t="shared" si="59"/>
        <v>1</v>
      </c>
    </row>
    <row r="1901" spans="1:5" x14ac:dyDescent="0.15">
      <c r="A1901" s="66" t="s">
        <v>3895</v>
      </c>
      <c r="B1901" s="66" t="s">
        <v>3896</v>
      </c>
      <c r="C1901" s="66" t="s">
        <v>874</v>
      </c>
      <c r="D1901" s="66" t="str">
        <f t="shared" si="58"/>
        <v>1915</v>
      </c>
      <c r="E1901" s="66">
        <f t="shared" si="59"/>
        <v>1</v>
      </c>
    </row>
    <row r="1902" spans="1:5" x14ac:dyDescent="0.15">
      <c r="A1902" s="66" t="s">
        <v>3897</v>
      </c>
      <c r="B1902" s="66" t="s">
        <v>3898</v>
      </c>
      <c r="C1902" s="66" t="s">
        <v>874</v>
      </c>
      <c r="D1902" s="66" t="str">
        <f t="shared" si="58"/>
        <v>1916</v>
      </c>
      <c r="E1902" s="66">
        <f t="shared" si="59"/>
        <v>1</v>
      </c>
    </row>
    <row r="1903" spans="1:5" x14ac:dyDescent="0.15">
      <c r="A1903" s="66" t="s">
        <v>3899</v>
      </c>
      <c r="B1903" s="66" t="s">
        <v>3900</v>
      </c>
      <c r="C1903" s="66" t="s">
        <v>874</v>
      </c>
      <c r="D1903" s="66" t="str">
        <f t="shared" si="58"/>
        <v>1917</v>
      </c>
      <c r="E1903" s="66">
        <f t="shared" si="59"/>
        <v>1</v>
      </c>
    </row>
    <row r="1904" spans="1:5" x14ac:dyDescent="0.15">
      <c r="A1904" s="66" t="s">
        <v>3901</v>
      </c>
      <c r="B1904" s="66" t="s">
        <v>3902</v>
      </c>
      <c r="C1904" s="66" t="s">
        <v>874</v>
      </c>
      <c r="D1904" s="66" t="str">
        <f t="shared" si="58"/>
        <v>1918</v>
      </c>
      <c r="E1904" s="66">
        <f t="shared" si="59"/>
        <v>1</v>
      </c>
    </row>
    <row r="1905" spans="1:5" x14ac:dyDescent="0.15">
      <c r="A1905" s="66" t="s">
        <v>3903</v>
      </c>
      <c r="B1905" s="66" t="s">
        <v>3904</v>
      </c>
      <c r="C1905" s="66" t="s">
        <v>874</v>
      </c>
      <c r="D1905" s="66" t="str">
        <f t="shared" si="58"/>
        <v>1919</v>
      </c>
      <c r="E1905" s="66">
        <f t="shared" si="59"/>
        <v>1</v>
      </c>
    </row>
    <row r="1906" spans="1:5" x14ac:dyDescent="0.15">
      <c r="A1906" s="66" t="s">
        <v>3905</v>
      </c>
      <c r="B1906" s="66" t="s">
        <v>3906</v>
      </c>
      <c r="C1906" s="66" t="s">
        <v>359</v>
      </c>
      <c r="D1906" s="66" t="str">
        <f t="shared" si="58"/>
        <v>1920</v>
      </c>
      <c r="E1906" s="66">
        <f t="shared" si="59"/>
        <v>1</v>
      </c>
    </row>
    <row r="1907" spans="1:5" x14ac:dyDescent="0.15">
      <c r="A1907" s="66" t="s">
        <v>3907</v>
      </c>
      <c r="B1907" s="66" t="s">
        <v>3908</v>
      </c>
      <c r="C1907" s="66" t="s">
        <v>874</v>
      </c>
      <c r="D1907" s="66" t="str">
        <f t="shared" si="58"/>
        <v>1921</v>
      </c>
      <c r="E1907" s="66">
        <f t="shared" si="59"/>
        <v>1</v>
      </c>
    </row>
    <row r="1908" spans="1:5" x14ac:dyDescent="0.15">
      <c r="A1908" s="66" t="s">
        <v>3909</v>
      </c>
      <c r="B1908" s="66" t="s">
        <v>3910</v>
      </c>
      <c r="C1908" s="66" t="s">
        <v>874</v>
      </c>
      <c r="D1908" s="66" t="str">
        <f t="shared" si="58"/>
        <v>1922</v>
      </c>
      <c r="E1908" s="66">
        <f t="shared" si="59"/>
        <v>1</v>
      </c>
    </row>
    <row r="1909" spans="1:5" x14ac:dyDescent="0.15">
      <c r="A1909" s="66" t="s">
        <v>3911</v>
      </c>
      <c r="B1909" s="66" t="s">
        <v>3912</v>
      </c>
      <c r="C1909" s="66" t="s">
        <v>874</v>
      </c>
      <c r="D1909" s="66" t="str">
        <f t="shared" si="58"/>
        <v>1923</v>
      </c>
      <c r="E1909" s="66">
        <f t="shared" si="59"/>
        <v>1</v>
      </c>
    </row>
    <row r="1910" spans="1:5" x14ac:dyDescent="0.15">
      <c r="A1910" s="66" t="s">
        <v>3913</v>
      </c>
      <c r="B1910" s="66" t="s">
        <v>3914</v>
      </c>
      <c r="C1910" s="66" t="s">
        <v>101</v>
      </c>
      <c r="D1910" s="66" t="str">
        <f t="shared" si="58"/>
        <v>1924</v>
      </c>
      <c r="E1910" s="66">
        <f t="shared" si="59"/>
        <v>1</v>
      </c>
    </row>
    <row r="1911" spans="1:5" x14ac:dyDescent="0.15">
      <c r="A1911" s="66" t="s">
        <v>3915</v>
      </c>
      <c r="B1911" s="66" t="s">
        <v>3916</v>
      </c>
      <c r="C1911" s="66" t="s">
        <v>359</v>
      </c>
      <c r="D1911" s="66" t="str">
        <f t="shared" si="58"/>
        <v>1925</v>
      </c>
      <c r="E1911" s="66">
        <f t="shared" si="59"/>
        <v>1</v>
      </c>
    </row>
    <row r="1912" spans="1:5" x14ac:dyDescent="0.15">
      <c r="A1912" s="66" t="s">
        <v>3917</v>
      </c>
      <c r="B1912" s="66" t="s">
        <v>3918</v>
      </c>
      <c r="C1912" s="66" t="s">
        <v>874</v>
      </c>
      <c r="D1912" s="66" t="str">
        <f t="shared" si="58"/>
        <v>1926</v>
      </c>
      <c r="E1912" s="66">
        <f t="shared" si="59"/>
        <v>1</v>
      </c>
    </row>
    <row r="1913" spans="1:5" x14ac:dyDescent="0.15">
      <c r="A1913" s="66" t="s">
        <v>3919</v>
      </c>
      <c r="B1913" s="66" t="s">
        <v>3920</v>
      </c>
      <c r="C1913" s="66" t="s">
        <v>101</v>
      </c>
      <c r="D1913" s="66" t="str">
        <f t="shared" si="58"/>
        <v>1927</v>
      </c>
      <c r="E1913" s="66">
        <f t="shared" si="59"/>
        <v>1</v>
      </c>
    </row>
    <row r="1914" spans="1:5" x14ac:dyDescent="0.15">
      <c r="A1914" s="66" t="s">
        <v>3921</v>
      </c>
      <c r="B1914" s="66" t="s">
        <v>3922</v>
      </c>
      <c r="C1914" s="66" t="s">
        <v>874</v>
      </c>
      <c r="D1914" s="66" t="str">
        <f t="shared" si="58"/>
        <v>1928</v>
      </c>
      <c r="E1914" s="66">
        <f t="shared" si="59"/>
        <v>1</v>
      </c>
    </row>
    <row r="1915" spans="1:5" x14ac:dyDescent="0.15">
      <c r="A1915" s="66" t="s">
        <v>3923</v>
      </c>
      <c r="B1915" s="66" t="s">
        <v>3924</v>
      </c>
      <c r="C1915" s="66" t="s">
        <v>71</v>
      </c>
      <c r="D1915" s="66" t="str">
        <f t="shared" si="58"/>
        <v>1929</v>
      </c>
      <c r="E1915" s="66">
        <f t="shared" si="59"/>
        <v>1</v>
      </c>
    </row>
    <row r="1916" spans="1:5" x14ac:dyDescent="0.15">
      <c r="A1916" s="66" t="s">
        <v>3925</v>
      </c>
      <c r="B1916" s="66" t="s">
        <v>3926</v>
      </c>
      <c r="C1916" s="66" t="s">
        <v>359</v>
      </c>
      <c r="D1916" s="66" t="str">
        <f t="shared" si="58"/>
        <v>1930</v>
      </c>
      <c r="E1916" s="66">
        <f t="shared" si="59"/>
        <v>1</v>
      </c>
    </row>
    <row r="1917" spans="1:5" x14ac:dyDescent="0.15">
      <c r="A1917" s="66" t="s">
        <v>3927</v>
      </c>
      <c r="B1917" s="66" t="s">
        <v>3928</v>
      </c>
      <c r="C1917" s="66" t="s">
        <v>359</v>
      </c>
      <c r="D1917" s="66" t="str">
        <f t="shared" si="58"/>
        <v>1931</v>
      </c>
      <c r="E1917" s="66">
        <f t="shared" si="59"/>
        <v>1</v>
      </c>
    </row>
    <row r="1918" spans="1:5" x14ac:dyDescent="0.15">
      <c r="A1918" s="66" t="s">
        <v>3929</v>
      </c>
      <c r="B1918" s="66" t="s">
        <v>3930</v>
      </c>
      <c r="C1918" s="66" t="s">
        <v>359</v>
      </c>
      <c r="D1918" s="66" t="str">
        <f t="shared" si="58"/>
        <v>1932</v>
      </c>
      <c r="E1918" s="66">
        <f t="shared" si="59"/>
        <v>1</v>
      </c>
    </row>
    <row r="1919" spans="1:5" x14ac:dyDescent="0.15">
      <c r="A1919" s="66" t="s">
        <v>3931</v>
      </c>
      <c r="B1919" s="66" t="s">
        <v>3932</v>
      </c>
      <c r="C1919" s="66" t="s">
        <v>101</v>
      </c>
      <c r="D1919" s="66" t="str">
        <f t="shared" si="58"/>
        <v>1933</v>
      </c>
      <c r="E1919" s="66">
        <f t="shared" si="59"/>
        <v>1</v>
      </c>
    </row>
    <row r="1920" spans="1:5" x14ac:dyDescent="0.15">
      <c r="A1920" s="66" t="s">
        <v>3933</v>
      </c>
      <c r="B1920" s="66" t="s">
        <v>3934</v>
      </c>
      <c r="C1920" s="66" t="s">
        <v>359</v>
      </c>
      <c r="D1920" s="66" t="str">
        <f t="shared" si="58"/>
        <v>1934</v>
      </c>
      <c r="E1920" s="66">
        <f t="shared" si="59"/>
        <v>1</v>
      </c>
    </row>
    <row r="1921" spans="1:5" x14ac:dyDescent="0.15">
      <c r="A1921" s="66" t="s">
        <v>3935</v>
      </c>
      <c r="B1921" s="66" t="s">
        <v>3936</v>
      </c>
      <c r="C1921" s="66" t="s">
        <v>359</v>
      </c>
      <c r="D1921" s="66" t="str">
        <f t="shared" si="58"/>
        <v>1935</v>
      </c>
      <c r="E1921" s="66">
        <f t="shared" si="59"/>
        <v>1</v>
      </c>
    </row>
    <row r="1922" spans="1:5" x14ac:dyDescent="0.15">
      <c r="A1922" s="66" t="s">
        <v>3937</v>
      </c>
      <c r="B1922" s="66" t="s">
        <v>3938</v>
      </c>
      <c r="C1922" s="66" t="s">
        <v>359</v>
      </c>
      <c r="D1922" s="66" t="str">
        <f t="shared" ref="D1922:D1985" si="60">A1922</f>
        <v>1936</v>
      </c>
      <c r="E1922" s="66">
        <f t="shared" ref="E1922:E1985" si="61">COUNTIFS(B:B,B1922)</f>
        <v>1</v>
      </c>
    </row>
    <row r="1923" spans="1:5" x14ac:dyDescent="0.15">
      <c r="A1923" s="66" t="s">
        <v>3939</v>
      </c>
      <c r="B1923" s="66" t="s">
        <v>3940</v>
      </c>
      <c r="C1923" s="66" t="s">
        <v>101</v>
      </c>
      <c r="D1923" s="66" t="str">
        <f t="shared" si="60"/>
        <v>1937</v>
      </c>
      <c r="E1923" s="66">
        <f t="shared" si="61"/>
        <v>1</v>
      </c>
    </row>
    <row r="1924" spans="1:5" x14ac:dyDescent="0.15">
      <c r="A1924" s="66" t="s">
        <v>3941</v>
      </c>
      <c r="B1924" s="66" t="s">
        <v>3942</v>
      </c>
      <c r="C1924" s="66" t="s">
        <v>101</v>
      </c>
      <c r="D1924" s="66" t="str">
        <f t="shared" si="60"/>
        <v>1938</v>
      </c>
      <c r="E1924" s="66">
        <f t="shared" si="61"/>
        <v>1</v>
      </c>
    </row>
    <row r="1925" spans="1:5" x14ac:dyDescent="0.15">
      <c r="A1925" s="66" t="s">
        <v>3943</v>
      </c>
      <c r="B1925" s="66" t="s">
        <v>3944</v>
      </c>
      <c r="C1925" s="66" t="s">
        <v>133</v>
      </c>
      <c r="D1925" s="66" t="str">
        <f t="shared" si="60"/>
        <v>1939</v>
      </c>
      <c r="E1925" s="66">
        <f t="shared" si="61"/>
        <v>1</v>
      </c>
    </row>
    <row r="1926" spans="1:5" x14ac:dyDescent="0.15">
      <c r="A1926" s="66" t="s">
        <v>3945</v>
      </c>
      <c r="B1926" s="66" t="s">
        <v>3946</v>
      </c>
      <c r="C1926" s="66" t="s">
        <v>340</v>
      </c>
      <c r="D1926" s="66" t="str">
        <f t="shared" si="60"/>
        <v>1940</v>
      </c>
      <c r="E1926" s="66">
        <f t="shared" si="61"/>
        <v>1</v>
      </c>
    </row>
    <row r="1927" spans="1:5" x14ac:dyDescent="0.15">
      <c r="A1927" s="66" t="s">
        <v>3947</v>
      </c>
      <c r="B1927" s="66" t="s">
        <v>3948</v>
      </c>
      <c r="C1927" s="66" t="s">
        <v>101</v>
      </c>
      <c r="D1927" s="66" t="str">
        <f t="shared" si="60"/>
        <v>1941</v>
      </c>
      <c r="E1927" s="66">
        <f t="shared" si="61"/>
        <v>1</v>
      </c>
    </row>
    <row r="1928" spans="1:5" x14ac:dyDescent="0.15">
      <c r="A1928" s="66" t="s">
        <v>77</v>
      </c>
      <c r="B1928" s="66" t="s">
        <v>80</v>
      </c>
      <c r="C1928" s="66" t="s">
        <v>79</v>
      </c>
      <c r="D1928" s="66" t="str">
        <f t="shared" si="60"/>
        <v>1942</v>
      </c>
      <c r="E1928" s="66">
        <f t="shared" si="61"/>
        <v>1</v>
      </c>
    </row>
    <row r="1929" spans="1:5" x14ac:dyDescent="0.15">
      <c r="A1929" s="66" t="s">
        <v>3949</v>
      </c>
      <c r="B1929" s="66" t="s">
        <v>3950</v>
      </c>
      <c r="C1929" s="66" t="s">
        <v>359</v>
      </c>
      <c r="D1929" s="66" t="str">
        <f t="shared" si="60"/>
        <v>1943</v>
      </c>
      <c r="E1929" s="66">
        <f t="shared" si="61"/>
        <v>1</v>
      </c>
    </row>
    <row r="1930" spans="1:5" x14ac:dyDescent="0.15">
      <c r="A1930" s="66" t="s">
        <v>3951</v>
      </c>
      <c r="B1930" s="66" t="s">
        <v>3952</v>
      </c>
      <c r="C1930" s="66" t="s">
        <v>359</v>
      </c>
      <c r="D1930" s="66" t="str">
        <f t="shared" si="60"/>
        <v>1944</v>
      </c>
      <c r="E1930" s="66">
        <f t="shared" si="61"/>
        <v>1</v>
      </c>
    </row>
    <row r="1931" spans="1:5" x14ac:dyDescent="0.15">
      <c r="A1931" s="66" t="s">
        <v>3953</v>
      </c>
      <c r="B1931" s="66" t="s">
        <v>3954</v>
      </c>
      <c r="C1931" s="66" t="s">
        <v>71</v>
      </c>
      <c r="D1931" s="66" t="str">
        <f t="shared" si="60"/>
        <v>1945</v>
      </c>
      <c r="E1931" s="66">
        <f t="shared" si="61"/>
        <v>1</v>
      </c>
    </row>
    <row r="1932" spans="1:5" x14ac:dyDescent="0.15">
      <c r="A1932" s="66" t="s">
        <v>3955</v>
      </c>
      <c r="B1932" s="66" t="s">
        <v>3956</v>
      </c>
      <c r="C1932" s="66" t="s">
        <v>133</v>
      </c>
      <c r="D1932" s="66" t="str">
        <f t="shared" si="60"/>
        <v>1946</v>
      </c>
      <c r="E1932" s="66">
        <f t="shared" si="61"/>
        <v>1</v>
      </c>
    </row>
    <row r="1933" spans="1:5" x14ac:dyDescent="0.15">
      <c r="A1933" s="66" t="s">
        <v>3957</v>
      </c>
      <c r="B1933" s="66" t="s">
        <v>3958</v>
      </c>
      <c r="C1933" s="66" t="s">
        <v>86</v>
      </c>
      <c r="D1933" s="66" t="str">
        <f t="shared" si="60"/>
        <v>1947</v>
      </c>
      <c r="E1933" s="66">
        <f t="shared" si="61"/>
        <v>1</v>
      </c>
    </row>
    <row r="1934" spans="1:5" x14ac:dyDescent="0.15">
      <c r="A1934" s="66" t="s">
        <v>3959</v>
      </c>
      <c r="B1934" s="66" t="s">
        <v>3960</v>
      </c>
      <c r="C1934" s="66" t="s">
        <v>86</v>
      </c>
      <c r="D1934" s="66" t="str">
        <f t="shared" si="60"/>
        <v>1948</v>
      </c>
      <c r="E1934" s="66">
        <f t="shared" si="61"/>
        <v>1</v>
      </c>
    </row>
    <row r="1935" spans="1:5" x14ac:dyDescent="0.15">
      <c r="A1935" s="66" t="s">
        <v>3961</v>
      </c>
      <c r="B1935" s="66" t="s">
        <v>3962</v>
      </c>
      <c r="C1935" s="66" t="s">
        <v>86</v>
      </c>
      <c r="D1935" s="66" t="str">
        <f t="shared" si="60"/>
        <v>1949</v>
      </c>
      <c r="E1935" s="66">
        <f t="shared" si="61"/>
        <v>1</v>
      </c>
    </row>
    <row r="1936" spans="1:5" x14ac:dyDescent="0.15">
      <c r="A1936" s="66" t="s">
        <v>3963</v>
      </c>
      <c r="B1936" s="66" t="s">
        <v>3964</v>
      </c>
      <c r="C1936" s="66" t="s">
        <v>86</v>
      </c>
      <c r="D1936" s="66" t="str">
        <f t="shared" si="60"/>
        <v>1950</v>
      </c>
      <c r="E1936" s="66">
        <f t="shared" si="61"/>
        <v>1</v>
      </c>
    </row>
    <row r="1937" spans="1:5" x14ac:dyDescent="0.15">
      <c r="A1937" s="66" t="s">
        <v>3965</v>
      </c>
      <c r="B1937" s="66" t="s">
        <v>3966</v>
      </c>
      <c r="C1937" s="66" t="s">
        <v>86</v>
      </c>
      <c r="D1937" s="66" t="str">
        <f t="shared" si="60"/>
        <v>1951</v>
      </c>
      <c r="E1937" s="66">
        <f t="shared" si="61"/>
        <v>1</v>
      </c>
    </row>
    <row r="1938" spans="1:5" x14ac:dyDescent="0.15">
      <c r="A1938" s="66" t="s">
        <v>3967</v>
      </c>
      <c r="B1938" s="66" t="s">
        <v>726</v>
      </c>
      <c r="C1938" s="66" t="s">
        <v>86</v>
      </c>
      <c r="D1938" s="66" t="str">
        <f t="shared" si="60"/>
        <v>1952</v>
      </c>
      <c r="E1938" s="66">
        <f t="shared" si="61"/>
        <v>2</v>
      </c>
    </row>
    <row r="1939" spans="1:5" x14ac:dyDescent="0.15">
      <c r="A1939" s="66" t="s">
        <v>3968</v>
      </c>
      <c r="B1939" s="66" t="s">
        <v>3969</v>
      </c>
      <c r="C1939" s="66" t="s">
        <v>86</v>
      </c>
      <c r="D1939" s="66" t="str">
        <f t="shared" si="60"/>
        <v>1953</v>
      </c>
      <c r="E1939" s="66">
        <f t="shared" si="61"/>
        <v>1</v>
      </c>
    </row>
    <row r="1940" spans="1:5" x14ac:dyDescent="0.15">
      <c r="A1940" s="66" t="s">
        <v>3970</v>
      </c>
      <c r="B1940" s="66" t="s">
        <v>3971</v>
      </c>
      <c r="C1940" s="66" t="s">
        <v>86</v>
      </c>
      <c r="D1940" s="66" t="str">
        <f t="shared" si="60"/>
        <v>1954</v>
      </c>
      <c r="E1940" s="66">
        <f t="shared" si="61"/>
        <v>1</v>
      </c>
    </row>
    <row r="1941" spans="1:5" x14ac:dyDescent="0.15">
      <c r="A1941" s="66" t="s">
        <v>3972</v>
      </c>
      <c r="B1941" s="66" t="s">
        <v>3973</v>
      </c>
      <c r="C1941" s="66" t="s">
        <v>86</v>
      </c>
      <c r="D1941" s="66" t="str">
        <f t="shared" si="60"/>
        <v>1955</v>
      </c>
      <c r="E1941" s="66">
        <f t="shared" si="61"/>
        <v>1</v>
      </c>
    </row>
    <row r="1942" spans="1:5" x14ac:dyDescent="0.15">
      <c r="A1942" s="66" t="s">
        <v>3974</v>
      </c>
      <c r="B1942" s="66" t="s">
        <v>3975</v>
      </c>
      <c r="C1942" s="66" t="s">
        <v>359</v>
      </c>
      <c r="D1942" s="66" t="str">
        <f t="shared" si="60"/>
        <v>1956</v>
      </c>
      <c r="E1942" s="66">
        <f t="shared" si="61"/>
        <v>1</v>
      </c>
    </row>
    <row r="1943" spans="1:5" x14ac:dyDescent="0.15">
      <c r="A1943" s="66" t="s">
        <v>3976</v>
      </c>
      <c r="B1943" s="66" t="s">
        <v>3977</v>
      </c>
      <c r="C1943" s="66" t="s">
        <v>86</v>
      </c>
      <c r="D1943" s="66" t="str">
        <f t="shared" si="60"/>
        <v>1957</v>
      </c>
      <c r="E1943" s="66">
        <f t="shared" si="61"/>
        <v>1</v>
      </c>
    </row>
    <row r="1944" spans="1:5" x14ac:dyDescent="0.15">
      <c r="A1944" s="66" t="s">
        <v>3978</v>
      </c>
      <c r="B1944" s="66" t="s">
        <v>3979</v>
      </c>
      <c r="C1944" s="66" t="s">
        <v>86</v>
      </c>
      <c r="D1944" s="66" t="str">
        <f t="shared" si="60"/>
        <v>1958</v>
      </c>
      <c r="E1944" s="66">
        <f t="shared" si="61"/>
        <v>1</v>
      </c>
    </row>
    <row r="1945" spans="1:5" x14ac:dyDescent="0.15">
      <c r="A1945" s="66" t="s">
        <v>3980</v>
      </c>
      <c r="B1945" s="66" t="s">
        <v>3981</v>
      </c>
      <c r="C1945" s="66" t="s">
        <v>277</v>
      </c>
      <c r="D1945" s="66" t="str">
        <f t="shared" si="60"/>
        <v>1959</v>
      </c>
      <c r="E1945" s="66">
        <f t="shared" si="61"/>
        <v>1</v>
      </c>
    </row>
    <row r="1946" spans="1:5" x14ac:dyDescent="0.15">
      <c r="A1946" s="66" t="s">
        <v>3982</v>
      </c>
      <c r="B1946" s="66" t="s">
        <v>3983</v>
      </c>
      <c r="C1946" s="66" t="s">
        <v>101</v>
      </c>
      <c r="D1946" s="66" t="str">
        <f t="shared" si="60"/>
        <v>1960</v>
      </c>
      <c r="E1946" s="66">
        <f t="shared" si="61"/>
        <v>1</v>
      </c>
    </row>
    <row r="1947" spans="1:5" x14ac:dyDescent="0.15">
      <c r="A1947" s="66" t="s">
        <v>3984</v>
      </c>
      <c r="B1947" s="66" t="s">
        <v>3985</v>
      </c>
      <c r="C1947" s="66" t="s">
        <v>131</v>
      </c>
      <c r="D1947" s="66" t="str">
        <f t="shared" si="60"/>
        <v>1961</v>
      </c>
      <c r="E1947" s="66">
        <f t="shared" si="61"/>
        <v>1</v>
      </c>
    </row>
    <row r="1948" spans="1:5" x14ac:dyDescent="0.15">
      <c r="A1948" s="66" t="s">
        <v>3986</v>
      </c>
      <c r="B1948" s="66" t="s">
        <v>3987</v>
      </c>
      <c r="C1948" s="66" t="s">
        <v>277</v>
      </c>
      <c r="D1948" s="66" t="str">
        <f t="shared" si="60"/>
        <v>1962</v>
      </c>
      <c r="E1948" s="66">
        <f t="shared" si="61"/>
        <v>1</v>
      </c>
    </row>
    <row r="1949" spans="1:5" x14ac:dyDescent="0.15">
      <c r="A1949" s="66" t="s">
        <v>3988</v>
      </c>
      <c r="B1949" s="66" t="s">
        <v>3989</v>
      </c>
      <c r="C1949" s="66" t="s">
        <v>874</v>
      </c>
      <c r="D1949" s="66" t="str">
        <f t="shared" si="60"/>
        <v>1963</v>
      </c>
      <c r="E1949" s="66">
        <f t="shared" si="61"/>
        <v>1</v>
      </c>
    </row>
    <row r="1950" spans="1:5" x14ac:dyDescent="0.15">
      <c r="A1950" s="66" t="s">
        <v>3990</v>
      </c>
      <c r="B1950" s="66" t="s">
        <v>3991</v>
      </c>
      <c r="C1950" s="66" t="s">
        <v>71</v>
      </c>
      <c r="D1950" s="66" t="str">
        <f t="shared" si="60"/>
        <v>1964</v>
      </c>
      <c r="E1950" s="66">
        <f t="shared" si="61"/>
        <v>1</v>
      </c>
    </row>
    <row r="1951" spans="1:5" x14ac:dyDescent="0.15">
      <c r="A1951" s="66" t="s">
        <v>3992</v>
      </c>
      <c r="B1951" s="66" t="s">
        <v>3993</v>
      </c>
      <c r="C1951" s="66" t="s">
        <v>75</v>
      </c>
      <c r="D1951" s="66" t="str">
        <f t="shared" si="60"/>
        <v>1965</v>
      </c>
      <c r="E1951" s="66">
        <f t="shared" si="61"/>
        <v>1</v>
      </c>
    </row>
    <row r="1952" spans="1:5" x14ac:dyDescent="0.15">
      <c r="A1952" s="66" t="s">
        <v>3994</v>
      </c>
      <c r="B1952" s="66" t="s">
        <v>3995</v>
      </c>
      <c r="C1952" s="66" t="s">
        <v>101</v>
      </c>
      <c r="D1952" s="66" t="str">
        <f t="shared" si="60"/>
        <v>1966</v>
      </c>
      <c r="E1952" s="66">
        <f t="shared" si="61"/>
        <v>1</v>
      </c>
    </row>
    <row r="1953" spans="1:5" x14ac:dyDescent="0.15">
      <c r="A1953" s="66" t="s">
        <v>3996</v>
      </c>
      <c r="B1953" s="66" t="s">
        <v>3997</v>
      </c>
      <c r="C1953" s="66" t="s">
        <v>133</v>
      </c>
      <c r="D1953" s="66" t="str">
        <f t="shared" si="60"/>
        <v>1967</v>
      </c>
      <c r="E1953" s="66">
        <f t="shared" si="61"/>
        <v>1</v>
      </c>
    </row>
    <row r="1954" spans="1:5" x14ac:dyDescent="0.15">
      <c r="A1954" s="66" t="s">
        <v>3998</v>
      </c>
      <c r="B1954" s="66" t="s">
        <v>3999</v>
      </c>
      <c r="C1954" s="66" t="s">
        <v>101</v>
      </c>
      <c r="D1954" s="66" t="str">
        <f t="shared" si="60"/>
        <v>1968</v>
      </c>
      <c r="E1954" s="66">
        <f t="shared" si="61"/>
        <v>1</v>
      </c>
    </row>
    <row r="1955" spans="1:5" x14ac:dyDescent="0.15">
      <c r="A1955" s="66" t="s">
        <v>4000</v>
      </c>
      <c r="B1955" s="66" t="s">
        <v>1648</v>
      </c>
      <c r="C1955" s="66" t="s">
        <v>101</v>
      </c>
      <c r="D1955" s="66" t="str">
        <f t="shared" si="60"/>
        <v>1969</v>
      </c>
      <c r="E1955" s="66">
        <f t="shared" si="61"/>
        <v>2</v>
      </c>
    </row>
    <row r="1956" spans="1:5" x14ac:dyDescent="0.15">
      <c r="A1956" s="66" t="s">
        <v>4001</v>
      </c>
      <c r="B1956" s="66" t="s">
        <v>4002</v>
      </c>
      <c r="C1956" s="66" t="s">
        <v>874</v>
      </c>
      <c r="D1956" s="66" t="str">
        <f t="shared" si="60"/>
        <v>1970</v>
      </c>
      <c r="E1956" s="66">
        <f t="shared" si="61"/>
        <v>1</v>
      </c>
    </row>
    <row r="1957" spans="1:5" x14ac:dyDescent="0.15">
      <c r="A1957" s="66" t="s">
        <v>4003</v>
      </c>
      <c r="B1957" s="66" t="s">
        <v>2059</v>
      </c>
      <c r="C1957" s="66" t="s">
        <v>268</v>
      </c>
      <c r="D1957" s="66" t="str">
        <f t="shared" si="60"/>
        <v>1971</v>
      </c>
      <c r="E1957" s="66">
        <f t="shared" si="61"/>
        <v>2</v>
      </c>
    </row>
    <row r="1958" spans="1:5" x14ac:dyDescent="0.15">
      <c r="A1958" s="66" t="s">
        <v>4004</v>
      </c>
      <c r="B1958" s="66" t="s">
        <v>4005</v>
      </c>
      <c r="C1958" s="66" t="s">
        <v>71</v>
      </c>
      <c r="D1958" s="66" t="str">
        <f t="shared" si="60"/>
        <v>1972</v>
      </c>
      <c r="E1958" s="66">
        <f t="shared" si="61"/>
        <v>1</v>
      </c>
    </row>
    <row r="1959" spans="1:5" x14ac:dyDescent="0.15">
      <c r="A1959" s="66" t="s">
        <v>4006</v>
      </c>
      <c r="B1959" s="66" t="s">
        <v>3053</v>
      </c>
      <c r="C1959" s="66" t="s">
        <v>71</v>
      </c>
      <c r="D1959" s="66" t="str">
        <f t="shared" si="60"/>
        <v>1973</v>
      </c>
      <c r="E1959" s="66">
        <f t="shared" si="61"/>
        <v>2</v>
      </c>
    </row>
    <row r="1960" spans="1:5" x14ac:dyDescent="0.15">
      <c r="A1960" s="66" t="s">
        <v>4007</v>
      </c>
      <c r="B1960" s="66" t="s">
        <v>2673</v>
      </c>
      <c r="C1960" s="66" t="s">
        <v>101</v>
      </c>
      <c r="D1960" s="66" t="str">
        <f t="shared" si="60"/>
        <v>1974</v>
      </c>
      <c r="E1960" s="66">
        <f t="shared" si="61"/>
        <v>2</v>
      </c>
    </row>
    <row r="1961" spans="1:5" x14ac:dyDescent="0.15">
      <c r="A1961" s="66" t="s">
        <v>4008</v>
      </c>
      <c r="B1961" s="66" t="s">
        <v>4009</v>
      </c>
      <c r="C1961" s="66" t="s">
        <v>101</v>
      </c>
      <c r="D1961" s="66" t="str">
        <f t="shared" si="60"/>
        <v>1975</v>
      </c>
      <c r="E1961" s="66">
        <f t="shared" si="61"/>
        <v>1</v>
      </c>
    </row>
    <row r="1962" spans="1:5" x14ac:dyDescent="0.15">
      <c r="A1962" s="66" t="s">
        <v>4010</v>
      </c>
      <c r="B1962" s="66" t="s">
        <v>4011</v>
      </c>
      <c r="C1962" s="66" t="s">
        <v>101</v>
      </c>
      <c r="D1962" s="66" t="str">
        <f t="shared" si="60"/>
        <v>1976</v>
      </c>
      <c r="E1962" s="66">
        <f t="shared" si="61"/>
        <v>1</v>
      </c>
    </row>
    <row r="1963" spans="1:5" x14ac:dyDescent="0.15">
      <c r="A1963" s="66" t="s">
        <v>4012</v>
      </c>
      <c r="B1963" s="66" t="s">
        <v>4013</v>
      </c>
      <c r="C1963" s="66" t="s">
        <v>277</v>
      </c>
      <c r="D1963" s="66" t="str">
        <f t="shared" si="60"/>
        <v>1977</v>
      </c>
      <c r="E1963" s="66">
        <f t="shared" si="61"/>
        <v>1</v>
      </c>
    </row>
    <row r="1964" spans="1:5" x14ac:dyDescent="0.15">
      <c r="A1964" s="66" t="s">
        <v>4014</v>
      </c>
      <c r="B1964" s="66" t="s">
        <v>4015</v>
      </c>
      <c r="C1964" s="66" t="s">
        <v>101</v>
      </c>
      <c r="D1964" s="66" t="str">
        <f t="shared" si="60"/>
        <v>1978</v>
      </c>
      <c r="E1964" s="66">
        <f t="shared" si="61"/>
        <v>1</v>
      </c>
    </row>
    <row r="1965" spans="1:5" x14ac:dyDescent="0.15">
      <c r="A1965" s="66" t="s">
        <v>4016</v>
      </c>
      <c r="B1965" s="66" t="s">
        <v>4017</v>
      </c>
      <c r="C1965" s="66" t="s">
        <v>101</v>
      </c>
      <c r="D1965" s="66" t="str">
        <f t="shared" si="60"/>
        <v>1979</v>
      </c>
      <c r="E1965" s="66">
        <f t="shared" si="61"/>
        <v>1</v>
      </c>
    </row>
    <row r="1966" spans="1:5" x14ac:dyDescent="0.15">
      <c r="A1966" s="66" t="s">
        <v>4018</v>
      </c>
      <c r="B1966" s="66" t="s">
        <v>4019</v>
      </c>
      <c r="C1966" s="66" t="s">
        <v>75</v>
      </c>
      <c r="D1966" s="66" t="str">
        <f t="shared" si="60"/>
        <v>1980</v>
      </c>
      <c r="E1966" s="66">
        <f t="shared" si="61"/>
        <v>1</v>
      </c>
    </row>
    <row r="1967" spans="1:5" x14ac:dyDescent="0.15">
      <c r="A1967" s="66" t="s">
        <v>4020</v>
      </c>
      <c r="B1967" s="66" t="s">
        <v>4021</v>
      </c>
      <c r="C1967" s="66" t="s">
        <v>79</v>
      </c>
      <c r="D1967" s="66" t="str">
        <f t="shared" si="60"/>
        <v>1981</v>
      </c>
      <c r="E1967" s="66">
        <f t="shared" si="61"/>
        <v>1</v>
      </c>
    </row>
    <row r="1968" spans="1:5" x14ac:dyDescent="0.15">
      <c r="A1968" s="66" t="s">
        <v>69</v>
      </c>
      <c r="B1968" s="66" t="s">
        <v>72</v>
      </c>
      <c r="C1968" s="66" t="s">
        <v>71</v>
      </c>
      <c r="D1968" s="66" t="str">
        <f t="shared" si="60"/>
        <v>1982</v>
      </c>
      <c r="E1968" s="66">
        <f t="shared" si="61"/>
        <v>1</v>
      </c>
    </row>
    <row r="1969" spans="1:5" x14ac:dyDescent="0.15">
      <c r="A1969" s="66" t="s">
        <v>4022</v>
      </c>
      <c r="B1969" s="66" t="s">
        <v>4023</v>
      </c>
      <c r="C1969" s="66" t="s">
        <v>79</v>
      </c>
      <c r="D1969" s="66" t="str">
        <f t="shared" si="60"/>
        <v>1983</v>
      </c>
      <c r="E1969" s="66">
        <f t="shared" si="61"/>
        <v>1</v>
      </c>
    </row>
    <row r="1970" spans="1:5" x14ac:dyDescent="0.15">
      <c r="A1970" s="66" t="s">
        <v>4024</v>
      </c>
      <c r="B1970" s="66" t="s">
        <v>4025</v>
      </c>
      <c r="C1970" s="66" t="s">
        <v>874</v>
      </c>
      <c r="D1970" s="66" t="str">
        <f t="shared" si="60"/>
        <v>1984</v>
      </c>
      <c r="E1970" s="66">
        <f t="shared" si="61"/>
        <v>1</v>
      </c>
    </row>
    <row r="1971" spans="1:5" x14ac:dyDescent="0.15">
      <c r="A1971" s="66" t="s">
        <v>4026</v>
      </c>
      <c r="B1971" s="66" t="s">
        <v>4027</v>
      </c>
      <c r="C1971" s="66" t="s">
        <v>359</v>
      </c>
      <c r="D1971" s="66" t="str">
        <f t="shared" si="60"/>
        <v>1985</v>
      </c>
      <c r="E1971" s="66">
        <f t="shared" si="61"/>
        <v>1</v>
      </c>
    </row>
    <row r="1972" spans="1:5" x14ac:dyDescent="0.15">
      <c r="A1972" s="66" t="s">
        <v>4028</v>
      </c>
      <c r="B1972" s="66" t="s">
        <v>4029</v>
      </c>
      <c r="C1972" s="66" t="s">
        <v>79</v>
      </c>
      <c r="D1972" s="66" t="str">
        <f t="shared" si="60"/>
        <v>1986</v>
      </c>
      <c r="E1972" s="66">
        <f t="shared" si="61"/>
        <v>1</v>
      </c>
    </row>
    <row r="1973" spans="1:5" x14ac:dyDescent="0.15">
      <c r="A1973" s="66" t="s">
        <v>4030</v>
      </c>
      <c r="B1973" s="66" t="s">
        <v>4031</v>
      </c>
      <c r="C1973" s="66" t="s">
        <v>268</v>
      </c>
      <c r="D1973" s="66" t="str">
        <f t="shared" si="60"/>
        <v>1987</v>
      </c>
      <c r="E1973" s="66">
        <f t="shared" si="61"/>
        <v>1</v>
      </c>
    </row>
    <row r="1974" spans="1:5" x14ac:dyDescent="0.15">
      <c r="A1974" s="66" t="s">
        <v>4032</v>
      </c>
      <c r="B1974" s="66" t="s">
        <v>4033</v>
      </c>
      <c r="C1974" s="66" t="s">
        <v>133</v>
      </c>
      <c r="D1974" s="66" t="str">
        <f t="shared" si="60"/>
        <v>1988</v>
      </c>
      <c r="E1974" s="66">
        <f t="shared" si="61"/>
        <v>1</v>
      </c>
    </row>
    <row r="1975" spans="1:5" x14ac:dyDescent="0.15">
      <c r="A1975" s="66" t="s">
        <v>4034</v>
      </c>
      <c r="B1975" s="66" t="s">
        <v>4035</v>
      </c>
      <c r="C1975" s="66" t="s">
        <v>71</v>
      </c>
      <c r="D1975" s="66" t="str">
        <f t="shared" si="60"/>
        <v>1989</v>
      </c>
      <c r="E1975" s="66">
        <f t="shared" si="61"/>
        <v>1</v>
      </c>
    </row>
    <row r="1976" spans="1:5" x14ac:dyDescent="0.15">
      <c r="A1976" s="66" t="s">
        <v>4036</v>
      </c>
      <c r="B1976" s="66" t="s">
        <v>4037</v>
      </c>
      <c r="C1976" s="66" t="s">
        <v>86</v>
      </c>
      <c r="D1976" s="66" t="str">
        <f t="shared" si="60"/>
        <v>1990</v>
      </c>
      <c r="E1976" s="66">
        <f t="shared" si="61"/>
        <v>1</v>
      </c>
    </row>
    <row r="1977" spans="1:5" x14ac:dyDescent="0.15">
      <c r="A1977" s="66" t="s">
        <v>4038</v>
      </c>
      <c r="B1977" s="66" t="s">
        <v>4039</v>
      </c>
      <c r="C1977" s="66" t="s">
        <v>133</v>
      </c>
      <c r="D1977" s="66" t="str">
        <f t="shared" si="60"/>
        <v>1991</v>
      </c>
      <c r="E1977" s="66">
        <f t="shared" si="61"/>
        <v>1</v>
      </c>
    </row>
    <row r="1978" spans="1:5" x14ac:dyDescent="0.15">
      <c r="A1978" s="66" t="s">
        <v>4040</v>
      </c>
      <c r="B1978" s="66" t="s">
        <v>4041</v>
      </c>
      <c r="C1978" s="66" t="s">
        <v>79</v>
      </c>
      <c r="D1978" s="66" t="str">
        <f t="shared" si="60"/>
        <v>1992</v>
      </c>
      <c r="E1978" s="66">
        <f t="shared" si="61"/>
        <v>1</v>
      </c>
    </row>
    <row r="1979" spans="1:5" x14ac:dyDescent="0.15">
      <c r="A1979" s="66" t="s">
        <v>4042</v>
      </c>
      <c r="B1979" s="66" t="s">
        <v>4043</v>
      </c>
      <c r="C1979" s="66" t="s">
        <v>245</v>
      </c>
      <c r="D1979" s="66" t="str">
        <f t="shared" si="60"/>
        <v>1993</v>
      </c>
      <c r="E1979" s="66">
        <f t="shared" si="61"/>
        <v>1</v>
      </c>
    </row>
    <row r="1980" spans="1:5" x14ac:dyDescent="0.15">
      <c r="A1980" s="66" t="s">
        <v>4044</v>
      </c>
      <c r="B1980" s="66" t="s">
        <v>4045</v>
      </c>
      <c r="C1980" s="66" t="s">
        <v>101</v>
      </c>
      <c r="D1980" s="66" t="str">
        <f t="shared" si="60"/>
        <v>1994</v>
      </c>
      <c r="E1980" s="66">
        <f t="shared" si="61"/>
        <v>1</v>
      </c>
    </row>
    <row r="1981" spans="1:5" x14ac:dyDescent="0.15">
      <c r="A1981" s="66" t="s">
        <v>4046</v>
      </c>
      <c r="B1981" s="66" t="s">
        <v>4047</v>
      </c>
      <c r="C1981" s="66" t="s">
        <v>133</v>
      </c>
      <c r="D1981" s="66" t="str">
        <f t="shared" si="60"/>
        <v>1995</v>
      </c>
      <c r="E1981" s="66">
        <f t="shared" si="61"/>
        <v>1</v>
      </c>
    </row>
    <row r="1982" spans="1:5" x14ac:dyDescent="0.15">
      <c r="A1982" s="66" t="s">
        <v>103</v>
      </c>
      <c r="B1982" s="66" t="s">
        <v>105</v>
      </c>
      <c r="C1982" s="66" t="s">
        <v>101</v>
      </c>
      <c r="D1982" s="66" t="str">
        <f t="shared" si="60"/>
        <v>1996</v>
      </c>
      <c r="E1982" s="66">
        <f t="shared" si="61"/>
        <v>1</v>
      </c>
    </row>
    <row r="1983" spans="1:5" x14ac:dyDescent="0.15">
      <c r="A1983" s="66" t="s">
        <v>91</v>
      </c>
      <c r="B1983" s="66" t="s">
        <v>92</v>
      </c>
      <c r="C1983" s="66" t="s">
        <v>86</v>
      </c>
      <c r="D1983" s="66" t="str">
        <f t="shared" si="60"/>
        <v>1997</v>
      </c>
      <c r="E1983" s="66">
        <f t="shared" si="61"/>
        <v>1</v>
      </c>
    </row>
    <row r="1984" spans="1:5" x14ac:dyDescent="0.15">
      <c r="A1984" s="66" t="s">
        <v>4048</v>
      </c>
      <c r="B1984" s="66" t="s">
        <v>4049</v>
      </c>
      <c r="C1984" s="66" t="s">
        <v>359</v>
      </c>
      <c r="D1984" s="66" t="str">
        <f t="shared" si="60"/>
        <v>1998</v>
      </c>
      <c r="E1984" s="66">
        <f t="shared" si="61"/>
        <v>1</v>
      </c>
    </row>
    <row r="1985" spans="1:5" x14ac:dyDescent="0.15">
      <c r="A1985" s="66" t="s">
        <v>4050</v>
      </c>
      <c r="B1985" s="66" t="s">
        <v>4051</v>
      </c>
      <c r="C1985" s="66" t="s">
        <v>359</v>
      </c>
      <c r="D1985" s="66" t="str">
        <f t="shared" si="60"/>
        <v>1999</v>
      </c>
      <c r="E1985" s="66">
        <f t="shared" si="61"/>
        <v>1</v>
      </c>
    </row>
    <row r="1986" spans="1:5" x14ac:dyDescent="0.15">
      <c r="A1986" s="66" t="s">
        <v>4052</v>
      </c>
      <c r="B1986" s="66" t="s">
        <v>4053</v>
      </c>
      <c r="C1986" s="66" t="s">
        <v>277</v>
      </c>
      <c r="D1986" s="66" t="str">
        <f t="shared" ref="D1986:D2049" si="62">A1986</f>
        <v>2000</v>
      </c>
      <c r="E1986" s="66">
        <f t="shared" ref="E1986:E2049" si="63">COUNTIFS(B:B,B1986)</f>
        <v>1</v>
      </c>
    </row>
    <row r="1987" spans="1:5" x14ac:dyDescent="0.15">
      <c r="A1987" s="66" t="s">
        <v>4054</v>
      </c>
      <c r="B1987" s="66" t="s">
        <v>4055</v>
      </c>
      <c r="C1987" s="66" t="s">
        <v>874</v>
      </c>
      <c r="D1987" s="66" t="str">
        <f t="shared" si="62"/>
        <v>2001</v>
      </c>
      <c r="E1987" s="66">
        <f t="shared" si="63"/>
        <v>1</v>
      </c>
    </row>
    <row r="1988" spans="1:5" x14ac:dyDescent="0.15">
      <c r="A1988" s="66" t="s">
        <v>4056</v>
      </c>
      <c r="B1988" s="66" t="s">
        <v>4057</v>
      </c>
      <c r="C1988" s="66" t="s">
        <v>874</v>
      </c>
      <c r="D1988" s="66" t="str">
        <f t="shared" si="62"/>
        <v>2002</v>
      </c>
      <c r="E1988" s="66">
        <f t="shared" si="63"/>
        <v>1</v>
      </c>
    </row>
    <row r="1989" spans="1:5" x14ac:dyDescent="0.15">
      <c r="A1989" s="66" t="s">
        <v>4058</v>
      </c>
      <c r="B1989" s="66" t="s">
        <v>4059</v>
      </c>
      <c r="C1989" s="66" t="s">
        <v>340</v>
      </c>
      <c r="D1989" s="66" t="str">
        <f t="shared" si="62"/>
        <v>2003</v>
      </c>
      <c r="E1989" s="66">
        <f t="shared" si="63"/>
        <v>1</v>
      </c>
    </row>
    <row r="1990" spans="1:5" x14ac:dyDescent="0.15">
      <c r="A1990" s="66" t="s">
        <v>4060</v>
      </c>
      <c r="B1990" s="66" t="s">
        <v>4061</v>
      </c>
      <c r="C1990" s="66" t="s">
        <v>359</v>
      </c>
      <c r="D1990" s="66" t="str">
        <f t="shared" si="62"/>
        <v>2004</v>
      </c>
      <c r="E1990" s="66">
        <f t="shared" si="63"/>
        <v>1</v>
      </c>
    </row>
    <row r="1991" spans="1:5" x14ac:dyDescent="0.15">
      <c r="A1991" s="66" t="s">
        <v>4062</v>
      </c>
      <c r="B1991" s="66" t="s">
        <v>4063</v>
      </c>
      <c r="C1991" s="66" t="s">
        <v>359</v>
      </c>
      <c r="D1991" s="66" t="str">
        <f t="shared" si="62"/>
        <v>2005</v>
      </c>
      <c r="E1991" s="66">
        <f t="shared" si="63"/>
        <v>1</v>
      </c>
    </row>
    <row r="1992" spans="1:5" x14ac:dyDescent="0.15">
      <c r="A1992" s="66" t="s">
        <v>4064</v>
      </c>
      <c r="B1992" s="66" t="s">
        <v>4065</v>
      </c>
      <c r="C1992" s="66" t="s">
        <v>133</v>
      </c>
      <c r="D1992" s="66" t="str">
        <f t="shared" si="62"/>
        <v>2006</v>
      </c>
      <c r="E1992" s="66">
        <f t="shared" si="63"/>
        <v>1</v>
      </c>
    </row>
    <row r="1993" spans="1:5" x14ac:dyDescent="0.15">
      <c r="A1993" s="66" t="s">
        <v>4066</v>
      </c>
      <c r="B1993" s="66" t="s">
        <v>4067</v>
      </c>
      <c r="C1993" s="66" t="s">
        <v>101</v>
      </c>
      <c r="D1993" s="66" t="str">
        <f t="shared" si="62"/>
        <v>2007</v>
      </c>
      <c r="E1993" s="66">
        <f t="shared" si="63"/>
        <v>1</v>
      </c>
    </row>
    <row r="1994" spans="1:5" x14ac:dyDescent="0.15">
      <c r="A1994" s="66" t="s">
        <v>4068</v>
      </c>
      <c r="B1994" s="66" t="s">
        <v>4069</v>
      </c>
      <c r="C1994" s="66" t="s">
        <v>133</v>
      </c>
      <c r="D1994" s="66" t="str">
        <f t="shared" si="62"/>
        <v>2008</v>
      </c>
      <c r="E1994" s="66">
        <f t="shared" si="63"/>
        <v>1</v>
      </c>
    </row>
    <row r="1995" spans="1:5" x14ac:dyDescent="0.15">
      <c r="A1995" s="66" t="s">
        <v>4070</v>
      </c>
      <c r="B1995" s="66" t="s">
        <v>4071</v>
      </c>
      <c r="C1995" s="66" t="s">
        <v>133</v>
      </c>
      <c r="D1995" s="66" t="str">
        <f t="shared" si="62"/>
        <v>2009</v>
      </c>
      <c r="E1995" s="66">
        <f t="shared" si="63"/>
        <v>1</v>
      </c>
    </row>
    <row r="1996" spans="1:5" x14ac:dyDescent="0.15">
      <c r="A1996" s="66" t="s">
        <v>4072</v>
      </c>
      <c r="B1996" s="66" t="s">
        <v>4073</v>
      </c>
      <c r="C1996" s="66" t="s">
        <v>101</v>
      </c>
      <c r="D1996" s="66" t="str">
        <f t="shared" si="62"/>
        <v>2010</v>
      </c>
      <c r="E1996" s="66">
        <f t="shared" si="63"/>
        <v>1</v>
      </c>
    </row>
    <row r="1997" spans="1:5" x14ac:dyDescent="0.15">
      <c r="A1997" s="66" t="s">
        <v>4074</v>
      </c>
      <c r="B1997" s="66" t="s">
        <v>4075</v>
      </c>
      <c r="C1997" s="66" t="s">
        <v>101</v>
      </c>
      <c r="D1997" s="66" t="str">
        <f t="shared" si="62"/>
        <v>2011</v>
      </c>
      <c r="E1997" s="66">
        <f t="shared" si="63"/>
        <v>1</v>
      </c>
    </row>
    <row r="1998" spans="1:5" x14ac:dyDescent="0.15">
      <c r="A1998" s="66" t="s">
        <v>4076</v>
      </c>
      <c r="B1998" s="66" t="s">
        <v>4077</v>
      </c>
      <c r="C1998" s="66" t="s">
        <v>874</v>
      </c>
      <c r="D1998" s="66" t="str">
        <f t="shared" si="62"/>
        <v>2012</v>
      </c>
      <c r="E1998" s="66">
        <f t="shared" si="63"/>
        <v>1</v>
      </c>
    </row>
    <row r="1999" spans="1:5" x14ac:dyDescent="0.15">
      <c r="A1999" s="66" t="s">
        <v>4078</v>
      </c>
      <c r="B1999" s="66" t="s">
        <v>4079</v>
      </c>
      <c r="C1999" s="66" t="s">
        <v>79</v>
      </c>
      <c r="D1999" s="66" t="str">
        <f t="shared" si="62"/>
        <v>2013</v>
      </c>
      <c r="E1999" s="66">
        <f t="shared" si="63"/>
        <v>1</v>
      </c>
    </row>
    <row r="2000" spans="1:5" x14ac:dyDescent="0.15">
      <c r="A2000" s="66" t="s">
        <v>4080</v>
      </c>
      <c r="B2000" s="66" t="s">
        <v>4081</v>
      </c>
      <c r="C2000" s="66" t="s">
        <v>86</v>
      </c>
      <c r="D2000" s="66" t="str">
        <f t="shared" si="62"/>
        <v>2014</v>
      </c>
      <c r="E2000" s="66">
        <f t="shared" si="63"/>
        <v>1</v>
      </c>
    </row>
    <row r="2001" spans="1:5" x14ac:dyDescent="0.15">
      <c r="A2001" s="66" t="s">
        <v>4082</v>
      </c>
      <c r="B2001" s="66" t="s">
        <v>4083</v>
      </c>
      <c r="C2001" s="66" t="s">
        <v>86</v>
      </c>
      <c r="D2001" s="66" t="str">
        <f t="shared" si="62"/>
        <v>2015</v>
      </c>
      <c r="E2001" s="66">
        <f t="shared" si="63"/>
        <v>1</v>
      </c>
    </row>
    <row r="2002" spans="1:5" x14ac:dyDescent="0.15">
      <c r="A2002" s="66" t="s">
        <v>4084</v>
      </c>
      <c r="B2002" s="66" t="s">
        <v>4085</v>
      </c>
      <c r="C2002" s="66" t="s">
        <v>245</v>
      </c>
      <c r="D2002" s="66" t="str">
        <f t="shared" si="62"/>
        <v>2016</v>
      </c>
      <c r="E2002" s="66">
        <f t="shared" si="63"/>
        <v>1</v>
      </c>
    </row>
    <row r="2003" spans="1:5" x14ac:dyDescent="0.15">
      <c r="A2003" s="66" t="s">
        <v>4086</v>
      </c>
      <c r="B2003" s="66" t="s">
        <v>4087</v>
      </c>
      <c r="C2003" s="66" t="s">
        <v>86</v>
      </c>
      <c r="D2003" s="66" t="str">
        <f t="shared" si="62"/>
        <v>2017</v>
      </c>
      <c r="E2003" s="66">
        <f t="shared" si="63"/>
        <v>1</v>
      </c>
    </row>
    <row r="2004" spans="1:5" x14ac:dyDescent="0.15">
      <c r="A2004" s="66" t="s">
        <v>4088</v>
      </c>
      <c r="B2004" s="66" t="s">
        <v>4089</v>
      </c>
      <c r="C2004" s="66" t="s">
        <v>359</v>
      </c>
      <c r="D2004" s="66" t="str">
        <f t="shared" si="62"/>
        <v>2018</v>
      </c>
      <c r="E2004" s="66">
        <f t="shared" si="63"/>
        <v>1</v>
      </c>
    </row>
    <row r="2005" spans="1:5" x14ac:dyDescent="0.15">
      <c r="A2005" s="66" t="s">
        <v>4090</v>
      </c>
      <c r="B2005" s="66" t="s">
        <v>4091</v>
      </c>
      <c r="C2005" s="66" t="s">
        <v>101</v>
      </c>
      <c r="D2005" s="66" t="str">
        <f t="shared" si="62"/>
        <v>2019</v>
      </c>
      <c r="E2005" s="66">
        <f t="shared" si="63"/>
        <v>1</v>
      </c>
    </row>
    <row r="2006" spans="1:5" x14ac:dyDescent="0.15">
      <c r="A2006" s="66" t="s">
        <v>4092</v>
      </c>
      <c r="B2006" s="66" t="s">
        <v>4093</v>
      </c>
      <c r="C2006" s="66" t="s">
        <v>245</v>
      </c>
      <c r="D2006" s="66" t="str">
        <f t="shared" si="62"/>
        <v>2020</v>
      </c>
      <c r="E2006" s="66">
        <f t="shared" si="63"/>
        <v>1</v>
      </c>
    </row>
    <row r="2007" spans="1:5" x14ac:dyDescent="0.15">
      <c r="A2007" s="66" t="s">
        <v>4094</v>
      </c>
      <c r="B2007" s="66" t="s">
        <v>4095</v>
      </c>
      <c r="C2007" s="66" t="s">
        <v>101</v>
      </c>
      <c r="D2007" s="66" t="str">
        <f t="shared" si="62"/>
        <v>2021</v>
      </c>
      <c r="E2007" s="66">
        <f t="shared" si="63"/>
        <v>1</v>
      </c>
    </row>
    <row r="2008" spans="1:5" x14ac:dyDescent="0.15">
      <c r="A2008" s="66" t="s">
        <v>4096</v>
      </c>
      <c r="B2008" s="66" t="s">
        <v>4097</v>
      </c>
      <c r="C2008" s="66" t="s">
        <v>140</v>
      </c>
      <c r="D2008" s="66" t="str">
        <f t="shared" si="62"/>
        <v>2022</v>
      </c>
      <c r="E2008" s="66">
        <f t="shared" si="63"/>
        <v>1</v>
      </c>
    </row>
    <row r="2009" spans="1:5" x14ac:dyDescent="0.15">
      <c r="A2009" s="66" t="s">
        <v>4098</v>
      </c>
      <c r="B2009" s="66" t="s">
        <v>4099</v>
      </c>
      <c r="C2009" s="66" t="s">
        <v>133</v>
      </c>
      <c r="D2009" s="66" t="str">
        <f t="shared" si="62"/>
        <v>2023</v>
      </c>
      <c r="E2009" s="66">
        <f t="shared" si="63"/>
        <v>1</v>
      </c>
    </row>
    <row r="2010" spans="1:5" x14ac:dyDescent="0.15">
      <c r="A2010" s="66" t="s">
        <v>4100</v>
      </c>
      <c r="B2010" s="66" t="s">
        <v>4101</v>
      </c>
      <c r="C2010" s="66" t="s">
        <v>359</v>
      </c>
      <c r="D2010" s="66" t="str">
        <f t="shared" si="62"/>
        <v>2024</v>
      </c>
      <c r="E2010" s="66">
        <f t="shared" si="63"/>
        <v>1</v>
      </c>
    </row>
    <row r="2011" spans="1:5" x14ac:dyDescent="0.15">
      <c r="A2011" s="66" t="s">
        <v>4102</v>
      </c>
      <c r="B2011" s="66" t="s">
        <v>4103</v>
      </c>
      <c r="C2011" s="66" t="s">
        <v>86</v>
      </c>
      <c r="D2011" s="66" t="str">
        <f t="shared" si="62"/>
        <v>2025</v>
      </c>
      <c r="E2011" s="66">
        <f t="shared" si="63"/>
        <v>1</v>
      </c>
    </row>
    <row r="2012" spans="1:5" x14ac:dyDescent="0.15">
      <c r="A2012" s="66" t="s">
        <v>4104</v>
      </c>
      <c r="B2012" s="66" t="s">
        <v>4105</v>
      </c>
      <c r="C2012" s="66" t="s">
        <v>67</v>
      </c>
      <c r="D2012" s="66" t="str">
        <f t="shared" si="62"/>
        <v>2026</v>
      </c>
      <c r="E2012" s="66">
        <f t="shared" si="63"/>
        <v>1</v>
      </c>
    </row>
    <row r="2013" spans="1:5" x14ac:dyDescent="0.15">
      <c r="A2013" s="66" t="s">
        <v>4106</v>
      </c>
      <c r="B2013" s="66" t="s">
        <v>4107</v>
      </c>
      <c r="C2013" s="66" t="s">
        <v>140</v>
      </c>
      <c r="D2013" s="66" t="str">
        <f t="shared" si="62"/>
        <v>2027</v>
      </c>
      <c r="E2013" s="66">
        <f t="shared" si="63"/>
        <v>1</v>
      </c>
    </row>
    <row r="2014" spans="1:5" x14ac:dyDescent="0.15">
      <c r="A2014" s="66" t="s">
        <v>4108</v>
      </c>
      <c r="B2014" s="66" t="s">
        <v>4109</v>
      </c>
      <c r="C2014" s="66" t="s">
        <v>101</v>
      </c>
      <c r="D2014" s="66" t="str">
        <f t="shared" si="62"/>
        <v>2028</v>
      </c>
      <c r="E2014" s="66">
        <f t="shared" si="63"/>
        <v>1</v>
      </c>
    </row>
    <row r="2015" spans="1:5" x14ac:dyDescent="0.15">
      <c r="A2015" s="66" t="s">
        <v>4110</v>
      </c>
      <c r="B2015" s="66" t="s">
        <v>4111</v>
      </c>
      <c r="C2015" s="66" t="s">
        <v>101</v>
      </c>
      <c r="D2015" s="66" t="str">
        <f t="shared" si="62"/>
        <v>2029</v>
      </c>
      <c r="E2015" s="66">
        <f t="shared" si="63"/>
        <v>1</v>
      </c>
    </row>
    <row r="2016" spans="1:5" x14ac:dyDescent="0.15">
      <c r="A2016" s="66" t="s">
        <v>4112</v>
      </c>
      <c r="B2016" s="66" t="s">
        <v>4113</v>
      </c>
      <c r="C2016" s="66" t="s">
        <v>101</v>
      </c>
      <c r="D2016" s="66" t="str">
        <f t="shared" si="62"/>
        <v>2030</v>
      </c>
      <c r="E2016" s="66">
        <f t="shared" si="63"/>
        <v>1</v>
      </c>
    </row>
    <row r="2017" spans="1:5" x14ac:dyDescent="0.15">
      <c r="A2017" s="66" t="s">
        <v>4114</v>
      </c>
      <c r="B2017" s="66" t="s">
        <v>4115</v>
      </c>
      <c r="C2017" s="66" t="s">
        <v>101</v>
      </c>
      <c r="D2017" s="66" t="str">
        <f t="shared" si="62"/>
        <v>2031</v>
      </c>
      <c r="E2017" s="66">
        <f t="shared" si="63"/>
        <v>1</v>
      </c>
    </row>
    <row r="2018" spans="1:5" x14ac:dyDescent="0.15">
      <c r="A2018" s="66" t="s">
        <v>4116</v>
      </c>
      <c r="B2018" s="66" t="s">
        <v>4117</v>
      </c>
      <c r="C2018" s="66" t="s">
        <v>86</v>
      </c>
      <c r="D2018" s="66" t="str">
        <f t="shared" si="62"/>
        <v>2032</v>
      </c>
      <c r="E2018" s="66">
        <f t="shared" si="63"/>
        <v>1</v>
      </c>
    </row>
    <row r="2019" spans="1:5" x14ac:dyDescent="0.15">
      <c r="A2019" s="66" t="s">
        <v>4118</v>
      </c>
      <c r="B2019" s="66" t="s">
        <v>372</v>
      </c>
      <c r="C2019" s="66" t="s">
        <v>359</v>
      </c>
      <c r="D2019" s="66" t="str">
        <f t="shared" si="62"/>
        <v>2033</v>
      </c>
      <c r="E2019" s="66">
        <f t="shared" si="63"/>
        <v>2</v>
      </c>
    </row>
    <row r="2020" spans="1:5" x14ac:dyDescent="0.15">
      <c r="A2020" s="66" t="s">
        <v>4119</v>
      </c>
      <c r="B2020" s="66" t="s">
        <v>4120</v>
      </c>
      <c r="C2020" s="66" t="s">
        <v>359</v>
      </c>
      <c r="D2020" s="66" t="str">
        <f t="shared" si="62"/>
        <v>2034</v>
      </c>
      <c r="E2020" s="66">
        <f t="shared" si="63"/>
        <v>1</v>
      </c>
    </row>
    <row r="2021" spans="1:5" x14ac:dyDescent="0.15">
      <c r="A2021" s="66" t="s">
        <v>4121</v>
      </c>
      <c r="B2021" s="66" t="s">
        <v>4122</v>
      </c>
      <c r="C2021" s="66" t="s">
        <v>359</v>
      </c>
      <c r="D2021" s="66" t="str">
        <f t="shared" si="62"/>
        <v>2035</v>
      </c>
      <c r="E2021" s="66">
        <f t="shared" si="63"/>
        <v>1</v>
      </c>
    </row>
    <row r="2022" spans="1:5" x14ac:dyDescent="0.15">
      <c r="A2022" s="66" t="s">
        <v>4123</v>
      </c>
      <c r="B2022" s="66" t="s">
        <v>413</v>
      </c>
      <c r="C2022" s="66" t="s">
        <v>101</v>
      </c>
      <c r="D2022" s="66" t="str">
        <f t="shared" si="62"/>
        <v>2036</v>
      </c>
      <c r="E2022" s="66">
        <f t="shared" si="63"/>
        <v>2</v>
      </c>
    </row>
    <row r="2023" spans="1:5" x14ac:dyDescent="0.15">
      <c r="A2023" s="66" t="s">
        <v>4124</v>
      </c>
      <c r="B2023" s="66" t="s">
        <v>4125</v>
      </c>
      <c r="C2023" s="66" t="s">
        <v>101</v>
      </c>
      <c r="D2023" s="66" t="str">
        <f t="shared" si="62"/>
        <v>2037</v>
      </c>
      <c r="E2023" s="66">
        <f t="shared" si="63"/>
        <v>1</v>
      </c>
    </row>
    <row r="2024" spans="1:5" x14ac:dyDescent="0.15">
      <c r="A2024" s="66" t="s">
        <v>4126</v>
      </c>
      <c r="B2024" s="66" t="s">
        <v>4127</v>
      </c>
      <c r="C2024" s="66" t="s">
        <v>101</v>
      </c>
      <c r="D2024" s="66" t="str">
        <f t="shared" si="62"/>
        <v>2038</v>
      </c>
      <c r="E2024" s="66">
        <f t="shared" si="63"/>
        <v>1</v>
      </c>
    </row>
    <row r="2025" spans="1:5" x14ac:dyDescent="0.15">
      <c r="A2025" s="66" t="s">
        <v>4128</v>
      </c>
      <c r="B2025" s="66" t="s">
        <v>4129</v>
      </c>
      <c r="C2025" s="66" t="s">
        <v>101</v>
      </c>
      <c r="D2025" s="66" t="str">
        <f t="shared" si="62"/>
        <v>2039</v>
      </c>
      <c r="E2025" s="66">
        <f t="shared" si="63"/>
        <v>1</v>
      </c>
    </row>
    <row r="2026" spans="1:5" x14ac:dyDescent="0.15">
      <c r="A2026" s="66" t="s">
        <v>4130</v>
      </c>
      <c r="B2026" s="66" t="s">
        <v>4131</v>
      </c>
      <c r="C2026" s="66" t="s">
        <v>101</v>
      </c>
      <c r="D2026" s="66" t="str">
        <f t="shared" si="62"/>
        <v>2040</v>
      </c>
      <c r="E2026" s="66">
        <f t="shared" si="63"/>
        <v>1</v>
      </c>
    </row>
    <row r="2027" spans="1:5" x14ac:dyDescent="0.15">
      <c r="A2027" s="66" t="s">
        <v>4132</v>
      </c>
      <c r="B2027" s="66" t="s">
        <v>4133</v>
      </c>
      <c r="C2027" s="66" t="s">
        <v>101</v>
      </c>
      <c r="D2027" s="66" t="str">
        <f t="shared" si="62"/>
        <v>2041</v>
      </c>
      <c r="E2027" s="66">
        <f t="shared" si="63"/>
        <v>1</v>
      </c>
    </row>
    <row r="2028" spans="1:5" x14ac:dyDescent="0.15">
      <c r="A2028" s="66" t="s">
        <v>4134</v>
      </c>
      <c r="B2028" s="66" t="s">
        <v>4135</v>
      </c>
      <c r="C2028" s="66" t="s">
        <v>874</v>
      </c>
      <c r="D2028" s="66" t="str">
        <f t="shared" si="62"/>
        <v>2042</v>
      </c>
      <c r="E2028" s="66">
        <f t="shared" si="63"/>
        <v>1</v>
      </c>
    </row>
    <row r="2029" spans="1:5" x14ac:dyDescent="0.15">
      <c r="A2029" s="66" t="s">
        <v>4136</v>
      </c>
      <c r="B2029" s="66" t="s">
        <v>4137</v>
      </c>
      <c r="C2029" s="66" t="s">
        <v>101</v>
      </c>
      <c r="D2029" s="66" t="str">
        <f t="shared" si="62"/>
        <v>2043</v>
      </c>
      <c r="E2029" s="66">
        <f t="shared" si="63"/>
        <v>1</v>
      </c>
    </row>
    <row r="2030" spans="1:5" x14ac:dyDescent="0.15">
      <c r="A2030" s="66" t="s">
        <v>4138</v>
      </c>
      <c r="B2030" s="66" t="s">
        <v>4139</v>
      </c>
      <c r="C2030" s="66" t="s">
        <v>133</v>
      </c>
      <c r="D2030" s="66" t="str">
        <f t="shared" si="62"/>
        <v>2044</v>
      </c>
      <c r="E2030" s="66">
        <f t="shared" si="63"/>
        <v>1</v>
      </c>
    </row>
    <row r="2031" spans="1:5" x14ac:dyDescent="0.15">
      <c r="A2031" s="66" t="s">
        <v>4140</v>
      </c>
      <c r="B2031" s="66" t="s">
        <v>4141</v>
      </c>
      <c r="C2031" s="66" t="s">
        <v>133</v>
      </c>
      <c r="D2031" s="66" t="str">
        <f t="shared" si="62"/>
        <v>2045</v>
      </c>
      <c r="E2031" s="66">
        <f t="shared" si="63"/>
        <v>1</v>
      </c>
    </row>
    <row r="2032" spans="1:5" x14ac:dyDescent="0.15">
      <c r="A2032" s="66" t="s">
        <v>4142</v>
      </c>
      <c r="B2032" s="66" t="s">
        <v>4143</v>
      </c>
      <c r="C2032" s="66" t="s">
        <v>133</v>
      </c>
      <c r="D2032" s="66" t="str">
        <f t="shared" si="62"/>
        <v>2046</v>
      </c>
      <c r="E2032" s="66">
        <f t="shared" si="63"/>
        <v>1</v>
      </c>
    </row>
    <row r="2033" spans="1:5" x14ac:dyDescent="0.15">
      <c r="A2033" s="66" t="s">
        <v>4144</v>
      </c>
      <c r="B2033" s="66" t="s">
        <v>4145</v>
      </c>
      <c r="C2033" s="66" t="s">
        <v>436</v>
      </c>
      <c r="D2033" s="66" t="str">
        <f t="shared" si="62"/>
        <v>2047</v>
      </c>
      <c r="E2033" s="66">
        <f t="shared" si="63"/>
        <v>1</v>
      </c>
    </row>
    <row r="2034" spans="1:5" x14ac:dyDescent="0.15">
      <c r="A2034" s="66" t="s">
        <v>4146</v>
      </c>
      <c r="B2034" s="66" t="s">
        <v>4147</v>
      </c>
      <c r="C2034" s="66" t="s">
        <v>436</v>
      </c>
      <c r="D2034" s="66" t="str">
        <f t="shared" si="62"/>
        <v>2048</v>
      </c>
      <c r="E2034" s="66">
        <f t="shared" si="63"/>
        <v>1</v>
      </c>
    </row>
    <row r="2035" spans="1:5" x14ac:dyDescent="0.15">
      <c r="A2035" s="66" t="s">
        <v>4148</v>
      </c>
      <c r="B2035" s="66" t="s">
        <v>4149</v>
      </c>
      <c r="C2035" s="66" t="s">
        <v>436</v>
      </c>
      <c r="D2035" s="66" t="str">
        <f t="shared" si="62"/>
        <v>2049</v>
      </c>
      <c r="E2035" s="66">
        <f t="shared" si="63"/>
        <v>1</v>
      </c>
    </row>
    <row r="2036" spans="1:5" x14ac:dyDescent="0.15">
      <c r="A2036" s="66" t="s">
        <v>4150</v>
      </c>
      <c r="B2036" s="66" t="s">
        <v>4151</v>
      </c>
      <c r="C2036" s="66" t="s">
        <v>359</v>
      </c>
      <c r="D2036" s="66" t="str">
        <f t="shared" si="62"/>
        <v>2050</v>
      </c>
      <c r="E2036" s="66">
        <f t="shared" si="63"/>
        <v>1</v>
      </c>
    </row>
    <row r="2037" spans="1:5" x14ac:dyDescent="0.15">
      <c r="A2037" s="66" t="s">
        <v>4152</v>
      </c>
      <c r="B2037" s="66" t="s">
        <v>4153</v>
      </c>
      <c r="C2037" s="66" t="s">
        <v>436</v>
      </c>
      <c r="D2037" s="66" t="str">
        <f t="shared" si="62"/>
        <v>2051</v>
      </c>
      <c r="E2037" s="66">
        <f t="shared" si="63"/>
        <v>1</v>
      </c>
    </row>
    <row r="2038" spans="1:5" x14ac:dyDescent="0.15">
      <c r="A2038" s="66" t="s">
        <v>4154</v>
      </c>
      <c r="B2038" s="66" t="s">
        <v>4155</v>
      </c>
      <c r="C2038" s="66" t="s">
        <v>874</v>
      </c>
      <c r="D2038" s="66" t="str">
        <f t="shared" si="62"/>
        <v>2052</v>
      </c>
      <c r="E2038" s="66">
        <f t="shared" si="63"/>
        <v>1</v>
      </c>
    </row>
    <row r="2039" spans="1:5" x14ac:dyDescent="0.15">
      <c r="A2039" s="66" t="s">
        <v>4156</v>
      </c>
      <c r="B2039" s="66" t="s">
        <v>4157</v>
      </c>
      <c r="C2039" s="66" t="s">
        <v>101</v>
      </c>
      <c r="D2039" s="66" t="str">
        <f t="shared" si="62"/>
        <v>2053</v>
      </c>
      <c r="E2039" s="66">
        <f t="shared" si="63"/>
        <v>1</v>
      </c>
    </row>
    <row r="2040" spans="1:5" x14ac:dyDescent="0.15">
      <c r="A2040" s="66" t="s">
        <v>4158</v>
      </c>
      <c r="B2040" s="66" t="s">
        <v>2383</v>
      </c>
      <c r="C2040" s="66" t="s">
        <v>101</v>
      </c>
      <c r="D2040" s="66" t="str">
        <f t="shared" si="62"/>
        <v>2054</v>
      </c>
      <c r="E2040" s="66">
        <f t="shared" si="63"/>
        <v>2</v>
      </c>
    </row>
    <row r="2041" spans="1:5" x14ac:dyDescent="0.15">
      <c r="A2041" s="66" t="s">
        <v>4159</v>
      </c>
      <c r="B2041" s="66" t="s">
        <v>4160</v>
      </c>
      <c r="C2041" s="66" t="s">
        <v>101</v>
      </c>
      <c r="D2041" s="66" t="str">
        <f t="shared" si="62"/>
        <v>2055</v>
      </c>
      <c r="E2041" s="66">
        <f t="shared" si="63"/>
        <v>1</v>
      </c>
    </row>
    <row r="2042" spans="1:5" x14ac:dyDescent="0.15">
      <c r="A2042" s="66" t="s">
        <v>4161</v>
      </c>
      <c r="B2042" s="66" t="s">
        <v>4162</v>
      </c>
      <c r="C2042" s="66" t="s">
        <v>71</v>
      </c>
      <c r="D2042" s="66" t="str">
        <f t="shared" si="62"/>
        <v>2056</v>
      </c>
      <c r="E2042" s="66">
        <f t="shared" si="63"/>
        <v>1</v>
      </c>
    </row>
    <row r="2043" spans="1:5" x14ac:dyDescent="0.15">
      <c r="A2043" s="66" t="s">
        <v>4163</v>
      </c>
      <c r="B2043" s="66" t="s">
        <v>4164</v>
      </c>
      <c r="C2043" s="66" t="s">
        <v>101</v>
      </c>
      <c r="D2043" s="66" t="str">
        <f t="shared" si="62"/>
        <v>2057</v>
      </c>
      <c r="E2043" s="66">
        <f t="shared" si="63"/>
        <v>1</v>
      </c>
    </row>
    <row r="2044" spans="1:5" x14ac:dyDescent="0.15">
      <c r="A2044" s="66" t="s">
        <v>4165</v>
      </c>
      <c r="B2044" s="66" t="s">
        <v>4166</v>
      </c>
      <c r="C2044" s="66" t="s">
        <v>277</v>
      </c>
      <c r="D2044" s="66" t="str">
        <f t="shared" si="62"/>
        <v>2058</v>
      </c>
      <c r="E2044" s="66">
        <f t="shared" si="63"/>
        <v>1</v>
      </c>
    </row>
    <row r="2045" spans="1:5" x14ac:dyDescent="0.15">
      <c r="A2045" s="66" t="s">
        <v>4167</v>
      </c>
      <c r="B2045" s="66" t="s">
        <v>4168</v>
      </c>
      <c r="C2045" s="66" t="s">
        <v>71</v>
      </c>
      <c r="D2045" s="66" t="str">
        <f t="shared" si="62"/>
        <v>2059</v>
      </c>
      <c r="E2045" s="66">
        <f t="shared" si="63"/>
        <v>1</v>
      </c>
    </row>
    <row r="2046" spans="1:5" x14ac:dyDescent="0.15">
      <c r="A2046" s="66" t="s">
        <v>4169</v>
      </c>
      <c r="B2046" s="66" t="s">
        <v>4170</v>
      </c>
      <c r="C2046" s="66" t="s">
        <v>277</v>
      </c>
      <c r="D2046" s="66" t="str">
        <f t="shared" si="62"/>
        <v>2060</v>
      </c>
      <c r="E2046" s="66">
        <f t="shared" si="63"/>
        <v>1</v>
      </c>
    </row>
    <row r="2047" spans="1:5" x14ac:dyDescent="0.15">
      <c r="A2047" s="66" t="s">
        <v>4171</v>
      </c>
      <c r="B2047" s="66" t="s">
        <v>4172</v>
      </c>
      <c r="C2047" s="66" t="s">
        <v>101</v>
      </c>
      <c r="D2047" s="66" t="str">
        <f t="shared" si="62"/>
        <v>2061</v>
      </c>
      <c r="E2047" s="66">
        <f t="shared" si="63"/>
        <v>1</v>
      </c>
    </row>
    <row r="2048" spans="1:5" x14ac:dyDescent="0.15">
      <c r="A2048" s="66" t="s">
        <v>4173</v>
      </c>
      <c r="B2048" s="66" t="s">
        <v>4174</v>
      </c>
      <c r="C2048" s="66" t="s">
        <v>874</v>
      </c>
      <c r="D2048" s="66" t="str">
        <f t="shared" si="62"/>
        <v>2062</v>
      </c>
      <c r="E2048" s="66">
        <f t="shared" si="63"/>
        <v>1</v>
      </c>
    </row>
    <row r="2049" spans="1:5" x14ac:dyDescent="0.15">
      <c r="A2049" s="66" t="s">
        <v>4175</v>
      </c>
      <c r="B2049" s="66" t="s">
        <v>4176</v>
      </c>
      <c r="C2049" s="66" t="s">
        <v>101</v>
      </c>
      <c r="D2049" s="66" t="str">
        <f t="shared" si="62"/>
        <v>2063</v>
      </c>
      <c r="E2049" s="66">
        <f t="shared" si="63"/>
        <v>1</v>
      </c>
    </row>
    <row r="2050" spans="1:5" x14ac:dyDescent="0.15">
      <c r="A2050" s="66" t="s">
        <v>4177</v>
      </c>
      <c r="B2050" s="66" t="s">
        <v>4178</v>
      </c>
      <c r="C2050" s="66" t="s">
        <v>101</v>
      </c>
      <c r="D2050" s="66" t="str">
        <f t="shared" ref="D2050:D2113" si="64">A2050</f>
        <v>2064</v>
      </c>
      <c r="E2050" s="66">
        <f t="shared" ref="E2050:E2113" si="65">COUNTIFS(B:B,B2050)</f>
        <v>1</v>
      </c>
    </row>
    <row r="2051" spans="1:5" x14ac:dyDescent="0.15">
      <c r="A2051" s="66" t="s">
        <v>4179</v>
      </c>
      <c r="B2051" s="66" t="s">
        <v>4180</v>
      </c>
      <c r="C2051" s="66" t="s">
        <v>436</v>
      </c>
      <c r="D2051" s="66" t="str">
        <f t="shared" si="64"/>
        <v>2065</v>
      </c>
      <c r="E2051" s="66">
        <f t="shared" si="65"/>
        <v>1</v>
      </c>
    </row>
    <row r="2052" spans="1:5" x14ac:dyDescent="0.15">
      <c r="A2052" s="66" t="s">
        <v>4181</v>
      </c>
      <c r="B2052" s="66" t="s">
        <v>4182</v>
      </c>
      <c r="C2052" s="66" t="s">
        <v>133</v>
      </c>
      <c r="D2052" s="66" t="str">
        <f t="shared" si="64"/>
        <v>2066</v>
      </c>
      <c r="E2052" s="66">
        <f t="shared" si="65"/>
        <v>1</v>
      </c>
    </row>
    <row r="2053" spans="1:5" x14ac:dyDescent="0.15">
      <c r="A2053" s="66" t="s">
        <v>4183</v>
      </c>
      <c r="B2053" s="66" t="s">
        <v>4184</v>
      </c>
      <c r="C2053" s="66" t="s">
        <v>67</v>
      </c>
      <c r="D2053" s="66" t="str">
        <f t="shared" si="64"/>
        <v>2067</v>
      </c>
      <c r="E2053" s="66">
        <f t="shared" si="65"/>
        <v>1</v>
      </c>
    </row>
    <row r="2054" spans="1:5" x14ac:dyDescent="0.15">
      <c r="A2054" s="66" t="s">
        <v>4185</v>
      </c>
      <c r="B2054" s="66" t="s">
        <v>4186</v>
      </c>
      <c r="C2054" s="66" t="s">
        <v>131</v>
      </c>
      <c r="D2054" s="66" t="str">
        <f t="shared" si="64"/>
        <v>2068</v>
      </c>
      <c r="E2054" s="66">
        <f t="shared" si="65"/>
        <v>1</v>
      </c>
    </row>
    <row r="2055" spans="1:5" x14ac:dyDescent="0.15">
      <c r="A2055" s="66" t="s">
        <v>4187</v>
      </c>
      <c r="B2055" s="66" t="s">
        <v>4188</v>
      </c>
      <c r="C2055" s="66" t="s">
        <v>359</v>
      </c>
      <c r="D2055" s="66" t="str">
        <f t="shared" si="64"/>
        <v>2069</v>
      </c>
      <c r="E2055" s="66">
        <f t="shared" si="65"/>
        <v>1</v>
      </c>
    </row>
    <row r="2056" spans="1:5" x14ac:dyDescent="0.15">
      <c r="A2056" s="66" t="s">
        <v>4189</v>
      </c>
      <c r="B2056" s="66" t="s">
        <v>4190</v>
      </c>
      <c r="C2056" s="66" t="s">
        <v>359</v>
      </c>
      <c r="D2056" s="66" t="str">
        <f t="shared" si="64"/>
        <v>2070</v>
      </c>
      <c r="E2056" s="66">
        <f t="shared" si="65"/>
        <v>1</v>
      </c>
    </row>
    <row r="2057" spans="1:5" x14ac:dyDescent="0.15">
      <c r="A2057" s="66" t="s">
        <v>4191</v>
      </c>
      <c r="B2057" s="66" t="s">
        <v>4192</v>
      </c>
      <c r="C2057" s="66" t="s">
        <v>359</v>
      </c>
      <c r="D2057" s="66" t="str">
        <f t="shared" si="64"/>
        <v>2071</v>
      </c>
      <c r="E2057" s="66">
        <f t="shared" si="65"/>
        <v>1</v>
      </c>
    </row>
    <row r="2058" spans="1:5" x14ac:dyDescent="0.15">
      <c r="A2058" s="66" t="s">
        <v>4193</v>
      </c>
      <c r="B2058" s="66" t="s">
        <v>4194</v>
      </c>
      <c r="C2058" s="66" t="s">
        <v>131</v>
      </c>
      <c r="D2058" s="66" t="str">
        <f t="shared" si="64"/>
        <v>2072</v>
      </c>
      <c r="E2058" s="66">
        <f t="shared" si="65"/>
        <v>1</v>
      </c>
    </row>
    <row r="2059" spans="1:5" x14ac:dyDescent="0.15">
      <c r="A2059" s="66" t="s">
        <v>4195</v>
      </c>
      <c r="B2059" s="66" t="s">
        <v>4196</v>
      </c>
      <c r="C2059" s="66" t="s">
        <v>133</v>
      </c>
      <c r="D2059" s="66" t="str">
        <f t="shared" si="64"/>
        <v>2073</v>
      </c>
      <c r="E2059" s="66">
        <f t="shared" si="65"/>
        <v>1</v>
      </c>
    </row>
    <row r="2060" spans="1:5" x14ac:dyDescent="0.15">
      <c r="A2060" s="66" t="s">
        <v>4197</v>
      </c>
      <c r="B2060" s="66" t="s">
        <v>4198</v>
      </c>
      <c r="C2060" s="66" t="s">
        <v>359</v>
      </c>
      <c r="D2060" s="66" t="str">
        <f t="shared" si="64"/>
        <v>2074</v>
      </c>
      <c r="E2060" s="66">
        <f t="shared" si="65"/>
        <v>1</v>
      </c>
    </row>
    <row r="2061" spans="1:5" x14ac:dyDescent="0.15">
      <c r="A2061" s="66" t="s">
        <v>4199</v>
      </c>
      <c r="B2061" s="66" t="s">
        <v>2223</v>
      </c>
      <c r="C2061" s="66" t="s">
        <v>359</v>
      </c>
      <c r="D2061" s="66" t="str">
        <f t="shared" si="64"/>
        <v>2075</v>
      </c>
      <c r="E2061" s="66">
        <f t="shared" si="65"/>
        <v>2</v>
      </c>
    </row>
    <row r="2062" spans="1:5" x14ac:dyDescent="0.15">
      <c r="A2062" s="66" t="s">
        <v>4200</v>
      </c>
      <c r="B2062" s="66" t="s">
        <v>4201</v>
      </c>
      <c r="C2062" s="66" t="s">
        <v>359</v>
      </c>
      <c r="D2062" s="66" t="str">
        <f t="shared" si="64"/>
        <v>2076</v>
      </c>
      <c r="E2062" s="66">
        <f t="shared" si="65"/>
        <v>1</v>
      </c>
    </row>
    <row r="2063" spans="1:5" x14ac:dyDescent="0.15">
      <c r="A2063" s="66" t="s">
        <v>4202</v>
      </c>
      <c r="B2063" s="66" t="s">
        <v>4203</v>
      </c>
      <c r="C2063" s="66" t="s">
        <v>71</v>
      </c>
      <c r="D2063" s="66" t="str">
        <f t="shared" si="64"/>
        <v>2077</v>
      </c>
      <c r="E2063" s="66">
        <f t="shared" si="65"/>
        <v>1</v>
      </c>
    </row>
    <row r="2064" spans="1:5" x14ac:dyDescent="0.15">
      <c r="A2064" s="66" t="s">
        <v>4204</v>
      </c>
      <c r="B2064" s="66" t="s">
        <v>4205</v>
      </c>
      <c r="C2064" s="66" t="s">
        <v>359</v>
      </c>
      <c r="D2064" s="66" t="str">
        <f t="shared" si="64"/>
        <v>2078</v>
      </c>
      <c r="E2064" s="66">
        <f t="shared" si="65"/>
        <v>1</v>
      </c>
    </row>
    <row r="2065" spans="1:5" x14ac:dyDescent="0.15">
      <c r="A2065" s="66" t="s">
        <v>4206</v>
      </c>
      <c r="B2065" s="66" t="s">
        <v>4207</v>
      </c>
      <c r="C2065" s="66" t="s">
        <v>359</v>
      </c>
      <c r="D2065" s="66" t="str">
        <f t="shared" si="64"/>
        <v>2079</v>
      </c>
      <c r="E2065" s="66">
        <f t="shared" si="65"/>
        <v>1</v>
      </c>
    </row>
    <row r="2066" spans="1:5" x14ac:dyDescent="0.15">
      <c r="A2066" s="66" t="s">
        <v>4208</v>
      </c>
      <c r="B2066" s="66" t="s">
        <v>4209</v>
      </c>
      <c r="C2066" s="66" t="s">
        <v>359</v>
      </c>
      <c r="D2066" s="66" t="str">
        <f t="shared" si="64"/>
        <v>2080</v>
      </c>
      <c r="E2066" s="66">
        <f t="shared" si="65"/>
        <v>1</v>
      </c>
    </row>
    <row r="2067" spans="1:5" x14ac:dyDescent="0.15">
      <c r="A2067" s="66" t="s">
        <v>4210</v>
      </c>
      <c r="B2067" s="66" t="s">
        <v>4211</v>
      </c>
      <c r="C2067" s="66" t="s">
        <v>359</v>
      </c>
      <c r="D2067" s="66" t="str">
        <f t="shared" si="64"/>
        <v>2081</v>
      </c>
      <c r="E2067" s="66">
        <f t="shared" si="65"/>
        <v>1</v>
      </c>
    </row>
    <row r="2068" spans="1:5" x14ac:dyDescent="0.15">
      <c r="A2068" s="66" t="s">
        <v>4212</v>
      </c>
      <c r="B2068" s="66" t="s">
        <v>4213</v>
      </c>
      <c r="C2068" s="66" t="s">
        <v>359</v>
      </c>
      <c r="D2068" s="66" t="str">
        <f t="shared" si="64"/>
        <v>2082</v>
      </c>
      <c r="E2068" s="66">
        <f t="shared" si="65"/>
        <v>1</v>
      </c>
    </row>
    <row r="2069" spans="1:5" x14ac:dyDescent="0.15">
      <c r="A2069" s="66" t="s">
        <v>4214</v>
      </c>
      <c r="B2069" s="66" t="s">
        <v>4215</v>
      </c>
      <c r="C2069" s="66" t="s">
        <v>359</v>
      </c>
      <c r="D2069" s="66" t="str">
        <f t="shared" si="64"/>
        <v>2083</v>
      </c>
      <c r="E2069" s="66">
        <f t="shared" si="65"/>
        <v>1</v>
      </c>
    </row>
    <row r="2070" spans="1:5" x14ac:dyDescent="0.15">
      <c r="A2070" s="66" t="s">
        <v>4216</v>
      </c>
      <c r="B2070" s="66" t="s">
        <v>4217</v>
      </c>
      <c r="C2070" s="66" t="s">
        <v>359</v>
      </c>
      <c r="D2070" s="66" t="str">
        <f t="shared" si="64"/>
        <v>2084</v>
      </c>
      <c r="E2070" s="66">
        <f t="shared" si="65"/>
        <v>1</v>
      </c>
    </row>
    <row r="2071" spans="1:5" x14ac:dyDescent="0.15">
      <c r="A2071" s="66" t="s">
        <v>4218</v>
      </c>
      <c r="B2071" s="66" t="s">
        <v>1076</v>
      </c>
      <c r="C2071" s="66" t="s">
        <v>359</v>
      </c>
      <c r="D2071" s="66" t="str">
        <f t="shared" si="64"/>
        <v>2085</v>
      </c>
      <c r="E2071" s="66">
        <f t="shared" si="65"/>
        <v>2</v>
      </c>
    </row>
    <row r="2072" spans="1:5" x14ac:dyDescent="0.15">
      <c r="A2072" s="66" t="s">
        <v>4219</v>
      </c>
      <c r="B2072" s="66" t="s">
        <v>4220</v>
      </c>
      <c r="C2072" s="66" t="s">
        <v>874</v>
      </c>
      <c r="D2072" s="66" t="str">
        <f t="shared" si="64"/>
        <v>2086</v>
      </c>
      <c r="E2072" s="66">
        <f t="shared" si="65"/>
        <v>1</v>
      </c>
    </row>
    <row r="2073" spans="1:5" x14ac:dyDescent="0.15">
      <c r="A2073" s="66" t="s">
        <v>4221</v>
      </c>
      <c r="B2073" s="66" t="s">
        <v>4222</v>
      </c>
      <c r="C2073" s="66" t="s">
        <v>874</v>
      </c>
      <c r="D2073" s="66" t="str">
        <f t="shared" si="64"/>
        <v>2087</v>
      </c>
      <c r="E2073" s="66">
        <f t="shared" si="65"/>
        <v>1</v>
      </c>
    </row>
    <row r="2074" spans="1:5" x14ac:dyDescent="0.15">
      <c r="A2074" s="66" t="s">
        <v>4223</v>
      </c>
      <c r="B2074" s="66" t="s">
        <v>4224</v>
      </c>
      <c r="C2074" s="66" t="s">
        <v>874</v>
      </c>
      <c r="D2074" s="66" t="str">
        <f t="shared" si="64"/>
        <v>2088</v>
      </c>
      <c r="E2074" s="66">
        <f t="shared" si="65"/>
        <v>1</v>
      </c>
    </row>
    <row r="2075" spans="1:5" x14ac:dyDescent="0.15">
      <c r="A2075" s="66" t="s">
        <v>4225</v>
      </c>
      <c r="B2075" s="66" t="s">
        <v>4226</v>
      </c>
      <c r="C2075" s="66" t="s">
        <v>874</v>
      </c>
      <c r="D2075" s="66" t="str">
        <f t="shared" si="64"/>
        <v>2089</v>
      </c>
      <c r="E2075" s="66">
        <f t="shared" si="65"/>
        <v>1</v>
      </c>
    </row>
    <row r="2076" spans="1:5" x14ac:dyDescent="0.15">
      <c r="A2076" s="66" t="s">
        <v>4227</v>
      </c>
      <c r="B2076" s="66" t="s">
        <v>4228</v>
      </c>
      <c r="C2076" s="66" t="s">
        <v>101</v>
      </c>
      <c r="D2076" s="66" t="str">
        <f t="shared" si="64"/>
        <v>2090</v>
      </c>
      <c r="E2076" s="66">
        <f t="shared" si="65"/>
        <v>1</v>
      </c>
    </row>
    <row r="2077" spans="1:5" x14ac:dyDescent="0.15">
      <c r="A2077" s="66" t="s">
        <v>4229</v>
      </c>
      <c r="B2077" s="66" t="s">
        <v>4230</v>
      </c>
      <c r="C2077" s="66" t="s">
        <v>874</v>
      </c>
      <c r="D2077" s="66" t="str">
        <f t="shared" si="64"/>
        <v>2091</v>
      </c>
      <c r="E2077" s="66">
        <f t="shared" si="65"/>
        <v>1</v>
      </c>
    </row>
    <row r="2078" spans="1:5" x14ac:dyDescent="0.15">
      <c r="A2078" s="66" t="s">
        <v>4231</v>
      </c>
      <c r="B2078" s="66" t="s">
        <v>4232</v>
      </c>
      <c r="C2078" s="66" t="s">
        <v>71</v>
      </c>
      <c r="D2078" s="66" t="str">
        <f t="shared" si="64"/>
        <v>2092</v>
      </c>
      <c r="E2078" s="66">
        <f t="shared" si="65"/>
        <v>1</v>
      </c>
    </row>
    <row r="2079" spans="1:5" x14ac:dyDescent="0.15">
      <c r="A2079" s="66" t="s">
        <v>4233</v>
      </c>
      <c r="B2079" s="66" t="s">
        <v>4234</v>
      </c>
      <c r="C2079" s="66" t="s">
        <v>67</v>
      </c>
      <c r="D2079" s="66" t="str">
        <f t="shared" si="64"/>
        <v>2093</v>
      </c>
      <c r="E2079" s="66">
        <f t="shared" si="65"/>
        <v>1</v>
      </c>
    </row>
    <row r="2080" spans="1:5" x14ac:dyDescent="0.15">
      <c r="A2080" s="66" t="s">
        <v>4235</v>
      </c>
      <c r="B2080" s="66" t="s">
        <v>4236</v>
      </c>
      <c r="C2080" s="66" t="s">
        <v>359</v>
      </c>
      <c r="D2080" s="66" t="str">
        <f t="shared" si="64"/>
        <v>2094</v>
      </c>
      <c r="E2080" s="66">
        <f t="shared" si="65"/>
        <v>1</v>
      </c>
    </row>
    <row r="2081" spans="1:5" x14ac:dyDescent="0.15">
      <c r="A2081" s="66" t="s">
        <v>4237</v>
      </c>
      <c r="B2081" s="66" t="s">
        <v>4238</v>
      </c>
      <c r="C2081" s="66" t="s">
        <v>86</v>
      </c>
      <c r="D2081" s="66" t="str">
        <f t="shared" si="64"/>
        <v>2095</v>
      </c>
      <c r="E2081" s="66">
        <f t="shared" si="65"/>
        <v>1</v>
      </c>
    </row>
    <row r="2082" spans="1:5" x14ac:dyDescent="0.15">
      <c r="A2082" s="66" t="s">
        <v>4239</v>
      </c>
      <c r="B2082" s="66" t="s">
        <v>4240</v>
      </c>
      <c r="C2082" s="66" t="s">
        <v>67</v>
      </c>
      <c r="D2082" s="66" t="str">
        <f t="shared" si="64"/>
        <v>2096</v>
      </c>
      <c r="E2082" s="66">
        <f t="shared" si="65"/>
        <v>1</v>
      </c>
    </row>
    <row r="2083" spans="1:5" x14ac:dyDescent="0.15">
      <c r="A2083" s="66" t="s">
        <v>65</v>
      </c>
      <c r="B2083" s="66" t="s">
        <v>68</v>
      </c>
      <c r="C2083" s="66" t="s">
        <v>67</v>
      </c>
      <c r="D2083" s="66" t="str">
        <f t="shared" si="64"/>
        <v>2097</v>
      </c>
      <c r="E2083" s="66">
        <f t="shared" si="65"/>
        <v>1</v>
      </c>
    </row>
    <row r="2084" spans="1:5" x14ac:dyDescent="0.15">
      <c r="A2084" s="66" t="s">
        <v>4241</v>
      </c>
      <c r="B2084" s="66" t="s">
        <v>4242</v>
      </c>
      <c r="C2084" s="66" t="s">
        <v>71</v>
      </c>
      <c r="D2084" s="66" t="str">
        <f t="shared" si="64"/>
        <v>2098</v>
      </c>
      <c r="E2084" s="66">
        <f t="shared" si="65"/>
        <v>1</v>
      </c>
    </row>
    <row r="2085" spans="1:5" x14ac:dyDescent="0.15">
      <c r="A2085" s="66" t="s">
        <v>4243</v>
      </c>
      <c r="B2085" s="66" t="s">
        <v>4244</v>
      </c>
      <c r="C2085" s="66" t="s">
        <v>71</v>
      </c>
      <c r="D2085" s="66" t="str">
        <f t="shared" si="64"/>
        <v>2099</v>
      </c>
      <c r="E2085" s="66">
        <f t="shared" si="65"/>
        <v>1</v>
      </c>
    </row>
    <row r="2086" spans="1:5" x14ac:dyDescent="0.15">
      <c r="A2086" s="66" t="s">
        <v>4245</v>
      </c>
      <c r="B2086" s="66" t="s">
        <v>4246</v>
      </c>
      <c r="C2086" s="66" t="s">
        <v>101</v>
      </c>
      <c r="D2086" s="66" t="str">
        <f t="shared" si="64"/>
        <v>2100</v>
      </c>
      <c r="E2086" s="66">
        <f t="shared" si="65"/>
        <v>1</v>
      </c>
    </row>
    <row r="2087" spans="1:5" x14ac:dyDescent="0.15">
      <c r="A2087" s="66" t="s">
        <v>4247</v>
      </c>
      <c r="B2087" s="66" t="s">
        <v>4248</v>
      </c>
      <c r="C2087" s="66" t="s">
        <v>101</v>
      </c>
      <c r="D2087" s="66" t="str">
        <f t="shared" si="64"/>
        <v>2101</v>
      </c>
      <c r="E2087" s="66">
        <f t="shared" si="65"/>
        <v>1</v>
      </c>
    </row>
    <row r="2088" spans="1:5" x14ac:dyDescent="0.15">
      <c r="A2088" s="66" t="s">
        <v>4249</v>
      </c>
      <c r="B2088" s="66" t="s">
        <v>4250</v>
      </c>
      <c r="C2088" s="66" t="s">
        <v>874</v>
      </c>
      <c r="D2088" s="66" t="str">
        <f t="shared" si="64"/>
        <v>2102</v>
      </c>
      <c r="E2088" s="66">
        <f t="shared" si="65"/>
        <v>1</v>
      </c>
    </row>
    <row r="2089" spans="1:5" x14ac:dyDescent="0.15">
      <c r="A2089" s="66" t="s">
        <v>4251</v>
      </c>
      <c r="B2089" s="66" t="s">
        <v>4252</v>
      </c>
      <c r="C2089" s="66" t="s">
        <v>86</v>
      </c>
      <c r="D2089" s="66" t="str">
        <f t="shared" si="64"/>
        <v>2103</v>
      </c>
      <c r="E2089" s="66">
        <f t="shared" si="65"/>
        <v>1</v>
      </c>
    </row>
    <row r="2090" spans="1:5" x14ac:dyDescent="0.15">
      <c r="A2090" s="66" t="s">
        <v>4253</v>
      </c>
      <c r="B2090" s="66" t="s">
        <v>4254</v>
      </c>
      <c r="C2090" s="66" t="s">
        <v>133</v>
      </c>
      <c r="D2090" s="66" t="str">
        <f t="shared" si="64"/>
        <v>2104</v>
      </c>
      <c r="E2090" s="66">
        <f t="shared" si="65"/>
        <v>1</v>
      </c>
    </row>
    <row r="2091" spans="1:5" x14ac:dyDescent="0.15">
      <c r="A2091" s="66" t="s">
        <v>4255</v>
      </c>
      <c r="B2091" s="66" t="s">
        <v>4256</v>
      </c>
      <c r="C2091" s="66" t="s">
        <v>133</v>
      </c>
      <c r="D2091" s="66" t="str">
        <f t="shared" si="64"/>
        <v>2105</v>
      </c>
      <c r="E2091" s="66">
        <f t="shared" si="65"/>
        <v>1</v>
      </c>
    </row>
    <row r="2092" spans="1:5" x14ac:dyDescent="0.15">
      <c r="A2092" s="66" t="s">
        <v>4257</v>
      </c>
      <c r="B2092" s="66" t="s">
        <v>4258</v>
      </c>
      <c r="C2092" s="66" t="s">
        <v>359</v>
      </c>
      <c r="D2092" s="66" t="str">
        <f t="shared" si="64"/>
        <v>2106</v>
      </c>
      <c r="E2092" s="66">
        <f t="shared" si="65"/>
        <v>1</v>
      </c>
    </row>
    <row r="2093" spans="1:5" x14ac:dyDescent="0.15">
      <c r="A2093" s="66" t="s">
        <v>4259</v>
      </c>
      <c r="B2093" s="66" t="s">
        <v>4260</v>
      </c>
      <c r="C2093" s="66" t="s">
        <v>133</v>
      </c>
      <c r="D2093" s="66" t="str">
        <f t="shared" si="64"/>
        <v>2107</v>
      </c>
      <c r="E2093" s="66">
        <f t="shared" si="65"/>
        <v>1</v>
      </c>
    </row>
    <row r="2094" spans="1:5" x14ac:dyDescent="0.15">
      <c r="A2094" s="66" t="s">
        <v>4261</v>
      </c>
      <c r="B2094" s="66" t="s">
        <v>4262</v>
      </c>
      <c r="C2094" s="66" t="s">
        <v>133</v>
      </c>
      <c r="D2094" s="66" t="str">
        <f t="shared" si="64"/>
        <v>2108</v>
      </c>
      <c r="E2094" s="66">
        <f t="shared" si="65"/>
        <v>1</v>
      </c>
    </row>
    <row r="2095" spans="1:5" x14ac:dyDescent="0.15">
      <c r="A2095" s="66" t="s">
        <v>4263</v>
      </c>
      <c r="B2095" s="66" t="s">
        <v>4264</v>
      </c>
      <c r="C2095" s="66" t="s">
        <v>133</v>
      </c>
      <c r="D2095" s="66" t="str">
        <f t="shared" si="64"/>
        <v>2109</v>
      </c>
      <c r="E2095" s="66">
        <f t="shared" si="65"/>
        <v>1</v>
      </c>
    </row>
    <row r="2096" spans="1:5" x14ac:dyDescent="0.15">
      <c r="A2096" s="66" t="s">
        <v>4265</v>
      </c>
      <c r="B2096" s="66" t="s">
        <v>4266</v>
      </c>
      <c r="C2096" s="66" t="s">
        <v>101</v>
      </c>
      <c r="D2096" s="66" t="str">
        <f t="shared" si="64"/>
        <v>2110</v>
      </c>
      <c r="E2096" s="66">
        <f t="shared" si="65"/>
        <v>1</v>
      </c>
    </row>
    <row r="2097" spans="1:5" x14ac:dyDescent="0.15">
      <c r="A2097" s="66" t="s">
        <v>4267</v>
      </c>
      <c r="B2097" s="66" t="s">
        <v>4268</v>
      </c>
      <c r="C2097" s="66" t="s">
        <v>277</v>
      </c>
      <c r="D2097" s="66" t="str">
        <f t="shared" si="64"/>
        <v>2111</v>
      </c>
      <c r="E2097" s="66">
        <f t="shared" si="65"/>
        <v>1</v>
      </c>
    </row>
    <row r="2098" spans="1:5" x14ac:dyDescent="0.15">
      <c r="A2098" s="66" t="s">
        <v>4269</v>
      </c>
      <c r="B2098" s="66" t="s">
        <v>4270</v>
      </c>
      <c r="C2098" s="66" t="s">
        <v>71</v>
      </c>
      <c r="D2098" s="66" t="str">
        <f t="shared" si="64"/>
        <v>2112</v>
      </c>
      <c r="E2098" s="66">
        <f t="shared" si="65"/>
        <v>1</v>
      </c>
    </row>
    <row r="2099" spans="1:5" x14ac:dyDescent="0.15">
      <c r="A2099" s="66" t="s">
        <v>4271</v>
      </c>
      <c r="B2099" s="66" t="s">
        <v>4272</v>
      </c>
      <c r="C2099" s="66" t="s">
        <v>75</v>
      </c>
      <c r="D2099" s="66" t="str">
        <f t="shared" si="64"/>
        <v>2113</v>
      </c>
      <c r="E2099" s="66">
        <f t="shared" si="65"/>
        <v>1</v>
      </c>
    </row>
    <row r="2100" spans="1:5" x14ac:dyDescent="0.15">
      <c r="A2100" s="66" t="s">
        <v>4273</v>
      </c>
      <c r="B2100" s="66" t="s">
        <v>4274</v>
      </c>
      <c r="C2100" s="66" t="s">
        <v>131</v>
      </c>
      <c r="D2100" s="66" t="str">
        <f t="shared" si="64"/>
        <v>2114</v>
      </c>
      <c r="E2100" s="66">
        <f t="shared" si="65"/>
        <v>1</v>
      </c>
    </row>
    <row r="2101" spans="1:5" x14ac:dyDescent="0.15">
      <c r="A2101" s="66" t="s">
        <v>4275</v>
      </c>
      <c r="B2101" s="66" t="s">
        <v>4276</v>
      </c>
      <c r="C2101" s="66" t="s">
        <v>359</v>
      </c>
      <c r="D2101" s="66" t="str">
        <f t="shared" si="64"/>
        <v>2115</v>
      </c>
      <c r="E2101" s="66">
        <f t="shared" si="65"/>
        <v>1</v>
      </c>
    </row>
    <row r="2102" spans="1:5" x14ac:dyDescent="0.15">
      <c r="A2102" s="66" t="s">
        <v>4277</v>
      </c>
      <c r="B2102" s="66" t="s">
        <v>4278</v>
      </c>
      <c r="C2102" s="66" t="s">
        <v>133</v>
      </c>
      <c r="D2102" s="66" t="str">
        <f t="shared" si="64"/>
        <v>2116</v>
      </c>
      <c r="E2102" s="66">
        <f t="shared" si="65"/>
        <v>1</v>
      </c>
    </row>
    <row r="2103" spans="1:5" x14ac:dyDescent="0.15">
      <c r="A2103" s="66" t="s">
        <v>4279</v>
      </c>
      <c r="B2103" s="66" t="s">
        <v>4280</v>
      </c>
      <c r="C2103" s="66" t="s">
        <v>133</v>
      </c>
      <c r="D2103" s="66" t="str">
        <f t="shared" si="64"/>
        <v>2117</v>
      </c>
      <c r="E2103" s="66">
        <f t="shared" si="65"/>
        <v>1</v>
      </c>
    </row>
    <row r="2104" spans="1:5" x14ac:dyDescent="0.15">
      <c r="A2104" s="66" t="s">
        <v>4281</v>
      </c>
      <c r="B2104" s="66" t="s">
        <v>4282</v>
      </c>
      <c r="C2104" s="66" t="s">
        <v>101</v>
      </c>
      <c r="D2104" s="66" t="str">
        <f t="shared" si="64"/>
        <v>2118</v>
      </c>
      <c r="E2104" s="66">
        <f t="shared" si="65"/>
        <v>1</v>
      </c>
    </row>
    <row r="2105" spans="1:5" x14ac:dyDescent="0.15">
      <c r="A2105" s="66" t="s">
        <v>4283</v>
      </c>
      <c r="B2105" s="66" t="s">
        <v>4284</v>
      </c>
      <c r="C2105" s="66" t="s">
        <v>458</v>
      </c>
      <c r="D2105" s="66" t="str">
        <f t="shared" si="64"/>
        <v>2119</v>
      </c>
      <c r="E2105" s="66">
        <f t="shared" si="65"/>
        <v>1</v>
      </c>
    </row>
    <row r="2106" spans="1:5" x14ac:dyDescent="0.15">
      <c r="A2106" s="66" t="s">
        <v>4285</v>
      </c>
      <c r="B2106" s="66" t="s">
        <v>4286</v>
      </c>
      <c r="C2106" s="66" t="s">
        <v>133</v>
      </c>
      <c r="D2106" s="66" t="str">
        <f t="shared" si="64"/>
        <v>2120</v>
      </c>
      <c r="E2106" s="66">
        <f t="shared" si="65"/>
        <v>1</v>
      </c>
    </row>
    <row r="2107" spans="1:5" x14ac:dyDescent="0.15">
      <c r="A2107" s="66" t="s">
        <v>4287</v>
      </c>
      <c r="B2107" s="66" t="s">
        <v>4288</v>
      </c>
      <c r="C2107" s="66" t="s">
        <v>359</v>
      </c>
      <c r="D2107" s="66" t="str">
        <f t="shared" si="64"/>
        <v>2121</v>
      </c>
      <c r="E2107" s="66">
        <f t="shared" si="65"/>
        <v>1</v>
      </c>
    </row>
    <row r="2108" spans="1:5" x14ac:dyDescent="0.15">
      <c r="A2108" s="66" t="s">
        <v>4289</v>
      </c>
      <c r="B2108" s="66" t="s">
        <v>4290</v>
      </c>
      <c r="C2108" s="66" t="s">
        <v>359</v>
      </c>
      <c r="D2108" s="66" t="str">
        <f t="shared" si="64"/>
        <v>2122</v>
      </c>
      <c r="E2108" s="66">
        <f t="shared" si="65"/>
        <v>1</v>
      </c>
    </row>
    <row r="2109" spans="1:5" x14ac:dyDescent="0.15">
      <c r="A2109" s="66" t="s">
        <v>4291</v>
      </c>
      <c r="B2109" s="66" t="s">
        <v>4292</v>
      </c>
      <c r="C2109" s="66" t="s">
        <v>101</v>
      </c>
      <c r="D2109" s="66" t="str">
        <f t="shared" si="64"/>
        <v>2123</v>
      </c>
      <c r="E2109" s="66">
        <f t="shared" si="65"/>
        <v>1</v>
      </c>
    </row>
    <row r="2110" spans="1:5" x14ac:dyDescent="0.15">
      <c r="A2110" s="66" t="s">
        <v>4293</v>
      </c>
      <c r="B2110" s="66" t="s">
        <v>4294</v>
      </c>
      <c r="C2110" s="66" t="s">
        <v>140</v>
      </c>
      <c r="D2110" s="66" t="str">
        <f t="shared" si="64"/>
        <v>2124</v>
      </c>
      <c r="E2110" s="66">
        <f t="shared" si="65"/>
        <v>1</v>
      </c>
    </row>
    <row r="2111" spans="1:5" x14ac:dyDescent="0.15">
      <c r="A2111" s="66" t="s">
        <v>4295</v>
      </c>
      <c r="B2111" s="66" t="s">
        <v>4296</v>
      </c>
      <c r="C2111" s="66" t="s">
        <v>101</v>
      </c>
      <c r="D2111" s="66" t="str">
        <f t="shared" si="64"/>
        <v>2125</v>
      </c>
      <c r="E2111" s="66">
        <f t="shared" si="65"/>
        <v>1</v>
      </c>
    </row>
    <row r="2112" spans="1:5" x14ac:dyDescent="0.15">
      <c r="A2112" s="66" t="s">
        <v>4297</v>
      </c>
      <c r="B2112" s="66" t="s">
        <v>4298</v>
      </c>
      <c r="C2112" s="66" t="s">
        <v>359</v>
      </c>
      <c r="D2112" s="66" t="str">
        <f t="shared" si="64"/>
        <v>2126</v>
      </c>
      <c r="E2112" s="66">
        <f t="shared" si="65"/>
        <v>1</v>
      </c>
    </row>
    <row r="2113" spans="1:5" x14ac:dyDescent="0.15">
      <c r="A2113" s="66" t="s">
        <v>4299</v>
      </c>
      <c r="B2113" s="66" t="s">
        <v>4300</v>
      </c>
      <c r="C2113" s="66" t="s">
        <v>359</v>
      </c>
      <c r="D2113" s="66" t="str">
        <f t="shared" si="64"/>
        <v>2127</v>
      </c>
      <c r="E2113" s="66">
        <f t="shared" si="65"/>
        <v>1</v>
      </c>
    </row>
    <row r="2114" spans="1:5" x14ac:dyDescent="0.15">
      <c r="A2114" s="66" t="s">
        <v>4301</v>
      </c>
      <c r="B2114" s="66" t="s">
        <v>4302</v>
      </c>
      <c r="C2114" s="66" t="s">
        <v>71</v>
      </c>
      <c r="D2114" s="66" t="str">
        <f t="shared" ref="D2114:D2127" si="66">A2114</f>
        <v>2128</v>
      </c>
      <c r="E2114" s="66">
        <f t="shared" ref="E2114:E2127" si="67">COUNTIFS(B:B,B2114)</f>
        <v>1</v>
      </c>
    </row>
    <row r="2115" spans="1:5" x14ac:dyDescent="0.15">
      <c r="A2115" s="66" t="s">
        <v>4303</v>
      </c>
      <c r="B2115" s="66" t="s">
        <v>4304</v>
      </c>
      <c r="C2115" s="66" t="s">
        <v>359</v>
      </c>
      <c r="D2115" s="66" t="str">
        <f t="shared" si="66"/>
        <v>2129</v>
      </c>
      <c r="E2115" s="66">
        <f t="shared" si="67"/>
        <v>1</v>
      </c>
    </row>
    <row r="2116" spans="1:5" x14ac:dyDescent="0.15">
      <c r="A2116" s="66" t="s">
        <v>4305</v>
      </c>
      <c r="B2116" s="66" t="s">
        <v>4306</v>
      </c>
      <c r="C2116" s="66" t="s">
        <v>101</v>
      </c>
      <c r="D2116" s="66" t="str">
        <f t="shared" si="66"/>
        <v>2130</v>
      </c>
      <c r="E2116" s="66">
        <f t="shared" si="67"/>
        <v>1</v>
      </c>
    </row>
    <row r="2117" spans="1:5" x14ac:dyDescent="0.15">
      <c r="A2117" s="66" t="s">
        <v>4307</v>
      </c>
      <c r="B2117" s="66" t="s">
        <v>4308</v>
      </c>
      <c r="C2117" s="66" t="s">
        <v>436</v>
      </c>
      <c r="D2117" s="66" t="str">
        <f t="shared" si="66"/>
        <v>2131</v>
      </c>
      <c r="E2117" s="66">
        <f t="shared" si="67"/>
        <v>1</v>
      </c>
    </row>
    <row r="2118" spans="1:5" x14ac:dyDescent="0.15">
      <c r="A2118" s="66" t="s">
        <v>4309</v>
      </c>
      <c r="B2118" s="66" t="s">
        <v>1396</v>
      </c>
      <c r="C2118" s="66" t="s">
        <v>101</v>
      </c>
      <c r="D2118" s="66" t="str">
        <f t="shared" si="66"/>
        <v>2132</v>
      </c>
      <c r="E2118" s="66">
        <f t="shared" si="67"/>
        <v>2</v>
      </c>
    </row>
    <row r="2119" spans="1:5" x14ac:dyDescent="0.15">
      <c r="A2119" s="66" t="s">
        <v>4310</v>
      </c>
      <c r="B2119" s="66" t="s">
        <v>4311</v>
      </c>
      <c r="C2119" s="66" t="s">
        <v>359</v>
      </c>
      <c r="D2119" s="66" t="str">
        <f t="shared" si="66"/>
        <v>2133</v>
      </c>
      <c r="E2119" s="66">
        <f t="shared" si="67"/>
        <v>1</v>
      </c>
    </row>
    <row r="2120" spans="1:5" x14ac:dyDescent="0.15">
      <c r="A2120" s="66" t="s">
        <v>4312</v>
      </c>
      <c r="B2120" s="66" t="s">
        <v>4313</v>
      </c>
      <c r="C2120" s="66" t="s">
        <v>133</v>
      </c>
      <c r="D2120" s="66" t="str">
        <f t="shared" si="66"/>
        <v>2134</v>
      </c>
      <c r="E2120" s="66">
        <f t="shared" si="67"/>
        <v>1</v>
      </c>
    </row>
    <row r="2121" spans="1:5" x14ac:dyDescent="0.15">
      <c r="A2121" s="66" t="s">
        <v>4314</v>
      </c>
      <c r="B2121" s="66" t="s">
        <v>4315</v>
      </c>
      <c r="C2121" s="66" t="s">
        <v>71</v>
      </c>
      <c r="D2121" s="66" t="str">
        <f t="shared" si="66"/>
        <v>2135</v>
      </c>
      <c r="E2121" s="66">
        <f t="shared" si="67"/>
        <v>1</v>
      </c>
    </row>
    <row r="2122" spans="1:5" x14ac:dyDescent="0.15">
      <c r="A2122" s="66" t="s">
        <v>4316</v>
      </c>
      <c r="B2122" s="66" t="s">
        <v>4317</v>
      </c>
      <c r="C2122" s="66" t="s">
        <v>359</v>
      </c>
      <c r="D2122" s="66" t="str">
        <f t="shared" si="66"/>
        <v>2136</v>
      </c>
      <c r="E2122" s="66">
        <f t="shared" si="67"/>
        <v>1</v>
      </c>
    </row>
    <row r="2123" spans="1:5" x14ac:dyDescent="0.15">
      <c r="A2123" s="66" t="s">
        <v>4318</v>
      </c>
      <c r="B2123" s="66" t="s">
        <v>4319</v>
      </c>
      <c r="C2123" s="66" t="s">
        <v>67</v>
      </c>
      <c r="D2123" s="66" t="str">
        <f t="shared" si="66"/>
        <v>2137</v>
      </c>
      <c r="E2123" s="66">
        <f t="shared" si="67"/>
        <v>1</v>
      </c>
    </row>
    <row r="2124" spans="1:5" x14ac:dyDescent="0.15">
      <c r="A2124" s="66" t="s">
        <v>4320</v>
      </c>
      <c r="B2124" s="66" t="s">
        <v>1856</v>
      </c>
      <c r="C2124" s="66" t="s">
        <v>340</v>
      </c>
      <c r="D2124" s="66" t="str">
        <f t="shared" si="66"/>
        <v>2138</v>
      </c>
      <c r="E2124" s="66">
        <f t="shared" si="67"/>
        <v>3</v>
      </c>
    </row>
    <row r="2125" spans="1:5" x14ac:dyDescent="0.15">
      <c r="A2125" s="66" t="s">
        <v>4321</v>
      </c>
      <c r="B2125" s="66" t="s">
        <v>4322</v>
      </c>
      <c r="C2125" s="66" t="s">
        <v>359</v>
      </c>
      <c r="D2125" s="66" t="str">
        <f t="shared" si="66"/>
        <v>2139</v>
      </c>
      <c r="E2125" s="66">
        <f t="shared" si="67"/>
        <v>1</v>
      </c>
    </row>
    <row r="2126" spans="1:5" x14ac:dyDescent="0.15">
      <c r="A2126" s="66" t="s">
        <v>4323</v>
      </c>
      <c r="B2126" s="66" t="s">
        <v>4324</v>
      </c>
      <c r="C2126" s="66" t="s">
        <v>71</v>
      </c>
      <c r="D2126" s="66" t="str">
        <f t="shared" si="66"/>
        <v>2140</v>
      </c>
      <c r="E2126" s="66">
        <f t="shared" si="67"/>
        <v>1</v>
      </c>
    </row>
    <row r="2127" spans="1:5" x14ac:dyDescent="0.15">
      <c r="A2127" s="66" t="s">
        <v>4325</v>
      </c>
      <c r="B2127" s="66" t="s">
        <v>4326</v>
      </c>
      <c r="C2127" s="66" t="s">
        <v>385</v>
      </c>
      <c r="D2127" s="66" t="str">
        <f t="shared" si="66"/>
        <v>8026</v>
      </c>
      <c r="E2127" s="66">
        <f t="shared" si="67"/>
        <v>1</v>
      </c>
    </row>
  </sheetData>
  <sortState xmlns:xlrd2="http://schemas.microsoft.com/office/spreadsheetml/2017/richdata2" ref="A935:B944">
    <sortCondition ref="B935:B944"/>
  </sortState>
  <phoneticPr fontId="16" type="noConversion"/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M892"/>
  <sheetViews>
    <sheetView workbookViewId="0">
      <pane ySplit="1" topLeftCell="A862" activePane="bottomLeft" state="frozen"/>
      <selection pane="bottomLeft" activeCell="C892" sqref="C892"/>
    </sheetView>
  </sheetViews>
  <sheetFormatPr defaultColWidth="9" defaultRowHeight="13.5" x14ac:dyDescent="0.15"/>
  <cols>
    <col min="1" max="3" width="9" style="67"/>
    <col min="4" max="4" width="14.625" style="67" customWidth="1"/>
    <col min="5" max="5" width="24.75" style="67" customWidth="1"/>
    <col min="6" max="6" width="13.75" style="67" customWidth="1"/>
    <col min="7" max="7" width="9" style="67"/>
    <col min="8" max="8" width="15.375" style="67" customWidth="1"/>
    <col min="9" max="242" width="9" style="67"/>
    <col min="243" max="243" width="16.375" style="67" customWidth="1"/>
    <col min="244" max="498" width="9" style="67"/>
    <col min="499" max="499" width="16.375" style="67" customWidth="1"/>
    <col min="500" max="754" width="9" style="67"/>
    <col min="755" max="755" width="16.375" style="67" customWidth="1"/>
    <col min="756" max="1010" width="9" style="67"/>
    <col min="1011" max="1011" width="16.375" style="67" customWidth="1"/>
    <col min="1012" max="1266" width="9" style="67"/>
    <col min="1267" max="1267" width="16.375" style="67" customWidth="1"/>
    <col min="1268" max="1522" width="9" style="67"/>
    <col min="1523" max="1523" width="16.375" style="67" customWidth="1"/>
    <col min="1524" max="1778" width="9" style="67"/>
    <col min="1779" max="1779" width="16.375" style="67" customWidth="1"/>
    <col min="1780" max="2034" width="9" style="67"/>
    <col min="2035" max="2035" width="16.375" style="67" customWidth="1"/>
    <col min="2036" max="2290" width="9" style="67"/>
    <col min="2291" max="2291" width="16.375" style="67" customWidth="1"/>
    <col min="2292" max="2546" width="9" style="67"/>
    <col min="2547" max="2547" width="16.375" style="67" customWidth="1"/>
    <col min="2548" max="2802" width="9" style="67"/>
    <col min="2803" max="2803" width="16.375" style="67" customWidth="1"/>
    <col min="2804" max="3058" width="9" style="67"/>
    <col min="3059" max="3059" width="16.375" style="67" customWidth="1"/>
    <col min="3060" max="3314" width="9" style="67"/>
    <col min="3315" max="3315" width="16.375" style="67" customWidth="1"/>
    <col min="3316" max="3570" width="9" style="67"/>
    <col min="3571" max="3571" width="16.375" style="67" customWidth="1"/>
    <col min="3572" max="3826" width="9" style="67"/>
    <col min="3827" max="3827" width="16.375" style="67" customWidth="1"/>
    <col min="3828" max="4082" width="9" style="67"/>
    <col min="4083" max="4083" width="16.375" style="67" customWidth="1"/>
    <col min="4084" max="4338" width="9" style="67"/>
    <col min="4339" max="4339" width="16.375" style="67" customWidth="1"/>
    <col min="4340" max="4594" width="9" style="67"/>
    <col min="4595" max="4595" width="16.375" style="67" customWidth="1"/>
    <col min="4596" max="4850" width="9" style="67"/>
    <col min="4851" max="4851" width="16.375" style="67" customWidth="1"/>
    <col min="4852" max="5106" width="9" style="67"/>
    <col min="5107" max="5107" width="16.375" style="67" customWidth="1"/>
    <col min="5108" max="5362" width="9" style="67"/>
    <col min="5363" max="5363" width="16.375" style="67" customWidth="1"/>
    <col min="5364" max="5618" width="9" style="67"/>
    <col min="5619" max="5619" width="16.375" style="67" customWidth="1"/>
    <col min="5620" max="5874" width="9" style="67"/>
    <col min="5875" max="5875" width="16.375" style="67" customWidth="1"/>
    <col min="5876" max="6130" width="9" style="67"/>
    <col min="6131" max="6131" width="16.375" style="67" customWidth="1"/>
    <col min="6132" max="6386" width="9" style="67"/>
    <col min="6387" max="6387" width="16.375" style="67" customWidth="1"/>
    <col min="6388" max="6642" width="9" style="67"/>
    <col min="6643" max="6643" width="16.375" style="67" customWidth="1"/>
    <col min="6644" max="6898" width="9" style="67"/>
    <col min="6899" max="6899" width="16.375" style="67" customWidth="1"/>
    <col min="6900" max="7154" width="9" style="67"/>
    <col min="7155" max="7155" width="16.375" style="67" customWidth="1"/>
    <col min="7156" max="7410" width="9" style="67"/>
    <col min="7411" max="7411" width="16.375" style="67" customWidth="1"/>
    <col min="7412" max="7666" width="9" style="67"/>
    <col min="7667" max="7667" width="16.375" style="67" customWidth="1"/>
    <col min="7668" max="7922" width="9" style="67"/>
    <col min="7923" max="7923" width="16.375" style="67" customWidth="1"/>
    <col min="7924" max="8178" width="9" style="67"/>
    <col min="8179" max="8179" width="16.375" style="67" customWidth="1"/>
    <col min="8180" max="8434" width="9" style="67"/>
    <col min="8435" max="8435" width="16.375" style="67" customWidth="1"/>
    <col min="8436" max="8690" width="9" style="67"/>
    <col min="8691" max="8691" width="16.375" style="67" customWidth="1"/>
    <col min="8692" max="8946" width="9" style="67"/>
    <col min="8947" max="8947" width="16.375" style="67" customWidth="1"/>
    <col min="8948" max="9202" width="9" style="67"/>
    <col min="9203" max="9203" width="16.375" style="67" customWidth="1"/>
    <col min="9204" max="9458" width="9" style="67"/>
    <col min="9459" max="9459" width="16.375" style="67" customWidth="1"/>
    <col min="9460" max="9714" width="9" style="67"/>
    <col min="9715" max="9715" width="16.375" style="67" customWidth="1"/>
    <col min="9716" max="9970" width="9" style="67"/>
    <col min="9971" max="9971" width="16.375" style="67" customWidth="1"/>
    <col min="9972" max="10226" width="9" style="67"/>
    <col min="10227" max="10227" width="16.375" style="67" customWidth="1"/>
    <col min="10228" max="10482" width="9" style="67"/>
    <col min="10483" max="10483" width="16.375" style="67" customWidth="1"/>
    <col min="10484" max="10738" width="9" style="67"/>
    <col min="10739" max="10739" width="16.375" style="67" customWidth="1"/>
    <col min="10740" max="10994" width="9" style="67"/>
    <col min="10995" max="10995" width="16.375" style="67" customWidth="1"/>
    <col min="10996" max="11250" width="9" style="67"/>
    <col min="11251" max="11251" width="16.375" style="67" customWidth="1"/>
    <col min="11252" max="11506" width="9" style="67"/>
    <col min="11507" max="11507" width="16.375" style="67" customWidth="1"/>
    <col min="11508" max="11762" width="9" style="67"/>
    <col min="11763" max="11763" width="16.375" style="67" customWidth="1"/>
    <col min="11764" max="12018" width="9" style="67"/>
    <col min="12019" max="12019" width="16.375" style="67" customWidth="1"/>
    <col min="12020" max="12274" width="9" style="67"/>
    <col min="12275" max="12275" width="16.375" style="67" customWidth="1"/>
    <col min="12276" max="12530" width="9" style="67"/>
    <col min="12531" max="12531" width="16.375" style="67" customWidth="1"/>
    <col min="12532" max="12786" width="9" style="67"/>
    <col min="12787" max="12787" width="16.375" style="67" customWidth="1"/>
    <col min="12788" max="13042" width="9" style="67"/>
    <col min="13043" max="13043" width="16.375" style="67" customWidth="1"/>
    <col min="13044" max="13298" width="9" style="67"/>
    <col min="13299" max="13299" width="16.375" style="67" customWidth="1"/>
    <col min="13300" max="13554" width="9" style="67"/>
    <col min="13555" max="13555" width="16.375" style="67" customWidth="1"/>
    <col min="13556" max="13810" width="9" style="67"/>
    <col min="13811" max="13811" width="16.375" style="67" customWidth="1"/>
    <col min="13812" max="14066" width="9" style="67"/>
    <col min="14067" max="14067" width="16.375" style="67" customWidth="1"/>
    <col min="14068" max="14322" width="9" style="67"/>
    <col min="14323" max="14323" width="16.375" style="67" customWidth="1"/>
    <col min="14324" max="14578" width="9" style="67"/>
    <col min="14579" max="14579" width="16.375" style="67" customWidth="1"/>
    <col min="14580" max="14834" width="9" style="67"/>
    <col min="14835" max="14835" width="16.375" style="67" customWidth="1"/>
    <col min="14836" max="15090" width="9" style="67"/>
    <col min="15091" max="15091" width="16.375" style="67" customWidth="1"/>
    <col min="15092" max="15346" width="9" style="67"/>
    <col min="15347" max="15347" width="16.375" style="67" customWidth="1"/>
    <col min="15348" max="15602" width="9" style="67"/>
    <col min="15603" max="15603" width="16.375" style="67" customWidth="1"/>
    <col min="15604" max="15858" width="9" style="67"/>
    <col min="15859" max="15859" width="16.375" style="67" customWidth="1"/>
    <col min="15860" max="16114" width="9" style="67"/>
    <col min="16115" max="16115" width="16.375" style="67" customWidth="1"/>
    <col min="16116" max="16384" width="9" style="67"/>
  </cols>
  <sheetData>
    <row r="1" spans="1:9" x14ac:dyDescent="0.15">
      <c r="A1" s="67" t="s">
        <v>4327</v>
      </c>
      <c r="B1" s="67" t="s">
        <v>4328</v>
      </c>
      <c r="C1" s="67" t="s">
        <v>4329</v>
      </c>
      <c r="D1" s="67" t="s">
        <v>4330</v>
      </c>
      <c r="E1" s="67" t="s">
        <v>4331</v>
      </c>
      <c r="F1" s="67" t="s">
        <v>4332</v>
      </c>
      <c r="G1" s="67" t="s">
        <v>128</v>
      </c>
    </row>
    <row r="2" spans="1:9" x14ac:dyDescent="0.15">
      <c r="A2" s="67" t="s">
        <v>129</v>
      </c>
      <c r="B2" s="67" t="s">
        <v>130</v>
      </c>
      <c r="C2" s="67" t="s">
        <v>4333</v>
      </c>
      <c r="D2" s="67" t="s">
        <v>4334</v>
      </c>
      <c r="E2" s="67" t="s">
        <v>4335</v>
      </c>
      <c r="F2" s="67" t="s">
        <v>4336</v>
      </c>
      <c r="G2" s="67">
        <f>COUNTIFS(B:B,B2)</f>
        <v>1</v>
      </c>
      <c r="H2" s="67" t="str">
        <f>C2&amp;B2</f>
        <v>000257张会智</v>
      </c>
      <c r="I2" s="67" t="str">
        <f>A2</f>
        <v>0001</v>
      </c>
    </row>
    <row r="3" spans="1:9" x14ac:dyDescent="0.15">
      <c r="A3" s="67" t="s">
        <v>100</v>
      </c>
      <c r="B3" s="67" t="s">
        <v>132</v>
      </c>
      <c r="C3" s="67" t="s">
        <v>4337</v>
      </c>
      <c r="D3" s="67" t="s">
        <v>4338</v>
      </c>
      <c r="E3" s="67" t="s">
        <v>4339</v>
      </c>
      <c r="F3" s="67" t="s">
        <v>4336</v>
      </c>
      <c r="G3" s="67">
        <f t="shared" ref="G3:G66" si="0">COUNTIFS(B:B,B3)</f>
        <v>1</v>
      </c>
      <c r="H3" s="67" t="str">
        <f t="shared" ref="H3:H66" si="1">C3&amp;B3</f>
        <v>000145孙世洋</v>
      </c>
      <c r="I3" s="67" t="str">
        <f t="shared" ref="I3:I66" si="2">A3</f>
        <v>0002</v>
      </c>
    </row>
    <row r="4" spans="1:9" x14ac:dyDescent="0.15">
      <c r="A4" s="67" t="s">
        <v>134</v>
      </c>
      <c r="B4" s="67" t="s">
        <v>135</v>
      </c>
      <c r="C4" s="67" t="s">
        <v>4340</v>
      </c>
      <c r="D4" s="67" t="s">
        <v>4338</v>
      </c>
      <c r="E4" s="67" t="s">
        <v>4339</v>
      </c>
      <c r="F4" s="67" t="s">
        <v>4336</v>
      </c>
      <c r="G4" s="67">
        <f t="shared" si="0"/>
        <v>1</v>
      </c>
      <c r="H4" s="67" t="str">
        <f t="shared" si="1"/>
        <v>000116陈明亮</v>
      </c>
      <c r="I4" s="67" t="str">
        <f t="shared" si="2"/>
        <v>0003</v>
      </c>
    </row>
    <row r="5" spans="1:9" x14ac:dyDescent="0.15">
      <c r="A5" s="67" t="s">
        <v>136</v>
      </c>
      <c r="B5" s="67" t="s">
        <v>137</v>
      </c>
      <c r="C5" s="67" t="s">
        <v>4341</v>
      </c>
      <c r="D5" s="67" t="s">
        <v>4338</v>
      </c>
      <c r="E5" s="67" t="s">
        <v>4339</v>
      </c>
      <c r="F5" s="67" t="s">
        <v>4336</v>
      </c>
      <c r="G5" s="67">
        <f t="shared" si="0"/>
        <v>1</v>
      </c>
      <c r="H5" s="67" t="str">
        <f t="shared" si="1"/>
        <v>000115陈明建</v>
      </c>
      <c r="I5" s="67" t="str">
        <f t="shared" si="2"/>
        <v>0004</v>
      </c>
    </row>
    <row r="6" spans="1:9" x14ac:dyDescent="0.15">
      <c r="A6" s="67" t="s">
        <v>138</v>
      </c>
      <c r="B6" s="67" t="s">
        <v>139</v>
      </c>
      <c r="C6" s="67" t="s">
        <v>4342</v>
      </c>
      <c r="D6" s="67" t="s">
        <v>4343</v>
      </c>
      <c r="E6" s="67" t="s">
        <v>4344</v>
      </c>
      <c r="F6" s="67" t="s">
        <v>4336</v>
      </c>
      <c r="G6" s="67">
        <f t="shared" si="0"/>
        <v>1</v>
      </c>
      <c r="H6" s="67" t="str">
        <f t="shared" si="1"/>
        <v>000048于伟中</v>
      </c>
      <c r="I6" s="67" t="str">
        <f t="shared" si="2"/>
        <v>0005</v>
      </c>
    </row>
    <row r="7" spans="1:9" x14ac:dyDescent="0.15">
      <c r="A7" s="67" t="s">
        <v>82</v>
      </c>
      <c r="B7" s="67" t="s">
        <v>143</v>
      </c>
      <c r="C7" s="67" t="s">
        <v>4345</v>
      </c>
      <c r="D7" s="67" t="s">
        <v>4346</v>
      </c>
      <c r="E7" s="67" t="s">
        <v>4347</v>
      </c>
      <c r="F7" s="67" t="s">
        <v>4336</v>
      </c>
      <c r="G7" s="67">
        <f t="shared" si="0"/>
        <v>1</v>
      </c>
      <c r="H7" s="67" t="str">
        <f t="shared" si="1"/>
        <v>000119杜国强</v>
      </c>
      <c r="I7" s="67" t="str">
        <f t="shared" si="2"/>
        <v>0007</v>
      </c>
    </row>
    <row r="8" spans="1:9" x14ac:dyDescent="0.15">
      <c r="A8" s="67" t="s">
        <v>144</v>
      </c>
      <c r="B8" s="67" t="s">
        <v>145</v>
      </c>
      <c r="C8" s="67" t="s">
        <v>4348</v>
      </c>
      <c r="D8" s="67" t="s">
        <v>4338</v>
      </c>
      <c r="E8" s="67" t="s">
        <v>4339</v>
      </c>
      <c r="F8" s="67" t="s">
        <v>4336</v>
      </c>
      <c r="G8" s="67">
        <f t="shared" si="0"/>
        <v>1</v>
      </c>
      <c r="H8" s="67" t="str">
        <f t="shared" si="1"/>
        <v>000120杜双红</v>
      </c>
      <c r="I8" s="67" t="str">
        <f t="shared" si="2"/>
        <v>0008</v>
      </c>
    </row>
    <row r="9" spans="1:9" x14ac:dyDescent="0.15">
      <c r="A9" s="67" t="s">
        <v>4349</v>
      </c>
      <c r="B9" s="67" t="s">
        <v>4350</v>
      </c>
      <c r="C9" s="67" t="s">
        <v>4351</v>
      </c>
      <c r="D9" s="67" t="s">
        <v>4352</v>
      </c>
      <c r="E9" s="67" t="s">
        <v>4353</v>
      </c>
      <c r="F9" s="67" t="s">
        <v>4336</v>
      </c>
      <c r="G9" s="67">
        <f t="shared" si="0"/>
        <v>2</v>
      </c>
      <c r="H9" s="67" t="str">
        <f t="shared" si="1"/>
        <v>000520临时工1</v>
      </c>
      <c r="I9" s="67" t="str">
        <f t="shared" si="2"/>
        <v>001</v>
      </c>
    </row>
    <row r="10" spans="1:9" x14ac:dyDescent="0.15">
      <c r="A10" s="67" t="s">
        <v>4349</v>
      </c>
      <c r="B10" s="67" t="s">
        <v>4350</v>
      </c>
      <c r="C10" s="67" t="s">
        <v>4354</v>
      </c>
      <c r="D10" s="67" t="s">
        <v>4352</v>
      </c>
      <c r="E10" s="67" t="s">
        <v>4355</v>
      </c>
      <c r="F10" s="67" t="s">
        <v>4336</v>
      </c>
      <c r="G10" s="67">
        <f t="shared" si="0"/>
        <v>2</v>
      </c>
      <c r="H10" s="67" t="str">
        <f t="shared" si="1"/>
        <v>000525临时工1</v>
      </c>
      <c r="I10" s="67" t="str">
        <f t="shared" si="2"/>
        <v>001</v>
      </c>
    </row>
    <row r="11" spans="1:9" x14ac:dyDescent="0.15">
      <c r="A11" s="67" t="s">
        <v>148</v>
      </c>
      <c r="B11" s="67" t="s">
        <v>149</v>
      </c>
      <c r="C11" s="67" t="s">
        <v>4356</v>
      </c>
      <c r="D11" s="67" t="s">
        <v>4357</v>
      </c>
      <c r="E11" s="67" t="s">
        <v>4358</v>
      </c>
      <c r="F11" s="67" t="s">
        <v>4336</v>
      </c>
      <c r="G11" s="67">
        <f t="shared" si="0"/>
        <v>1</v>
      </c>
      <c r="H11" s="67" t="str">
        <f t="shared" si="1"/>
        <v>000114陈明宝</v>
      </c>
      <c r="I11" s="67" t="str">
        <f t="shared" si="2"/>
        <v>0010</v>
      </c>
    </row>
    <row r="12" spans="1:9" x14ac:dyDescent="0.15">
      <c r="A12" s="67" t="s">
        <v>97</v>
      </c>
      <c r="B12" s="67" t="s">
        <v>154</v>
      </c>
      <c r="C12" s="67" t="s">
        <v>4359</v>
      </c>
      <c r="D12" s="67" t="s">
        <v>4360</v>
      </c>
      <c r="E12" s="67" t="s">
        <v>4361</v>
      </c>
      <c r="F12" s="67" t="s">
        <v>4336</v>
      </c>
      <c r="G12" s="67">
        <f t="shared" si="0"/>
        <v>1</v>
      </c>
      <c r="H12" s="67" t="str">
        <f t="shared" si="1"/>
        <v>000118陈有富</v>
      </c>
      <c r="I12" s="67" t="str">
        <f t="shared" si="2"/>
        <v>0013</v>
      </c>
    </row>
    <row r="13" spans="1:9" x14ac:dyDescent="0.15">
      <c r="A13" s="67" t="s">
        <v>155</v>
      </c>
      <c r="B13" s="67" t="s">
        <v>156</v>
      </c>
      <c r="C13" s="67" t="s">
        <v>4362</v>
      </c>
      <c r="D13" s="67" t="s">
        <v>4363</v>
      </c>
      <c r="E13" s="67" t="s">
        <v>4364</v>
      </c>
      <c r="F13" s="67" t="s">
        <v>4336</v>
      </c>
      <c r="G13" s="67">
        <f t="shared" si="0"/>
        <v>1</v>
      </c>
      <c r="H13" s="67" t="str">
        <f t="shared" si="1"/>
        <v>000305陈国峰</v>
      </c>
      <c r="I13" s="67" t="str">
        <f t="shared" si="2"/>
        <v>0014</v>
      </c>
    </row>
    <row r="14" spans="1:9" x14ac:dyDescent="0.15">
      <c r="A14" s="67" t="s">
        <v>157</v>
      </c>
      <c r="B14" s="67" t="s">
        <v>158</v>
      </c>
      <c r="C14" s="67" t="s">
        <v>4365</v>
      </c>
      <c r="D14" s="67" t="s">
        <v>4338</v>
      </c>
      <c r="E14" s="67" t="s">
        <v>4339</v>
      </c>
      <c r="F14" s="67" t="s">
        <v>4336</v>
      </c>
      <c r="G14" s="67">
        <f t="shared" si="0"/>
        <v>1</v>
      </c>
      <c r="H14" s="67" t="str">
        <f t="shared" si="1"/>
        <v>000038文俊</v>
      </c>
      <c r="I14" s="67" t="str">
        <f t="shared" si="2"/>
        <v>0015</v>
      </c>
    </row>
    <row r="15" spans="1:9" x14ac:dyDescent="0.15">
      <c r="A15" s="67" t="s">
        <v>159</v>
      </c>
      <c r="B15" s="67" t="s">
        <v>160</v>
      </c>
      <c r="C15" s="67" t="s">
        <v>4366</v>
      </c>
      <c r="D15" s="67" t="s">
        <v>4338</v>
      </c>
      <c r="E15" s="67" t="s">
        <v>4339</v>
      </c>
      <c r="F15" s="67" t="s">
        <v>4336</v>
      </c>
      <c r="G15" s="67">
        <f t="shared" si="0"/>
        <v>1</v>
      </c>
      <c r="H15" s="67" t="str">
        <f t="shared" si="1"/>
        <v>000159张晓旭</v>
      </c>
      <c r="I15" s="67" t="str">
        <f t="shared" si="2"/>
        <v>0016</v>
      </c>
    </row>
    <row r="16" spans="1:9" x14ac:dyDescent="0.15">
      <c r="A16" s="67" t="s">
        <v>4367</v>
      </c>
      <c r="B16" s="67" t="s">
        <v>4368</v>
      </c>
      <c r="C16" s="67" t="s">
        <v>4369</v>
      </c>
      <c r="D16" s="67" t="s">
        <v>4352</v>
      </c>
      <c r="E16" s="67" t="s">
        <v>4370</v>
      </c>
      <c r="F16" s="67" t="s">
        <v>4336</v>
      </c>
      <c r="G16" s="67">
        <f t="shared" si="0"/>
        <v>3</v>
      </c>
      <c r="H16" s="67" t="str">
        <f t="shared" si="1"/>
        <v>000526临时工2</v>
      </c>
      <c r="I16" s="67" t="str">
        <f t="shared" si="2"/>
        <v>002</v>
      </c>
    </row>
    <row r="17" spans="1:9" x14ac:dyDescent="0.15">
      <c r="A17" s="67" t="s">
        <v>4367</v>
      </c>
      <c r="B17" s="67" t="s">
        <v>4368</v>
      </c>
      <c r="C17" s="67" t="s">
        <v>4371</v>
      </c>
      <c r="D17" s="67" t="s">
        <v>4352</v>
      </c>
      <c r="E17" s="67" t="s">
        <v>4372</v>
      </c>
      <c r="F17" s="67" t="s">
        <v>4336</v>
      </c>
      <c r="G17" s="67">
        <f t="shared" si="0"/>
        <v>3</v>
      </c>
      <c r="H17" s="67" t="str">
        <f t="shared" si="1"/>
        <v>000521临时工2</v>
      </c>
      <c r="I17" s="67" t="str">
        <f t="shared" si="2"/>
        <v>002</v>
      </c>
    </row>
    <row r="18" spans="1:9" x14ac:dyDescent="0.15">
      <c r="A18" s="67" t="s">
        <v>4367</v>
      </c>
      <c r="B18" s="67" t="s">
        <v>4368</v>
      </c>
      <c r="C18" s="67" t="s">
        <v>4373</v>
      </c>
      <c r="D18" s="67" t="s">
        <v>4352</v>
      </c>
      <c r="E18" s="67" t="s">
        <v>4374</v>
      </c>
      <c r="F18" s="67" t="s">
        <v>4336</v>
      </c>
      <c r="G18" s="67">
        <f t="shared" si="0"/>
        <v>3</v>
      </c>
      <c r="H18" s="67" t="str">
        <f t="shared" si="1"/>
        <v>000687临时工2</v>
      </c>
      <c r="I18" s="67" t="str">
        <f t="shared" si="2"/>
        <v>002</v>
      </c>
    </row>
    <row r="19" spans="1:9" x14ac:dyDescent="0.15">
      <c r="A19" s="67" t="s">
        <v>169</v>
      </c>
      <c r="B19" s="67" t="s">
        <v>170</v>
      </c>
      <c r="C19" s="67" t="s">
        <v>4375</v>
      </c>
      <c r="D19" s="67" t="s">
        <v>4338</v>
      </c>
      <c r="E19" s="67" t="s">
        <v>4339</v>
      </c>
      <c r="F19" s="67" t="s">
        <v>4336</v>
      </c>
      <c r="G19" s="67">
        <f t="shared" si="0"/>
        <v>2</v>
      </c>
      <c r="H19" s="67" t="str">
        <f t="shared" si="1"/>
        <v>000671牛晶晶</v>
      </c>
      <c r="I19" s="67" t="str">
        <f t="shared" si="2"/>
        <v>0021</v>
      </c>
    </row>
    <row r="20" spans="1:9" x14ac:dyDescent="0.15">
      <c r="A20" s="67" t="s">
        <v>169</v>
      </c>
      <c r="B20" s="67" t="s">
        <v>170</v>
      </c>
      <c r="C20" s="67" t="s">
        <v>4376</v>
      </c>
      <c r="D20" s="67" t="s">
        <v>4338</v>
      </c>
      <c r="E20" s="67" t="s">
        <v>4339</v>
      </c>
      <c r="F20" s="67" t="s">
        <v>4336</v>
      </c>
      <c r="G20" s="67">
        <f t="shared" si="0"/>
        <v>2</v>
      </c>
      <c r="H20" s="67" t="str">
        <f t="shared" si="1"/>
        <v>000140牛晶晶</v>
      </c>
      <c r="I20" s="67" t="str">
        <f t="shared" si="2"/>
        <v>0021</v>
      </c>
    </row>
    <row r="21" spans="1:9" x14ac:dyDescent="0.15">
      <c r="A21" s="67" t="s">
        <v>171</v>
      </c>
      <c r="B21" s="67" t="s">
        <v>172</v>
      </c>
      <c r="C21" s="67" t="s">
        <v>4377</v>
      </c>
      <c r="D21" s="67" t="s">
        <v>4338</v>
      </c>
      <c r="E21" s="67" t="s">
        <v>4339</v>
      </c>
      <c r="F21" s="67" t="s">
        <v>4336</v>
      </c>
      <c r="G21" s="67">
        <f t="shared" si="0"/>
        <v>2</v>
      </c>
      <c r="H21" s="67" t="str">
        <f t="shared" si="1"/>
        <v>000155于雷</v>
      </c>
      <c r="I21" s="67" t="str">
        <f t="shared" si="2"/>
        <v>0022</v>
      </c>
    </row>
    <row r="22" spans="1:9" x14ac:dyDescent="0.15">
      <c r="A22" s="67" t="s">
        <v>171</v>
      </c>
      <c r="B22" s="67" t="s">
        <v>172</v>
      </c>
      <c r="C22" s="67" t="s">
        <v>4378</v>
      </c>
      <c r="D22" s="67" t="s">
        <v>4338</v>
      </c>
      <c r="E22" s="67" t="s">
        <v>4339</v>
      </c>
      <c r="F22" s="67" t="s">
        <v>4336</v>
      </c>
      <c r="G22" s="67">
        <f t="shared" si="0"/>
        <v>2</v>
      </c>
      <c r="H22" s="67" t="str">
        <f t="shared" si="1"/>
        <v>000879于雷</v>
      </c>
      <c r="I22" s="67" t="str">
        <f t="shared" si="2"/>
        <v>0022</v>
      </c>
    </row>
    <row r="23" spans="1:9" x14ac:dyDescent="0.15">
      <c r="A23" s="67" t="s">
        <v>104</v>
      </c>
      <c r="B23" s="67" t="s">
        <v>173</v>
      </c>
      <c r="C23" s="67" t="s">
        <v>4379</v>
      </c>
      <c r="D23" s="67" t="s">
        <v>4338</v>
      </c>
      <c r="E23" s="67" t="s">
        <v>4339</v>
      </c>
      <c r="F23" s="67" t="s">
        <v>4336</v>
      </c>
      <c r="G23" s="67">
        <f t="shared" si="0"/>
        <v>1</v>
      </c>
      <c r="H23" s="67" t="str">
        <f t="shared" si="1"/>
        <v>000127冷志尚</v>
      </c>
      <c r="I23" s="67" t="str">
        <f t="shared" si="2"/>
        <v>0023</v>
      </c>
    </row>
    <row r="24" spans="1:9" x14ac:dyDescent="0.15">
      <c r="A24" s="67" t="s">
        <v>174</v>
      </c>
      <c r="B24" s="67" t="s">
        <v>175</v>
      </c>
      <c r="C24" s="67" t="s">
        <v>4380</v>
      </c>
      <c r="D24" s="67" t="s">
        <v>4338</v>
      </c>
      <c r="E24" s="67" t="s">
        <v>4339</v>
      </c>
      <c r="F24" s="67" t="s">
        <v>4336</v>
      </c>
      <c r="G24" s="67">
        <f t="shared" si="0"/>
        <v>1</v>
      </c>
      <c r="H24" s="67" t="str">
        <f t="shared" si="1"/>
        <v>000156于洋</v>
      </c>
      <c r="I24" s="67" t="str">
        <f t="shared" si="2"/>
        <v>0024</v>
      </c>
    </row>
    <row r="25" spans="1:9" x14ac:dyDescent="0.15">
      <c r="A25" s="67" t="s">
        <v>178</v>
      </c>
      <c r="B25" s="67" t="s">
        <v>179</v>
      </c>
      <c r="C25" s="67" t="s">
        <v>4381</v>
      </c>
      <c r="D25" s="67" t="s">
        <v>4338</v>
      </c>
      <c r="E25" s="67" t="s">
        <v>4339</v>
      </c>
      <c r="F25" s="67" t="s">
        <v>4336</v>
      </c>
      <c r="G25" s="67">
        <f t="shared" si="0"/>
        <v>1</v>
      </c>
      <c r="H25" s="67" t="str">
        <f t="shared" si="1"/>
        <v>000133刘国华</v>
      </c>
      <c r="I25" s="67" t="str">
        <f t="shared" si="2"/>
        <v>0026</v>
      </c>
    </row>
    <row r="26" spans="1:9" x14ac:dyDescent="0.15">
      <c r="A26" s="67" t="s">
        <v>182</v>
      </c>
      <c r="B26" s="67" t="s">
        <v>183</v>
      </c>
      <c r="C26" s="67" t="s">
        <v>4382</v>
      </c>
      <c r="D26" s="67" t="s">
        <v>4338</v>
      </c>
      <c r="E26" s="67" t="s">
        <v>4339</v>
      </c>
      <c r="F26" s="67" t="s">
        <v>4336</v>
      </c>
      <c r="G26" s="67">
        <f t="shared" si="0"/>
        <v>1</v>
      </c>
      <c r="H26" s="67" t="str">
        <f t="shared" si="1"/>
        <v>000141潘仕发</v>
      </c>
      <c r="I26" s="67" t="str">
        <f t="shared" si="2"/>
        <v>0028</v>
      </c>
    </row>
    <row r="27" spans="1:9" x14ac:dyDescent="0.15">
      <c r="A27" s="67" t="s">
        <v>4383</v>
      </c>
      <c r="B27" s="67" t="s">
        <v>4384</v>
      </c>
      <c r="C27" s="67" t="s">
        <v>4385</v>
      </c>
      <c r="D27" s="67" t="s">
        <v>4352</v>
      </c>
      <c r="E27" s="67" t="s">
        <v>4386</v>
      </c>
      <c r="F27" s="67" t="s">
        <v>4336</v>
      </c>
      <c r="G27" s="67">
        <f t="shared" si="0"/>
        <v>3</v>
      </c>
      <c r="H27" s="67" t="str">
        <f t="shared" si="1"/>
        <v>000522临时工3</v>
      </c>
      <c r="I27" s="67" t="str">
        <f t="shared" si="2"/>
        <v>003</v>
      </c>
    </row>
    <row r="28" spans="1:9" x14ac:dyDescent="0.15">
      <c r="A28" s="67" t="s">
        <v>4383</v>
      </c>
      <c r="B28" s="67" t="s">
        <v>4384</v>
      </c>
      <c r="C28" s="67" t="s">
        <v>4387</v>
      </c>
      <c r="D28" s="67" t="s">
        <v>4352</v>
      </c>
      <c r="E28" s="67" t="s">
        <v>4355</v>
      </c>
      <c r="F28" s="67" t="s">
        <v>4336</v>
      </c>
      <c r="G28" s="67">
        <f t="shared" si="0"/>
        <v>3</v>
      </c>
      <c r="H28" s="67" t="str">
        <f t="shared" si="1"/>
        <v>000527临时工3</v>
      </c>
      <c r="I28" s="67" t="str">
        <f t="shared" si="2"/>
        <v>003</v>
      </c>
    </row>
    <row r="29" spans="1:9" x14ac:dyDescent="0.15">
      <c r="A29" s="67" t="s">
        <v>4383</v>
      </c>
      <c r="B29" s="67" t="s">
        <v>4384</v>
      </c>
      <c r="C29" s="67" t="s">
        <v>4388</v>
      </c>
      <c r="D29" s="67" t="s">
        <v>4352</v>
      </c>
      <c r="E29" s="67" t="s">
        <v>4355</v>
      </c>
      <c r="F29" s="67" t="s">
        <v>4336</v>
      </c>
      <c r="G29" s="67">
        <f t="shared" si="0"/>
        <v>3</v>
      </c>
      <c r="H29" s="67" t="str">
        <f t="shared" si="1"/>
        <v>000708临时工3</v>
      </c>
      <c r="I29" s="67" t="str">
        <f t="shared" si="2"/>
        <v>003</v>
      </c>
    </row>
    <row r="30" spans="1:9" x14ac:dyDescent="0.15">
      <c r="A30" s="67" t="s">
        <v>186</v>
      </c>
      <c r="B30" s="67" t="s">
        <v>187</v>
      </c>
      <c r="C30" s="67" t="s">
        <v>4389</v>
      </c>
      <c r="D30" s="67" t="s">
        <v>4338</v>
      </c>
      <c r="E30" s="67" t="s">
        <v>4339</v>
      </c>
      <c r="F30" s="67" t="s">
        <v>4336</v>
      </c>
      <c r="G30" s="67">
        <f t="shared" si="0"/>
        <v>2</v>
      </c>
      <c r="H30" s="67" t="str">
        <f t="shared" si="1"/>
        <v>000660刘琪琛</v>
      </c>
      <c r="I30" s="67" t="str">
        <f t="shared" si="2"/>
        <v>0030</v>
      </c>
    </row>
    <row r="31" spans="1:9" x14ac:dyDescent="0.15">
      <c r="A31" s="67" t="s">
        <v>186</v>
      </c>
      <c r="B31" s="67" t="s">
        <v>187</v>
      </c>
      <c r="C31" s="67" t="s">
        <v>4390</v>
      </c>
      <c r="D31" s="67" t="s">
        <v>4338</v>
      </c>
      <c r="E31" s="67" t="s">
        <v>4339</v>
      </c>
      <c r="F31" s="67" t="s">
        <v>4336</v>
      </c>
      <c r="G31" s="67">
        <f t="shared" si="0"/>
        <v>2</v>
      </c>
      <c r="H31" s="67" t="str">
        <f t="shared" si="1"/>
        <v>000416刘琪琛</v>
      </c>
      <c r="I31" s="67" t="str">
        <f t="shared" si="2"/>
        <v>0030</v>
      </c>
    </row>
    <row r="32" spans="1:9" x14ac:dyDescent="0.15">
      <c r="A32" s="67" t="s">
        <v>192</v>
      </c>
      <c r="B32" s="67" t="s">
        <v>193</v>
      </c>
      <c r="C32" s="67" t="s">
        <v>4391</v>
      </c>
      <c r="D32" s="67" t="s">
        <v>4392</v>
      </c>
      <c r="E32" s="67" t="s">
        <v>4393</v>
      </c>
      <c r="F32" s="67" t="s">
        <v>4336</v>
      </c>
      <c r="G32" s="67">
        <f t="shared" si="0"/>
        <v>1</v>
      </c>
      <c r="H32" s="67" t="str">
        <f t="shared" si="1"/>
        <v>000117陈喜峰</v>
      </c>
      <c r="I32" s="67" t="str">
        <f t="shared" si="2"/>
        <v>0034</v>
      </c>
    </row>
    <row r="33" spans="1:9" x14ac:dyDescent="0.15">
      <c r="A33" s="67" t="s">
        <v>196</v>
      </c>
      <c r="B33" s="67" t="s">
        <v>197</v>
      </c>
      <c r="C33" s="67" t="s">
        <v>4394</v>
      </c>
      <c r="D33" s="67" t="s">
        <v>4338</v>
      </c>
      <c r="E33" s="67" t="s">
        <v>4339</v>
      </c>
      <c r="F33" s="67" t="s">
        <v>4336</v>
      </c>
      <c r="G33" s="67">
        <f t="shared" si="0"/>
        <v>1</v>
      </c>
      <c r="H33" s="67" t="str">
        <f t="shared" si="1"/>
        <v>000148王开金</v>
      </c>
      <c r="I33" s="67" t="str">
        <f t="shared" si="2"/>
        <v>0036</v>
      </c>
    </row>
    <row r="34" spans="1:9" x14ac:dyDescent="0.15">
      <c r="A34" s="67" t="s">
        <v>202</v>
      </c>
      <c r="B34" s="67" t="s">
        <v>203</v>
      </c>
      <c r="C34" s="67" t="s">
        <v>4395</v>
      </c>
      <c r="D34" s="67" t="s">
        <v>4338</v>
      </c>
      <c r="E34" s="67" t="s">
        <v>4339</v>
      </c>
      <c r="F34" s="67" t="s">
        <v>4336</v>
      </c>
      <c r="G34" s="67">
        <f t="shared" si="0"/>
        <v>1</v>
      </c>
      <c r="H34" s="67" t="str">
        <f t="shared" si="1"/>
        <v>000136刘照炜</v>
      </c>
      <c r="I34" s="67" t="str">
        <f t="shared" si="2"/>
        <v>0039</v>
      </c>
    </row>
    <row r="35" spans="1:9" x14ac:dyDescent="0.15">
      <c r="A35" s="67" t="s">
        <v>4396</v>
      </c>
      <c r="B35" s="67" t="s">
        <v>4397</v>
      </c>
      <c r="C35" s="67" t="s">
        <v>4398</v>
      </c>
      <c r="D35" s="67" t="s">
        <v>4352</v>
      </c>
      <c r="E35" s="67" t="s">
        <v>4355</v>
      </c>
      <c r="F35" s="67" t="s">
        <v>4336</v>
      </c>
      <c r="G35" s="67">
        <f t="shared" si="0"/>
        <v>2</v>
      </c>
      <c r="H35" s="67" t="str">
        <f t="shared" si="1"/>
        <v>000528临时工4</v>
      </c>
      <c r="I35" s="67" t="str">
        <f t="shared" si="2"/>
        <v>004</v>
      </c>
    </row>
    <row r="36" spans="1:9" x14ac:dyDescent="0.15">
      <c r="A36" s="67" t="s">
        <v>4396</v>
      </c>
      <c r="B36" s="67" t="s">
        <v>4397</v>
      </c>
      <c r="C36" s="67" t="s">
        <v>4399</v>
      </c>
      <c r="D36" s="67" t="s">
        <v>4352</v>
      </c>
      <c r="E36" s="67" t="s">
        <v>4400</v>
      </c>
      <c r="F36" s="67" t="s">
        <v>4336</v>
      </c>
      <c r="G36" s="67">
        <f t="shared" si="0"/>
        <v>2</v>
      </c>
      <c r="H36" s="67" t="str">
        <f t="shared" si="1"/>
        <v>000523临时工4</v>
      </c>
      <c r="I36" s="67" t="str">
        <f t="shared" si="2"/>
        <v>004</v>
      </c>
    </row>
    <row r="37" spans="1:9" x14ac:dyDescent="0.15">
      <c r="A37" s="67" t="s">
        <v>206</v>
      </c>
      <c r="B37" s="67" t="s">
        <v>207</v>
      </c>
      <c r="C37" s="67" t="s">
        <v>4401</v>
      </c>
      <c r="D37" s="67" t="s">
        <v>4338</v>
      </c>
      <c r="E37" s="67" t="s">
        <v>4339</v>
      </c>
      <c r="F37" s="67" t="s">
        <v>4336</v>
      </c>
      <c r="G37" s="67">
        <f t="shared" si="0"/>
        <v>1</v>
      </c>
      <c r="H37" s="67" t="str">
        <f t="shared" si="1"/>
        <v>000349王波</v>
      </c>
      <c r="I37" s="67" t="str">
        <f t="shared" si="2"/>
        <v>0041</v>
      </c>
    </row>
    <row r="38" spans="1:9" x14ac:dyDescent="0.15">
      <c r="A38" s="67" t="s">
        <v>208</v>
      </c>
      <c r="B38" s="67" t="s">
        <v>209</v>
      </c>
      <c r="C38" s="67" t="s">
        <v>4402</v>
      </c>
      <c r="D38" s="67" t="s">
        <v>4403</v>
      </c>
      <c r="E38" s="67" t="s">
        <v>4404</v>
      </c>
      <c r="F38" s="67" t="s">
        <v>4336</v>
      </c>
      <c r="G38" s="67">
        <f t="shared" si="0"/>
        <v>1</v>
      </c>
      <c r="H38" s="67" t="str">
        <f t="shared" si="1"/>
        <v>000354王亚飞</v>
      </c>
      <c r="I38" s="67" t="str">
        <f t="shared" si="2"/>
        <v>0042</v>
      </c>
    </row>
    <row r="39" spans="1:9" x14ac:dyDescent="0.15">
      <c r="A39" s="67" t="s">
        <v>210</v>
      </c>
      <c r="B39" s="67" t="s">
        <v>211</v>
      </c>
      <c r="C39" s="67" t="s">
        <v>4405</v>
      </c>
      <c r="D39" s="67" t="s">
        <v>4357</v>
      </c>
      <c r="E39" s="67" t="s">
        <v>4358</v>
      </c>
      <c r="F39" s="67" t="s">
        <v>4336</v>
      </c>
      <c r="G39" s="67">
        <f t="shared" si="0"/>
        <v>1</v>
      </c>
      <c r="H39" s="67" t="str">
        <f t="shared" si="1"/>
        <v>000242陈明双</v>
      </c>
      <c r="I39" s="67" t="str">
        <f t="shared" si="2"/>
        <v>0043</v>
      </c>
    </row>
    <row r="40" spans="1:9" x14ac:dyDescent="0.15">
      <c r="A40" s="67" t="s">
        <v>212</v>
      </c>
      <c r="B40" s="67" t="s">
        <v>213</v>
      </c>
      <c r="C40" s="67" t="s">
        <v>4406</v>
      </c>
      <c r="D40" s="67" t="s">
        <v>4338</v>
      </c>
      <c r="E40" s="67" t="s">
        <v>4339</v>
      </c>
      <c r="F40" s="67" t="s">
        <v>4336</v>
      </c>
      <c r="G40" s="67">
        <f t="shared" si="0"/>
        <v>1</v>
      </c>
      <c r="H40" s="67" t="str">
        <f t="shared" si="1"/>
        <v>000355魏强</v>
      </c>
      <c r="I40" s="67" t="str">
        <f t="shared" si="2"/>
        <v>0044</v>
      </c>
    </row>
    <row r="41" spans="1:9" x14ac:dyDescent="0.15">
      <c r="A41" s="67" t="s">
        <v>85</v>
      </c>
      <c r="B41" s="67" t="s">
        <v>214</v>
      </c>
      <c r="C41" s="67" t="s">
        <v>4407</v>
      </c>
      <c r="D41" s="67" t="s">
        <v>4338</v>
      </c>
      <c r="E41" s="67" t="s">
        <v>4339</v>
      </c>
      <c r="F41" s="67" t="s">
        <v>4336</v>
      </c>
      <c r="G41" s="67">
        <f t="shared" si="0"/>
        <v>1</v>
      </c>
      <c r="H41" s="67" t="str">
        <f t="shared" si="1"/>
        <v>000329梁亮亮</v>
      </c>
      <c r="I41" s="67" t="str">
        <f t="shared" si="2"/>
        <v>0045</v>
      </c>
    </row>
    <row r="42" spans="1:9" x14ac:dyDescent="0.15">
      <c r="A42" s="67" t="s">
        <v>215</v>
      </c>
      <c r="B42" s="67" t="s">
        <v>216</v>
      </c>
      <c r="C42" s="67" t="s">
        <v>4408</v>
      </c>
      <c r="F42" s="67" t="s">
        <v>4409</v>
      </c>
      <c r="G42" s="67">
        <f t="shared" si="0"/>
        <v>1</v>
      </c>
      <c r="H42" s="67" t="str">
        <f t="shared" si="1"/>
        <v>000344唐兵强</v>
      </c>
      <c r="I42" s="67" t="str">
        <f t="shared" si="2"/>
        <v>0046</v>
      </c>
    </row>
    <row r="43" spans="1:9" x14ac:dyDescent="0.15">
      <c r="A43" s="67" t="s">
        <v>217</v>
      </c>
      <c r="B43" s="67" t="s">
        <v>218</v>
      </c>
      <c r="C43" s="67" t="s">
        <v>4410</v>
      </c>
      <c r="F43" s="67" t="s">
        <v>4409</v>
      </c>
      <c r="G43" s="67">
        <f t="shared" si="0"/>
        <v>1</v>
      </c>
      <c r="H43" s="67" t="str">
        <f t="shared" si="1"/>
        <v>000369张国瑞</v>
      </c>
      <c r="I43" s="67" t="str">
        <f t="shared" si="2"/>
        <v>0047</v>
      </c>
    </row>
    <row r="44" spans="1:9" x14ac:dyDescent="0.15">
      <c r="A44" s="67" t="s">
        <v>219</v>
      </c>
      <c r="B44" s="67" t="s">
        <v>220</v>
      </c>
      <c r="C44" s="67" t="s">
        <v>4411</v>
      </c>
      <c r="D44" s="67" t="s">
        <v>4412</v>
      </c>
      <c r="E44" s="67" t="s">
        <v>4413</v>
      </c>
      <c r="F44" s="67" t="s">
        <v>4336</v>
      </c>
      <c r="G44" s="67">
        <f t="shared" si="0"/>
        <v>1</v>
      </c>
      <c r="H44" s="67" t="str">
        <f t="shared" si="1"/>
        <v>000306陈明权</v>
      </c>
      <c r="I44" s="67" t="str">
        <f t="shared" si="2"/>
        <v>0048</v>
      </c>
    </row>
    <row r="45" spans="1:9" x14ac:dyDescent="0.15">
      <c r="A45" s="67" t="s">
        <v>221</v>
      </c>
      <c r="B45" s="67" t="s">
        <v>222</v>
      </c>
      <c r="C45" s="67" t="s">
        <v>4414</v>
      </c>
      <c r="D45" s="67" t="s">
        <v>4415</v>
      </c>
      <c r="E45" s="67" t="s">
        <v>4416</v>
      </c>
      <c r="F45" s="67" t="s">
        <v>4336</v>
      </c>
      <c r="G45" s="67">
        <f t="shared" si="0"/>
        <v>1</v>
      </c>
      <c r="H45" s="67" t="str">
        <f t="shared" si="1"/>
        <v>000365杨小伟</v>
      </c>
      <c r="I45" s="67" t="str">
        <f t="shared" si="2"/>
        <v>0049</v>
      </c>
    </row>
    <row r="46" spans="1:9" x14ac:dyDescent="0.15">
      <c r="A46" s="67" t="s">
        <v>4417</v>
      </c>
      <c r="B46" s="67" t="s">
        <v>4418</v>
      </c>
      <c r="C46" s="67" t="s">
        <v>4419</v>
      </c>
      <c r="D46" s="67" t="s">
        <v>4352</v>
      </c>
      <c r="E46" s="67" t="s">
        <v>4420</v>
      </c>
      <c r="F46" s="67" t="s">
        <v>4336</v>
      </c>
      <c r="G46" s="67">
        <f t="shared" si="0"/>
        <v>3</v>
      </c>
      <c r="H46" s="67" t="str">
        <f t="shared" si="1"/>
        <v>000524临时工5</v>
      </c>
      <c r="I46" s="67" t="str">
        <f t="shared" si="2"/>
        <v>005</v>
      </c>
    </row>
    <row r="47" spans="1:9" x14ac:dyDescent="0.15">
      <c r="A47" s="67" t="s">
        <v>4417</v>
      </c>
      <c r="B47" s="67" t="s">
        <v>4418</v>
      </c>
      <c r="C47" s="67" t="s">
        <v>4421</v>
      </c>
      <c r="D47" s="67" t="s">
        <v>4352</v>
      </c>
      <c r="E47" s="67" t="s">
        <v>4355</v>
      </c>
      <c r="F47" s="67" t="s">
        <v>4336</v>
      </c>
      <c r="G47" s="67">
        <f t="shared" si="0"/>
        <v>3</v>
      </c>
      <c r="H47" s="67" t="str">
        <f t="shared" si="1"/>
        <v>000530临时工5</v>
      </c>
      <c r="I47" s="67" t="str">
        <f t="shared" si="2"/>
        <v>005</v>
      </c>
    </row>
    <row r="48" spans="1:9" x14ac:dyDescent="0.15">
      <c r="A48" s="67" t="s">
        <v>4417</v>
      </c>
      <c r="B48" s="67" t="s">
        <v>4418</v>
      </c>
      <c r="C48" s="67" t="s">
        <v>4422</v>
      </c>
      <c r="D48" s="67" t="s">
        <v>4352</v>
      </c>
      <c r="E48" s="67" t="s">
        <v>4355</v>
      </c>
      <c r="F48" s="67" t="s">
        <v>4336</v>
      </c>
      <c r="G48" s="67">
        <f t="shared" si="0"/>
        <v>3</v>
      </c>
      <c r="H48" s="67" t="str">
        <f t="shared" si="1"/>
        <v>000709临时工5</v>
      </c>
      <c r="I48" s="67" t="str">
        <f t="shared" si="2"/>
        <v>005</v>
      </c>
    </row>
    <row r="49" spans="1:9" x14ac:dyDescent="0.15">
      <c r="A49" s="67" t="s">
        <v>225</v>
      </c>
      <c r="B49" s="67" t="s">
        <v>226</v>
      </c>
      <c r="C49" s="67" t="s">
        <v>4423</v>
      </c>
      <c r="D49" s="67" t="s">
        <v>4424</v>
      </c>
      <c r="E49" s="67" t="s">
        <v>4425</v>
      </c>
      <c r="F49" s="67" t="s">
        <v>4336</v>
      </c>
      <c r="G49" s="67">
        <f t="shared" si="0"/>
        <v>1</v>
      </c>
      <c r="H49" s="67" t="str">
        <f t="shared" si="1"/>
        <v>000002宋爱</v>
      </c>
      <c r="I49" s="67" t="str">
        <f t="shared" si="2"/>
        <v>0051</v>
      </c>
    </row>
    <row r="50" spans="1:9" x14ac:dyDescent="0.15">
      <c r="A50" s="67" t="s">
        <v>227</v>
      </c>
      <c r="B50" s="67" t="s">
        <v>228</v>
      </c>
      <c r="C50" s="67" t="s">
        <v>4426</v>
      </c>
      <c r="D50" s="67" t="s">
        <v>4427</v>
      </c>
      <c r="E50" s="67" t="s">
        <v>4428</v>
      </c>
      <c r="F50" s="67" t="s">
        <v>4336</v>
      </c>
      <c r="G50" s="67">
        <f t="shared" si="0"/>
        <v>1</v>
      </c>
      <c r="H50" s="67" t="str">
        <f t="shared" si="1"/>
        <v>000376张志航</v>
      </c>
      <c r="I50" s="67" t="str">
        <f t="shared" si="2"/>
        <v>0052</v>
      </c>
    </row>
    <row r="51" spans="1:9" x14ac:dyDescent="0.15">
      <c r="A51" s="67" t="s">
        <v>229</v>
      </c>
      <c r="B51" s="67" t="s">
        <v>230</v>
      </c>
      <c r="C51" s="67" t="s">
        <v>4429</v>
      </c>
      <c r="F51" s="67" t="s">
        <v>4409</v>
      </c>
      <c r="G51" s="67">
        <f t="shared" si="0"/>
        <v>1</v>
      </c>
      <c r="H51" s="67" t="str">
        <f t="shared" si="1"/>
        <v>000374张文锋</v>
      </c>
      <c r="I51" s="67" t="str">
        <f t="shared" si="2"/>
        <v>0053</v>
      </c>
    </row>
    <row r="52" spans="1:9" x14ac:dyDescent="0.15">
      <c r="A52" s="67" t="s">
        <v>231</v>
      </c>
      <c r="B52" s="67" t="s">
        <v>232</v>
      </c>
      <c r="C52" s="67" t="s">
        <v>4430</v>
      </c>
      <c r="F52" s="67" t="s">
        <v>4409</v>
      </c>
      <c r="G52" s="67">
        <f t="shared" si="0"/>
        <v>1</v>
      </c>
      <c r="H52" s="67" t="str">
        <f t="shared" si="1"/>
        <v>000307陈亭利</v>
      </c>
      <c r="I52" s="67" t="str">
        <f t="shared" si="2"/>
        <v>0054</v>
      </c>
    </row>
    <row r="53" spans="1:9" x14ac:dyDescent="0.15">
      <c r="A53" s="67" t="s">
        <v>235</v>
      </c>
      <c r="B53" s="67" t="s">
        <v>236</v>
      </c>
      <c r="C53" s="67" t="s">
        <v>4431</v>
      </c>
      <c r="D53" s="67" t="s">
        <v>4432</v>
      </c>
      <c r="E53" s="67" t="s">
        <v>4433</v>
      </c>
      <c r="F53" s="67" t="s">
        <v>4336</v>
      </c>
      <c r="G53" s="67">
        <f t="shared" si="0"/>
        <v>1</v>
      </c>
      <c r="H53" s="67" t="str">
        <f t="shared" si="1"/>
        <v>000379朱学林</v>
      </c>
      <c r="I53" s="67" t="str">
        <f t="shared" si="2"/>
        <v>0056</v>
      </c>
    </row>
    <row r="54" spans="1:9" x14ac:dyDescent="0.15">
      <c r="A54" s="67" t="s">
        <v>237</v>
      </c>
      <c r="B54" s="67" t="s">
        <v>238</v>
      </c>
      <c r="C54" s="67" t="s">
        <v>4434</v>
      </c>
      <c r="D54" s="67" t="s">
        <v>4338</v>
      </c>
      <c r="E54" s="67" t="s">
        <v>4339</v>
      </c>
      <c r="F54" s="67" t="s">
        <v>4336</v>
      </c>
      <c r="G54" s="67">
        <f t="shared" si="0"/>
        <v>1</v>
      </c>
      <c r="H54" s="67" t="str">
        <f t="shared" si="1"/>
        <v>000310杜韦</v>
      </c>
      <c r="I54" s="67" t="str">
        <f t="shared" si="2"/>
        <v>0057</v>
      </c>
    </row>
    <row r="55" spans="1:9" x14ac:dyDescent="0.15">
      <c r="A55" s="67" t="s">
        <v>239</v>
      </c>
      <c r="B55" s="67" t="s">
        <v>240</v>
      </c>
      <c r="C55" s="67" t="s">
        <v>4435</v>
      </c>
      <c r="F55" s="67" t="s">
        <v>4409</v>
      </c>
      <c r="G55" s="67">
        <f t="shared" si="0"/>
        <v>1</v>
      </c>
      <c r="H55" s="67" t="str">
        <f t="shared" si="1"/>
        <v>000328梁坚强</v>
      </c>
      <c r="I55" s="67" t="str">
        <f t="shared" si="2"/>
        <v>0058</v>
      </c>
    </row>
    <row r="56" spans="1:9" x14ac:dyDescent="0.15">
      <c r="A56" s="67" t="s">
        <v>241</v>
      </c>
      <c r="B56" s="67" t="s">
        <v>242</v>
      </c>
      <c r="C56" s="67" t="s">
        <v>4436</v>
      </c>
      <c r="F56" s="67" t="s">
        <v>4409</v>
      </c>
      <c r="G56" s="67">
        <f t="shared" si="0"/>
        <v>1</v>
      </c>
      <c r="H56" s="67" t="str">
        <f t="shared" si="1"/>
        <v>000045朱建龙</v>
      </c>
      <c r="I56" s="67" t="str">
        <f t="shared" si="2"/>
        <v>0059</v>
      </c>
    </row>
    <row r="57" spans="1:9" x14ac:dyDescent="0.15">
      <c r="A57" s="67" t="s">
        <v>4437</v>
      </c>
      <c r="B57" s="67" t="s">
        <v>4438</v>
      </c>
      <c r="C57" s="67" t="s">
        <v>4439</v>
      </c>
      <c r="D57" s="67" t="s">
        <v>4352</v>
      </c>
      <c r="E57" s="67" t="s">
        <v>4355</v>
      </c>
      <c r="F57" s="67" t="s">
        <v>4336</v>
      </c>
      <c r="G57" s="67">
        <f t="shared" si="0"/>
        <v>1</v>
      </c>
      <c r="H57" s="67" t="str">
        <f t="shared" si="1"/>
        <v>000531临时工6</v>
      </c>
      <c r="I57" s="67" t="str">
        <f t="shared" si="2"/>
        <v>006</v>
      </c>
    </row>
    <row r="58" spans="1:9" x14ac:dyDescent="0.15">
      <c r="A58" s="67" t="s">
        <v>243</v>
      </c>
      <c r="B58" s="67" t="s">
        <v>244</v>
      </c>
      <c r="C58" s="67" t="s">
        <v>4440</v>
      </c>
      <c r="F58" s="67" t="s">
        <v>4409</v>
      </c>
      <c r="G58" s="67">
        <f t="shared" si="0"/>
        <v>1</v>
      </c>
      <c r="H58" s="67" t="str">
        <f t="shared" si="1"/>
        <v>000043戴建元</v>
      </c>
      <c r="I58" s="67" t="str">
        <f t="shared" si="2"/>
        <v>0060</v>
      </c>
    </row>
    <row r="59" spans="1:9" x14ac:dyDescent="0.15">
      <c r="A59" s="67" t="s">
        <v>248</v>
      </c>
      <c r="B59" s="67" t="s">
        <v>249</v>
      </c>
      <c r="C59" s="67" t="s">
        <v>4441</v>
      </c>
      <c r="F59" s="67" t="s">
        <v>4409</v>
      </c>
      <c r="G59" s="67">
        <f t="shared" si="0"/>
        <v>1</v>
      </c>
      <c r="H59" s="67" t="str">
        <f t="shared" si="1"/>
        <v>000372张家乐</v>
      </c>
      <c r="I59" s="67" t="str">
        <f t="shared" si="2"/>
        <v>0062</v>
      </c>
    </row>
    <row r="60" spans="1:9" x14ac:dyDescent="0.15">
      <c r="A60" s="67" t="s">
        <v>74</v>
      </c>
      <c r="B60" s="67" t="s">
        <v>252</v>
      </c>
      <c r="C60" s="67" t="s">
        <v>4442</v>
      </c>
      <c r="D60" s="67" t="s">
        <v>4424</v>
      </c>
      <c r="E60" s="67" t="s">
        <v>4425</v>
      </c>
      <c r="F60" s="67" t="s">
        <v>4336</v>
      </c>
      <c r="G60" s="67">
        <f t="shared" si="0"/>
        <v>1</v>
      </c>
      <c r="H60" s="67" t="str">
        <f t="shared" si="1"/>
        <v>000003吴先乾</v>
      </c>
      <c r="I60" s="67" t="str">
        <f t="shared" si="2"/>
        <v>0064</v>
      </c>
    </row>
    <row r="61" spans="1:9" x14ac:dyDescent="0.15">
      <c r="A61" s="67" t="s">
        <v>259</v>
      </c>
      <c r="B61" s="67" t="s">
        <v>260</v>
      </c>
      <c r="C61" s="67" t="s">
        <v>4443</v>
      </c>
      <c r="D61" s="67" t="s">
        <v>4444</v>
      </c>
      <c r="E61" s="67" t="s">
        <v>4445</v>
      </c>
      <c r="F61" s="67" t="s">
        <v>4336</v>
      </c>
      <c r="G61" s="67">
        <f t="shared" si="0"/>
        <v>1</v>
      </c>
      <c r="H61" s="67" t="str">
        <f t="shared" si="1"/>
        <v>000332刘林通</v>
      </c>
      <c r="I61" s="67" t="str">
        <f t="shared" si="2"/>
        <v>0068</v>
      </c>
    </row>
    <row r="62" spans="1:9" x14ac:dyDescent="0.15">
      <c r="A62" s="67" t="s">
        <v>78</v>
      </c>
      <c r="B62" s="67" t="s">
        <v>261</v>
      </c>
      <c r="C62" s="67" t="s">
        <v>4446</v>
      </c>
      <c r="F62" s="67" t="s">
        <v>4409</v>
      </c>
      <c r="G62" s="67">
        <f t="shared" si="0"/>
        <v>1</v>
      </c>
      <c r="H62" s="67" t="str">
        <f t="shared" si="1"/>
        <v>000368游文杰</v>
      </c>
      <c r="I62" s="67" t="str">
        <f t="shared" si="2"/>
        <v>0069</v>
      </c>
    </row>
    <row r="63" spans="1:9" x14ac:dyDescent="0.15">
      <c r="A63" s="67" t="s">
        <v>4447</v>
      </c>
      <c r="B63" s="67" t="s">
        <v>4448</v>
      </c>
      <c r="C63" s="67" t="s">
        <v>4449</v>
      </c>
      <c r="D63" s="67" t="s">
        <v>4352</v>
      </c>
      <c r="E63" s="67" t="s">
        <v>4355</v>
      </c>
      <c r="F63" s="67" t="s">
        <v>4336</v>
      </c>
      <c r="G63" s="67">
        <f t="shared" si="0"/>
        <v>1</v>
      </c>
      <c r="H63" s="67" t="str">
        <f t="shared" si="1"/>
        <v>000532临时工7</v>
      </c>
      <c r="I63" s="67" t="str">
        <f t="shared" si="2"/>
        <v>007</v>
      </c>
    </row>
    <row r="64" spans="1:9" x14ac:dyDescent="0.15">
      <c r="A64" s="67" t="s">
        <v>262</v>
      </c>
      <c r="B64" s="67" t="s">
        <v>263</v>
      </c>
      <c r="C64" s="67" t="s">
        <v>4450</v>
      </c>
      <c r="F64" s="67" t="s">
        <v>4409</v>
      </c>
      <c r="G64" s="67">
        <f t="shared" si="0"/>
        <v>1</v>
      </c>
      <c r="H64" s="67" t="str">
        <f t="shared" si="1"/>
        <v>000382邹平</v>
      </c>
      <c r="I64" s="67" t="str">
        <f t="shared" si="2"/>
        <v>0070</v>
      </c>
    </row>
    <row r="65" spans="1:9" x14ac:dyDescent="0.15">
      <c r="A65" s="67" t="s">
        <v>264</v>
      </c>
      <c r="B65" s="67" t="s">
        <v>265</v>
      </c>
      <c r="C65" s="67" t="s">
        <v>4451</v>
      </c>
      <c r="D65" s="67" t="s">
        <v>4452</v>
      </c>
      <c r="E65" s="67" t="s">
        <v>4453</v>
      </c>
      <c r="F65" s="67" t="s">
        <v>4336</v>
      </c>
      <c r="G65" s="67">
        <f t="shared" si="0"/>
        <v>2</v>
      </c>
      <c r="H65" s="67" t="str">
        <f t="shared" si="1"/>
        <v>000562黄仕芳</v>
      </c>
      <c r="I65" s="67" t="str">
        <f t="shared" si="2"/>
        <v>0071</v>
      </c>
    </row>
    <row r="66" spans="1:9" x14ac:dyDescent="0.15">
      <c r="A66" s="67" t="s">
        <v>264</v>
      </c>
      <c r="B66" s="67" t="s">
        <v>265</v>
      </c>
      <c r="C66" s="67" t="s">
        <v>4454</v>
      </c>
      <c r="D66" s="67" t="s">
        <v>4452</v>
      </c>
      <c r="E66" s="67" t="s">
        <v>4453</v>
      </c>
      <c r="F66" s="67" t="s">
        <v>4336</v>
      </c>
      <c r="G66" s="67">
        <f t="shared" si="0"/>
        <v>2</v>
      </c>
      <c r="H66" s="67" t="str">
        <f t="shared" si="1"/>
        <v>000765黄仕芳</v>
      </c>
      <c r="I66" s="67" t="str">
        <f t="shared" si="2"/>
        <v>0071</v>
      </c>
    </row>
    <row r="67" spans="1:9" x14ac:dyDescent="0.15">
      <c r="A67" s="67" t="s">
        <v>266</v>
      </c>
      <c r="B67" s="67" t="s">
        <v>267</v>
      </c>
      <c r="C67" s="67" t="s">
        <v>4455</v>
      </c>
      <c r="D67" s="67" t="s">
        <v>4343</v>
      </c>
      <c r="E67" s="67" t="s">
        <v>4344</v>
      </c>
      <c r="F67" s="67" t="s">
        <v>4336</v>
      </c>
      <c r="G67" s="67">
        <f t="shared" ref="G67:G130" si="3">COUNTIFS(B:B,B67)</f>
        <v>2</v>
      </c>
      <c r="H67" s="67" t="str">
        <f t="shared" ref="H67:H130" si="4">C67&amp;B67</f>
        <v>000390殷中伟</v>
      </c>
      <c r="I67" s="67" t="str">
        <f t="shared" ref="I67:I130" si="5">A67</f>
        <v>0072</v>
      </c>
    </row>
    <row r="68" spans="1:9" x14ac:dyDescent="0.15">
      <c r="A68" s="67" t="s">
        <v>266</v>
      </c>
      <c r="B68" s="67" t="s">
        <v>267</v>
      </c>
      <c r="C68" s="67" t="s">
        <v>4456</v>
      </c>
      <c r="F68" s="67" t="s">
        <v>4409</v>
      </c>
      <c r="G68" s="67">
        <f t="shared" si="3"/>
        <v>2</v>
      </c>
      <c r="H68" s="67" t="str">
        <f t="shared" si="4"/>
        <v>000042殷中伟</v>
      </c>
      <c r="I68" s="67" t="str">
        <f t="shared" si="5"/>
        <v>0072</v>
      </c>
    </row>
    <row r="69" spans="1:9" x14ac:dyDescent="0.15">
      <c r="A69" s="67" t="s">
        <v>269</v>
      </c>
      <c r="B69" s="67" t="s">
        <v>270</v>
      </c>
      <c r="C69" s="67" t="s">
        <v>4457</v>
      </c>
      <c r="D69" s="67" t="s">
        <v>4343</v>
      </c>
      <c r="E69" s="67" t="s">
        <v>4344</v>
      </c>
      <c r="F69" s="67" t="s">
        <v>4336</v>
      </c>
      <c r="G69" s="67">
        <f t="shared" si="3"/>
        <v>1</v>
      </c>
      <c r="H69" s="67" t="str">
        <f t="shared" si="4"/>
        <v>000205韩卫星</v>
      </c>
      <c r="I69" s="67" t="str">
        <f t="shared" si="5"/>
        <v>0073</v>
      </c>
    </row>
    <row r="70" spans="1:9" x14ac:dyDescent="0.15">
      <c r="A70" s="67" t="s">
        <v>271</v>
      </c>
      <c r="B70" s="67" t="s">
        <v>272</v>
      </c>
      <c r="C70" s="67" t="s">
        <v>4458</v>
      </c>
      <c r="D70" s="67" t="s">
        <v>4343</v>
      </c>
      <c r="E70" s="67" t="s">
        <v>4344</v>
      </c>
      <c r="F70" s="67" t="s">
        <v>4336</v>
      </c>
      <c r="G70" s="67">
        <f t="shared" si="3"/>
        <v>1</v>
      </c>
      <c r="H70" s="67" t="str">
        <f t="shared" si="4"/>
        <v>000047于长辉</v>
      </c>
      <c r="I70" s="67" t="str">
        <f t="shared" si="5"/>
        <v>0074</v>
      </c>
    </row>
    <row r="71" spans="1:9" x14ac:dyDescent="0.15">
      <c r="A71" s="67" t="s">
        <v>273</v>
      </c>
      <c r="B71" s="67" t="s">
        <v>274</v>
      </c>
      <c r="C71" s="67" t="s">
        <v>4459</v>
      </c>
      <c r="D71" s="67" t="s">
        <v>4343</v>
      </c>
      <c r="E71" s="67" t="s">
        <v>4344</v>
      </c>
      <c r="F71" s="67" t="s">
        <v>4336</v>
      </c>
      <c r="G71" s="67">
        <f t="shared" si="3"/>
        <v>1</v>
      </c>
      <c r="H71" s="67" t="str">
        <f t="shared" si="4"/>
        <v>000046楼学民</v>
      </c>
      <c r="I71" s="67" t="str">
        <f t="shared" si="5"/>
        <v>0075</v>
      </c>
    </row>
    <row r="72" spans="1:9" x14ac:dyDescent="0.15">
      <c r="A72" s="67" t="s">
        <v>275</v>
      </c>
      <c r="B72" s="67" t="s">
        <v>276</v>
      </c>
      <c r="C72" s="67" t="s">
        <v>4460</v>
      </c>
      <c r="D72" s="67" t="s">
        <v>4424</v>
      </c>
      <c r="E72" s="67" t="s">
        <v>4425</v>
      </c>
      <c r="F72" s="67" t="s">
        <v>4336</v>
      </c>
      <c r="G72" s="67">
        <f t="shared" si="3"/>
        <v>1</v>
      </c>
      <c r="H72" s="67" t="str">
        <f t="shared" si="4"/>
        <v>000303文刚</v>
      </c>
      <c r="I72" s="67" t="str">
        <f t="shared" si="5"/>
        <v>0076</v>
      </c>
    </row>
    <row r="73" spans="1:9" x14ac:dyDescent="0.15">
      <c r="A73" s="67" t="s">
        <v>280</v>
      </c>
      <c r="B73" s="67" t="s">
        <v>281</v>
      </c>
      <c r="C73" s="67" t="s">
        <v>4461</v>
      </c>
      <c r="D73" s="67" t="s">
        <v>4462</v>
      </c>
      <c r="E73" s="67" t="s">
        <v>4463</v>
      </c>
      <c r="F73" s="67" t="s">
        <v>4336</v>
      </c>
      <c r="G73" s="67">
        <f t="shared" si="3"/>
        <v>1</v>
      </c>
      <c r="H73" s="67" t="str">
        <f t="shared" si="4"/>
        <v>000559黄仕武</v>
      </c>
      <c r="I73" s="67" t="str">
        <f t="shared" si="5"/>
        <v>0078</v>
      </c>
    </row>
    <row r="74" spans="1:9" x14ac:dyDescent="0.15">
      <c r="A74" s="67" t="s">
        <v>282</v>
      </c>
      <c r="B74" s="67" t="s">
        <v>283</v>
      </c>
      <c r="C74" s="67" t="s">
        <v>4464</v>
      </c>
      <c r="D74" s="67" t="s">
        <v>4424</v>
      </c>
      <c r="E74" s="67" t="s">
        <v>4425</v>
      </c>
      <c r="F74" s="67" t="s">
        <v>4336</v>
      </c>
      <c r="G74" s="67">
        <f t="shared" si="3"/>
        <v>1</v>
      </c>
      <c r="H74" s="67" t="str">
        <f t="shared" si="4"/>
        <v>000299刘国伦</v>
      </c>
      <c r="I74" s="67" t="str">
        <f t="shared" si="5"/>
        <v>0079</v>
      </c>
    </row>
    <row r="75" spans="1:9" x14ac:dyDescent="0.15">
      <c r="A75" s="67" t="s">
        <v>4465</v>
      </c>
      <c r="B75" s="67" t="s">
        <v>4466</v>
      </c>
      <c r="C75" s="67" t="s">
        <v>4467</v>
      </c>
      <c r="D75" s="67" t="s">
        <v>4352</v>
      </c>
      <c r="E75" s="67" t="s">
        <v>4355</v>
      </c>
      <c r="F75" s="67" t="s">
        <v>4336</v>
      </c>
      <c r="G75" s="67">
        <f t="shared" si="3"/>
        <v>1</v>
      </c>
      <c r="H75" s="67" t="str">
        <f t="shared" si="4"/>
        <v>000533临时工8</v>
      </c>
      <c r="I75" s="67" t="str">
        <f t="shared" si="5"/>
        <v>008</v>
      </c>
    </row>
    <row r="76" spans="1:9" x14ac:dyDescent="0.15">
      <c r="A76" s="67" t="s">
        <v>284</v>
      </c>
      <c r="B76" s="67" t="s">
        <v>285</v>
      </c>
      <c r="C76" s="67" t="s">
        <v>4468</v>
      </c>
      <c r="D76" s="67" t="s">
        <v>4343</v>
      </c>
      <c r="E76" s="67" t="s">
        <v>4344</v>
      </c>
      <c r="F76" s="67" t="s">
        <v>4336</v>
      </c>
      <c r="G76" s="67">
        <f t="shared" si="3"/>
        <v>2</v>
      </c>
      <c r="H76" s="67" t="str">
        <f t="shared" si="4"/>
        <v>000232张勇</v>
      </c>
      <c r="I76" s="67" t="str">
        <f t="shared" si="5"/>
        <v>0080</v>
      </c>
    </row>
    <row r="77" spans="1:9" x14ac:dyDescent="0.15">
      <c r="A77" s="67" t="s">
        <v>286</v>
      </c>
      <c r="B77" s="67" t="s">
        <v>287</v>
      </c>
      <c r="C77" s="67" t="s">
        <v>4469</v>
      </c>
      <c r="D77" s="67" t="s">
        <v>4470</v>
      </c>
      <c r="E77" s="67" t="s">
        <v>4471</v>
      </c>
      <c r="F77" s="67" t="s">
        <v>4336</v>
      </c>
      <c r="G77" s="67">
        <f t="shared" si="3"/>
        <v>1</v>
      </c>
      <c r="H77" s="67" t="str">
        <f t="shared" si="4"/>
        <v>000228叶建民</v>
      </c>
      <c r="I77" s="67" t="str">
        <f t="shared" si="5"/>
        <v>0081</v>
      </c>
    </row>
    <row r="78" spans="1:9" x14ac:dyDescent="0.15">
      <c r="A78" s="67" t="s">
        <v>288</v>
      </c>
      <c r="B78" s="67" t="s">
        <v>289</v>
      </c>
      <c r="C78" s="67" t="s">
        <v>4472</v>
      </c>
      <c r="D78" s="67" t="s">
        <v>4473</v>
      </c>
      <c r="E78" s="67" t="s">
        <v>4474</v>
      </c>
      <c r="F78" s="67" t="s">
        <v>4336</v>
      </c>
      <c r="G78" s="67">
        <f t="shared" si="3"/>
        <v>2</v>
      </c>
      <c r="H78" s="67" t="str">
        <f t="shared" si="4"/>
        <v>000213韩伟峰</v>
      </c>
      <c r="I78" s="67" t="str">
        <f t="shared" si="5"/>
        <v>0082</v>
      </c>
    </row>
    <row r="79" spans="1:9" x14ac:dyDescent="0.15">
      <c r="A79" s="67" t="s">
        <v>288</v>
      </c>
      <c r="B79" s="67" t="s">
        <v>289</v>
      </c>
      <c r="C79" s="67" t="s">
        <v>4475</v>
      </c>
      <c r="D79" s="67" t="s">
        <v>4473</v>
      </c>
      <c r="E79" s="67" t="s">
        <v>4474</v>
      </c>
      <c r="F79" s="67" t="s">
        <v>4336</v>
      </c>
      <c r="G79" s="67">
        <f t="shared" si="3"/>
        <v>2</v>
      </c>
      <c r="H79" s="67" t="str">
        <f t="shared" si="4"/>
        <v>000519韩伟峰</v>
      </c>
      <c r="I79" s="67" t="str">
        <f t="shared" si="5"/>
        <v>0082</v>
      </c>
    </row>
    <row r="80" spans="1:9" x14ac:dyDescent="0.15">
      <c r="A80" s="67" t="s">
        <v>290</v>
      </c>
      <c r="B80" s="67" t="s">
        <v>291</v>
      </c>
      <c r="C80" s="67" t="s">
        <v>4476</v>
      </c>
      <c r="F80" s="67" t="s">
        <v>4409</v>
      </c>
      <c r="G80" s="67">
        <f t="shared" si="3"/>
        <v>1</v>
      </c>
      <c r="H80" s="67" t="str">
        <f t="shared" si="4"/>
        <v>000208陈红鲁</v>
      </c>
      <c r="I80" s="67" t="str">
        <f t="shared" si="5"/>
        <v>0083</v>
      </c>
    </row>
    <row r="81" spans="1:9" x14ac:dyDescent="0.15">
      <c r="A81" s="67" t="s">
        <v>292</v>
      </c>
      <c r="B81" s="67" t="s">
        <v>293</v>
      </c>
      <c r="C81" s="67" t="s">
        <v>4477</v>
      </c>
      <c r="F81" s="67" t="s">
        <v>4409</v>
      </c>
      <c r="G81" s="67">
        <f t="shared" si="3"/>
        <v>1</v>
      </c>
      <c r="H81" s="67" t="str">
        <f t="shared" si="4"/>
        <v>000230张道富</v>
      </c>
      <c r="I81" s="67" t="str">
        <f t="shared" si="5"/>
        <v>0084</v>
      </c>
    </row>
    <row r="82" spans="1:9" x14ac:dyDescent="0.15">
      <c r="A82" s="67" t="s">
        <v>295</v>
      </c>
      <c r="B82" s="67" t="s">
        <v>296</v>
      </c>
      <c r="C82" s="67" t="s">
        <v>4478</v>
      </c>
      <c r="D82" s="67" t="s">
        <v>4343</v>
      </c>
      <c r="E82" s="67" t="s">
        <v>4344</v>
      </c>
      <c r="F82" s="67" t="s">
        <v>4336</v>
      </c>
      <c r="G82" s="67">
        <f t="shared" si="3"/>
        <v>1</v>
      </c>
      <c r="H82" s="67" t="str">
        <f t="shared" si="4"/>
        <v>000394叶伟伟</v>
      </c>
      <c r="I82" s="67" t="str">
        <f t="shared" si="5"/>
        <v>0086</v>
      </c>
    </row>
    <row r="83" spans="1:9" x14ac:dyDescent="0.15">
      <c r="A83" s="67" t="s">
        <v>299</v>
      </c>
      <c r="B83" s="67" t="s">
        <v>300</v>
      </c>
      <c r="C83" s="67" t="s">
        <v>4479</v>
      </c>
      <c r="D83" s="67" t="s">
        <v>4343</v>
      </c>
      <c r="E83" s="67" t="s">
        <v>4344</v>
      </c>
      <c r="F83" s="67" t="s">
        <v>4336</v>
      </c>
      <c r="G83" s="67">
        <f t="shared" si="3"/>
        <v>1</v>
      </c>
      <c r="H83" s="67" t="str">
        <f t="shared" si="4"/>
        <v>000214何耀彩</v>
      </c>
      <c r="I83" s="67" t="str">
        <f t="shared" si="5"/>
        <v>0088</v>
      </c>
    </row>
    <row r="84" spans="1:9" x14ac:dyDescent="0.15">
      <c r="A84" s="67" t="s">
        <v>301</v>
      </c>
      <c r="B84" s="67" t="s">
        <v>302</v>
      </c>
      <c r="C84" s="67" t="s">
        <v>4480</v>
      </c>
      <c r="D84" s="67" t="s">
        <v>4343</v>
      </c>
      <c r="E84" s="67" t="s">
        <v>4344</v>
      </c>
      <c r="F84" s="67" t="s">
        <v>4336</v>
      </c>
      <c r="G84" s="67">
        <f t="shared" si="3"/>
        <v>2</v>
      </c>
      <c r="H84" s="67" t="str">
        <f t="shared" si="4"/>
        <v>000207曹玉清</v>
      </c>
      <c r="I84" s="67" t="str">
        <f t="shared" si="5"/>
        <v>0089</v>
      </c>
    </row>
    <row r="85" spans="1:9" x14ac:dyDescent="0.15">
      <c r="A85" s="67" t="s">
        <v>301</v>
      </c>
      <c r="B85" s="67" t="s">
        <v>302</v>
      </c>
      <c r="C85" s="67" t="s">
        <v>4481</v>
      </c>
      <c r="D85" s="67" t="s">
        <v>4343</v>
      </c>
      <c r="E85" s="67" t="s">
        <v>4344</v>
      </c>
      <c r="F85" s="67" t="s">
        <v>4336</v>
      </c>
      <c r="G85" s="67">
        <f t="shared" si="3"/>
        <v>2</v>
      </c>
      <c r="H85" s="67" t="str">
        <f t="shared" si="4"/>
        <v>000824曹玉清</v>
      </c>
      <c r="I85" s="67" t="str">
        <f t="shared" si="5"/>
        <v>0089</v>
      </c>
    </row>
    <row r="86" spans="1:9" x14ac:dyDescent="0.15">
      <c r="A86" s="67" t="s">
        <v>4482</v>
      </c>
      <c r="B86" s="67" t="s">
        <v>4483</v>
      </c>
      <c r="C86" s="67" t="s">
        <v>4484</v>
      </c>
      <c r="D86" s="67" t="s">
        <v>4352</v>
      </c>
      <c r="E86" s="67" t="s">
        <v>4355</v>
      </c>
      <c r="F86" s="67" t="s">
        <v>4336</v>
      </c>
      <c r="G86" s="67">
        <f t="shared" si="3"/>
        <v>1</v>
      </c>
      <c r="H86" s="67" t="str">
        <f t="shared" si="4"/>
        <v>000534临时工9</v>
      </c>
      <c r="I86" s="67" t="str">
        <f t="shared" si="5"/>
        <v>009</v>
      </c>
    </row>
    <row r="87" spans="1:9" x14ac:dyDescent="0.15">
      <c r="A87" s="67" t="s">
        <v>303</v>
      </c>
      <c r="B87" s="67" t="s">
        <v>304</v>
      </c>
      <c r="C87" s="67" t="s">
        <v>4485</v>
      </c>
      <c r="D87" s="67" t="s">
        <v>4343</v>
      </c>
      <c r="E87" s="67" t="s">
        <v>4344</v>
      </c>
      <c r="F87" s="67" t="s">
        <v>4336</v>
      </c>
      <c r="G87" s="67">
        <f t="shared" si="3"/>
        <v>1</v>
      </c>
      <c r="H87" s="67" t="str">
        <f t="shared" si="4"/>
        <v>000223秦卫珊</v>
      </c>
      <c r="I87" s="67" t="str">
        <f t="shared" si="5"/>
        <v>0090</v>
      </c>
    </row>
    <row r="88" spans="1:9" x14ac:dyDescent="0.15">
      <c r="A88" s="67" t="s">
        <v>305</v>
      </c>
      <c r="B88" s="67" t="s">
        <v>306</v>
      </c>
      <c r="C88" s="67" t="s">
        <v>4486</v>
      </c>
      <c r="D88" s="67" t="s">
        <v>4343</v>
      </c>
      <c r="E88" s="67" t="s">
        <v>4344</v>
      </c>
      <c r="F88" s="67" t="s">
        <v>4336</v>
      </c>
      <c r="G88" s="67">
        <f t="shared" si="3"/>
        <v>1</v>
      </c>
      <c r="H88" s="67" t="str">
        <f t="shared" si="4"/>
        <v>000211高汉东</v>
      </c>
      <c r="I88" s="67" t="str">
        <f t="shared" si="5"/>
        <v>0091</v>
      </c>
    </row>
    <row r="89" spans="1:9" x14ac:dyDescent="0.15">
      <c r="A89" s="67" t="s">
        <v>307</v>
      </c>
      <c r="B89" s="67" t="s">
        <v>308</v>
      </c>
      <c r="C89" s="67" t="s">
        <v>4487</v>
      </c>
      <c r="F89" s="67" t="s">
        <v>4409</v>
      </c>
      <c r="G89" s="67">
        <f t="shared" si="3"/>
        <v>1</v>
      </c>
      <c r="H89" s="67" t="str">
        <f t="shared" si="4"/>
        <v>000216胡支新</v>
      </c>
      <c r="I89" s="67" t="str">
        <f t="shared" si="5"/>
        <v>0092</v>
      </c>
    </row>
    <row r="90" spans="1:9" x14ac:dyDescent="0.15">
      <c r="A90" s="67" t="s">
        <v>309</v>
      </c>
      <c r="B90" s="67" t="s">
        <v>310</v>
      </c>
      <c r="C90" s="67" t="s">
        <v>4488</v>
      </c>
      <c r="D90" s="67" t="s">
        <v>4489</v>
      </c>
      <c r="E90" s="67" t="s">
        <v>4490</v>
      </c>
      <c r="F90" s="67" t="s">
        <v>4336</v>
      </c>
      <c r="G90" s="67">
        <f t="shared" si="3"/>
        <v>1</v>
      </c>
      <c r="H90" s="67" t="str">
        <f t="shared" si="4"/>
        <v>000231张永远</v>
      </c>
      <c r="I90" s="67" t="str">
        <f t="shared" si="5"/>
        <v>0093</v>
      </c>
    </row>
    <row r="91" spans="1:9" x14ac:dyDescent="0.15">
      <c r="A91" s="67" t="s">
        <v>311</v>
      </c>
      <c r="B91" s="67" t="s">
        <v>312</v>
      </c>
      <c r="C91" s="67" t="s">
        <v>4491</v>
      </c>
      <c r="D91" s="67" t="s">
        <v>4357</v>
      </c>
      <c r="E91" s="67" t="s">
        <v>4358</v>
      </c>
      <c r="F91" s="67" t="s">
        <v>4336</v>
      </c>
      <c r="G91" s="67">
        <f t="shared" si="3"/>
        <v>1</v>
      </c>
      <c r="H91" s="67" t="str">
        <f t="shared" si="4"/>
        <v>000298黄仕斌</v>
      </c>
      <c r="I91" s="67" t="str">
        <f t="shared" si="5"/>
        <v>0094</v>
      </c>
    </row>
    <row r="92" spans="1:9" x14ac:dyDescent="0.15">
      <c r="A92" s="67" t="s">
        <v>313</v>
      </c>
      <c r="B92" s="67" t="s">
        <v>314</v>
      </c>
      <c r="C92" s="67" t="s">
        <v>4492</v>
      </c>
      <c r="D92" s="67" t="s">
        <v>4343</v>
      </c>
      <c r="E92" s="67" t="s">
        <v>4493</v>
      </c>
      <c r="F92" s="67" t="s">
        <v>4336</v>
      </c>
      <c r="G92" s="67">
        <f t="shared" si="3"/>
        <v>1</v>
      </c>
      <c r="H92" s="67" t="str">
        <f t="shared" si="4"/>
        <v>000226陶刚路</v>
      </c>
      <c r="I92" s="67" t="str">
        <f t="shared" si="5"/>
        <v>0095</v>
      </c>
    </row>
    <row r="93" spans="1:9" x14ac:dyDescent="0.15">
      <c r="A93" s="67" t="s">
        <v>315</v>
      </c>
      <c r="B93" s="67" t="s">
        <v>316</v>
      </c>
      <c r="C93" s="67" t="s">
        <v>4494</v>
      </c>
      <c r="D93" s="67" t="s">
        <v>4495</v>
      </c>
      <c r="E93" s="67" t="s">
        <v>4496</v>
      </c>
      <c r="F93" s="67" t="s">
        <v>4336</v>
      </c>
      <c r="G93" s="67">
        <f t="shared" si="3"/>
        <v>1</v>
      </c>
      <c r="H93" s="67" t="str">
        <f t="shared" si="4"/>
        <v>000251孙智文</v>
      </c>
      <c r="I93" s="67" t="str">
        <f t="shared" si="5"/>
        <v>0096</v>
      </c>
    </row>
    <row r="94" spans="1:9" x14ac:dyDescent="0.15">
      <c r="A94" s="67" t="s">
        <v>66</v>
      </c>
      <c r="B94" s="67" t="s">
        <v>317</v>
      </c>
      <c r="C94" s="67" t="s">
        <v>4497</v>
      </c>
      <c r="D94" s="67" t="s">
        <v>4432</v>
      </c>
      <c r="E94" s="67" t="s">
        <v>4433</v>
      </c>
      <c r="F94" s="67" t="s">
        <v>4336</v>
      </c>
      <c r="G94" s="67">
        <f t="shared" si="3"/>
        <v>2</v>
      </c>
      <c r="H94" s="67" t="str">
        <f t="shared" si="4"/>
        <v>000247吕波</v>
      </c>
      <c r="I94" s="67" t="str">
        <f t="shared" si="5"/>
        <v>0097</v>
      </c>
    </row>
    <row r="95" spans="1:9" x14ac:dyDescent="0.15">
      <c r="A95" s="67" t="s">
        <v>66</v>
      </c>
      <c r="B95" s="67" t="s">
        <v>317</v>
      </c>
      <c r="C95" s="67" t="s">
        <v>4498</v>
      </c>
      <c r="D95" s="67" t="s">
        <v>4432</v>
      </c>
      <c r="E95" s="67" t="s">
        <v>4433</v>
      </c>
      <c r="F95" s="67" t="s">
        <v>4336</v>
      </c>
      <c r="G95" s="67">
        <f t="shared" si="3"/>
        <v>2</v>
      </c>
      <c r="H95" s="67" t="str">
        <f t="shared" si="4"/>
        <v>000781吕波</v>
      </c>
      <c r="I95" s="67" t="str">
        <f t="shared" si="5"/>
        <v>0097</v>
      </c>
    </row>
    <row r="96" spans="1:9" x14ac:dyDescent="0.15">
      <c r="A96" s="67" t="s">
        <v>318</v>
      </c>
      <c r="B96" s="67" t="s">
        <v>319</v>
      </c>
      <c r="C96" s="67" t="s">
        <v>4499</v>
      </c>
      <c r="D96" s="67" t="s">
        <v>4343</v>
      </c>
      <c r="E96" s="67" t="s">
        <v>4344</v>
      </c>
      <c r="F96" s="67" t="s">
        <v>4336</v>
      </c>
      <c r="G96" s="67">
        <f t="shared" si="3"/>
        <v>1</v>
      </c>
      <c r="H96" s="67" t="str">
        <f t="shared" si="4"/>
        <v>000246李宗泽</v>
      </c>
      <c r="I96" s="67" t="str">
        <f t="shared" si="5"/>
        <v>0098</v>
      </c>
    </row>
    <row r="97" spans="1:9" x14ac:dyDescent="0.15">
      <c r="A97" s="67" t="s">
        <v>4500</v>
      </c>
      <c r="B97" s="67" t="s">
        <v>4501</v>
      </c>
      <c r="C97" s="67" t="s">
        <v>4502</v>
      </c>
      <c r="D97" s="67" t="s">
        <v>4403</v>
      </c>
      <c r="E97" s="67" t="s">
        <v>4404</v>
      </c>
      <c r="F97" s="67" t="s">
        <v>4336</v>
      </c>
      <c r="G97" s="67">
        <f t="shared" si="3"/>
        <v>1</v>
      </c>
      <c r="H97" s="67" t="str">
        <f t="shared" si="4"/>
        <v>000536临时工10</v>
      </c>
      <c r="I97" s="67" t="str">
        <f t="shared" si="5"/>
        <v>010</v>
      </c>
    </row>
    <row r="98" spans="1:9" x14ac:dyDescent="0.15">
      <c r="A98" s="67" t="s">
        <v>322</v>
      </c>
      <c r="B98" s="67" t="s">
        <v>323</v>
      </c>
      <c r="C98" s="67" t="s">
        <v>4503</v>
      </c>
      <c r="D98" s="67" t="s">
        <v>4343</v>
      </c>
      <c r="E98" s="67" t="s">
        <v>4344</v>
      </c>
      <c r="F98" s="67" t="s">
        <v>4336</v>
      </c>
      <c r="G98" s="67">
        <f t="shared" si="3"/>
        <v>1</v>
      </c>
      <c r="H98" s="67" t="str">
        <f t="shared" si="4"/>
        <v>000244柯昌艳</v>
      </c>
      <c r="I98" s="67" t="str">
        <f t="shared" si="5"/>
        <v>0100</v>
      </c>
    </row>
    <row r="99" spans="1:9" x14ac:dyDescent="0.15">
      <c r="A99" s="67" t="s">
        <v>324</v>
      </c>
      <c r="B99" s="67" t="s">
        <v>325</v>
      </c>
      <c r="C99" s="67" t="s">
        <v>4504</v>
      </c>
      <c r="D99" s="67" t="s">
        <v>4343</v>
      </c>
      <c r="E99" s="67" t="s">
        <v>4505</v>
      </c>
      <c r="F99" s="67" t="s">
        <v>4336</v>
      </c>
      <c r="G99" s="67">
        <f t="shared" si="3"/>
        <v>1</v>
      </c>
      <c r="H99" s="67" t="str">
        <f t="shared" si="4"/>
        <v>000256殷惠娟</v>
      </c>
      <c r="I99" s="67" t="str">
        <f t="shared" si="5"/>
        <v>0101</v>
      </c>
    </row>
    <row r="100" spans="1:9" x14ac:dyDescent="0.15">
      <c r="A100" s="67" t="s">
        <v>326</v>
      </c>
      <c r="B100" s="67" t="s">
        <v>327</v>
      </c>
      <c r="C100" s="67" t="s">
        <v>4506</v>
      </c>
      <c r="D100" s="67" t="s">
        <v>4343</v>
      </c>
      <c r="E100" s="67" t="s">
        <v>4344</v>
      </c>
      <c r="F100" s="67" t="s">
        <v>4336</v>
      </c>
      <c r="G100" s="67">
        <f t="shared" si="3"/>
        <v>2</v>
      </c>
      <c r="H100" s="67" t="str">
        <f t="shared" si="4"/>
        <v>000258张志亮</v>
      </c>
      <c r="I100" s="67" t="str">
        <f t="shared" si="5"/>
        <v>0102</v>
      </c>
    </row>
    <row r="101" spans="1:9" x14ac:dyDescent="0.15">
      <c r="A101" s="67" t="s">
        <v>326</v>
      </c>
      <c r="B101" s="67" t="s">
        <v>327</v>
      </c>
      <c r="C101" s="67" t="s">
        <v>4507</v>
      </c>
      <c r="D101" s="67" t="s">
        <v>4343</v>
      </c>
      <c r="E101" s="67" t="s">
        <v>4344</v>
      </c>
      <c r="F101" s="67" t="s">
        <v>4336</v>
      </c>
      <c r="G101" s="67">
        <f t="shared" si="3"/>
        <v>2</v>
      </c>
      <c r="H101" s="67" t="str">
        <f t="shared" si="4"/>
        <v>000586张志亮</v>
      </c>
      <c r="I101" s="67" t="str">
        <f t="shared" si="5"/>
        <v>0102</v>
      </c>
    </row>
    <row r="102" spans="1:9" x14ac:dyDescent="0.15">
      <c r="A102" s="67" t="s">
        <v>330</v>
      </c>
      <c r="B102" s="67" t="s">
        <v>331</v>
      </c>
      <c r="C102" s="67" t="s">
        <v>4508</v>
      </c>
      <c r="D102" s="67" t="s">
        <v>4343</v>
      </c>
      <c r="E102" s="67" t="s">
        <v>4344</v>
      </c>
      <c r="F102" s="67" t="s">
        <v>4336</v>
      </c>
      <c r="G102" s="67">
        <f t="shared" si="3"/>
        <v>2</v>
      </c>
      <c r="H102" s="67" t="str">
        <f t="shared" si="4"/>
        <v>000724曹湧</v>
      </c>
      <c r="I102" s="67" t="str">
        <f t="shared" si="5"/>
        <v>0104</v>
      </c>
    </row>
    <row r="103" spans="1:9" x14ac:dyDescent="0.15">
      <c r="A103" s="67" t="s">
        <v>330</v>
      </c>
      <c r="B103" s="67" t="s">
        <v>331</v>
      </c>
      <c r="C103" s="67" t="s">
        <v>4509</v>
      </c>
      <c r="D103" s="67" t="s">
        <v>4343</v>
      </c>
      <c r="E103" s="67" t="s">
        <v>4344</v>
      </c>
      <c r="F103" s="67" t="s">
        <v>4336</v>
      </c>
      <c r="G103" s="67">
        <f t="shared" si="3"/>
        <v>2</v>
      </c>
      <c r="H103" s="67" t="str">
        <f t="shared" si="4"/>
        <v>000241曹湧</v>
      </c>
      <c r="I103" s="67" t="str">
        <f t="shared" si="5"/>
        <v>0104</v>
      </c>
    </row>
    <row r="104" spans="1:9" x14ac:dyDescent="0.15">
      <c r="A104" s="67" t="s">
        <v>332</v>
      </c>
      <c r="B104" s="67" t="s">
        <v>333</v>
      </c>
      <c r="C104" s="67" t="s">
        <v>4510</v>
      </c>
      <c r="F104" s="67" t="s">
        <v>4409</v>
      </c>
      <c r="G104" s="67">
        <f t="shared" si="3"/>
        <v>2</v>
      </c>
      <c r="H104" s="67" t="str">
        <f t="shared" si="4"/>
        <v>000243何锦景</v>
      </c>
      <c r="I104" s="67" t="str">
        <f t="shared" si="5"/>
        <v>0105</v>
      </c>
    </row>
    <row r="105" spans="1:9" x14ac:dyDescent="0.15">
      <c r="A105" s="67" t="s">
        <v>332</v>
      </c>
      <c r="B105" s="67" t="s">
        <v>333</v>
      </c>
      <c r="C105" s="67" t="s">
        <v>4511</v>
      </c>
      <c r="D105" s="67" t="s">
        <v>4357</v>
      </c>
      <c r="E105" s="67" t="s">
        <v>4358</v>
      </c>
      <c r="F105" s="67" t="s">
        <v>4336</v>
      </c>
      <c r="G105" s="67">
        <f t="shared" si="3"/>
        <v>2</v>
      </c>
      <c r="H105" s="67" t="str">
        <f t="shared" si="4"/>
        <v>000465何锦景</v>
      </c>
      <c r="I105" s="67" t="str">
        <f t="shared" si="5"/>
        <v>0105</v>
      </c>
    </row>
    <row r="106" spans="1:9" x14ac:dyDescent="0.15">
      <c r="A106" s="67" t="s">
        <v>338</v>
      </c>
      <c r="B106" s="67" t="s">
        <v>339</v>
      </c>
      <c r="C106" s="67" t="s">
        <v>4512</v>
      </c>
      <c r="D106" s="67" t="s">
        <v>4424</v>
      </c>
      <c r="E106" s="67" t="s">
        <v>4425</v>
      </c>
      <c r="F106" s="67" t="s">
        <v>4336</v>
      </c>
      <c r="G106" s="67">
        <f t="shared" si="3"/>
        <v>1</v>
      </c>
      <c r="H106" s="67" t="str">
        <f t="shared" si="4"/>
        <v>000290张奎武</v>
      </c>
      <c r="I106" s="67" t="str">
        <f t="shared" si="5"/>
        <v>0108</v>
      </c>
    </row>
    <row r="107" spans="1:9" x14ac:dyDescent="0.15">
      <c r="A107" s="67" t="s">
        <v>341</v>
      </c>
      <c r="B107" s="67" t="s">
        <v>342</v>
      </c>
      <c r="C107" s="67" t="s">
        <v>4513</v>
      </c>
      <c r="D107" s="67" t="s">
        <v>4338</v>
      </c>
      <c r="E107" s="67" t="s">
        <v>4339</v>
      </c>
      <c r="F107" s="67" t="s">
        <v>4336</v>
      </c>
      <c r="G107" s="67">
        <f t="shared" si="3"/>
        <v>1</v>
      </c>
      <c r="H107" s="67" t="str">
        <f t="shared" si="4"/>
        <v>000174江涛</v>
      </c>
      <c r="I107" s="67" t="str">
        <f t="shared" si="5"/>
        <v>0109</v>
      </c>
    </row>
    <row r="108" spans="1:9" x14ac:dyDescent="0.15">
      <c r="A108" s="67" t="s">
        <v>4514</v>
      </c>
      <c r="B108" s="67" t="s">
        <v>4515</v>
      </c>
      <c r="C108" s="67" t="s">
        <v>4516</v>
      </c>
      <c r="D108" s="67" t="s">
        <v>4403</v>
      </c>
      <c r="E108" s="67" t="s">
        <v>4404</v>
      </c>
      <c r="F108" s="67" t="s">
        <v>4336</v>
      </c>
      <c r="G108" s="67">
        <f t="shared" si="3"/>
        <v>1</v>
      </c>
      <c r="H108" s="67" t="str">
        <f t="shared" si="4"/>
        <v>000537临时工11</v>
      </c>
      <c r="I108" s="67" t="str">
        <f t="shared" si="5"/>
        <v>011</v>
      </c>
    </row>
    <row r="109" spans="1:9" x14ac:dyDescent="0.15">
      <c r="A109" s="67" t="s">
        <v>343</v>
      </c>
      <c r="B109" s="67" t="s">
        <v>344</v>
      </c>
      <c r="C109" s="67" t="s">
        <v>4517</v>
      </c>
      <c r="D109" s="67" t="s">
        <v>4518</v>
      </c>
      <c r="E109" s="67" t="s">
        <v>4519</v>
      </c>
      <c r="F109" s="67" t="s">
        <v>4336</v>
      </c>
      <c r="G109" s="67">
        <f t="shared" si="3"/>
        <v>1</v>
      </c>
      <c r="H109" s="67" t="str">
        <f t="shared" si="4"/>
        <v>000277涂蛟</v>
      </c>
      <c r="I109" s="67" t="str">
        <f t="shared" si="5"/>
        <v>0110</v>
      </c>
    </row>
    <row r="110" spans="1:9" x14ac:dyDescent="0.15">
      <c r="A110" s="67" t="s">
        <v>345</v>
      </c>
      <c r="B110" s="67" t="s">
        <v>346</v>
      </c>
      <c r="C110" s="67" t="s">
        <v>4520</v>
      </c>
      <c r="D110" s="67" t="s">
        <v>4473</v>
      </c>
      <c r="E110" s="67" t="s">
        <v>4474</v>
      </c>
      <c r="F110" s="67" t="s">
        <v>4336</v>
      </c>
      <c r="G110" s="67">
        <f t="shared" si="3"/>
        <v>1</v>
      </c>
      <c r="H110" s="67" t="str">
        <f t="shared" si="4"/>
        <v>000482王军华</v>
      </c>
      <c r="I110" s="67" t="str">
        <f t="shared" si="5"/>
        <v>0111</v>
      </c>
    </row>
    <row r="111" spans="1:9" x14ac:dyDescent="0.15">
      <c r="A111" s="67" t="s">
        <v>347</v>
      </c>
      <c r="B111" s="67" t="s">
        <v>348</v>
      </c>
      <c r="C111" s="67" t="s">
        <v>4521</v>
      </c>
      <c r="D111" s="67" t="s">
        <v>4338</v>
      </c>
      <c r="E111" s="67" t="s">
        <v>4339</v>
      </c>
      <c r="F111" s="67" t="s">
        <v>4336</v>
      </c>
      <c r="G111" s="67">
        <f t="shared" si="3"/>
        <v>1</v>
      </c>
      <c r="H111" s="67" t="str">
        <f t="shared" si="4"/>
        <v>000061李映华</v>
      </c>
      <c r="I111" s="67" t="str">
        <f t="shared" si="5"/>
        <v>0112</v>
      </c>
    </row>
    <row r="112" spans="1:9" x14ac:dyDescent="0.15">
      <c r="A112" s="67" t="s">
        <v>349</v>
      </c>
      <c r="B112" s="67" t="s">
        <v>350</v>
      </c>
      <c r="C112" s="67" t="s">
        <v>4522</v>
      </c>
      <c r="D112" s="67" t="s">
        <v>4338</v>
      </c>
      <c r="E112" s="67" t="s">
        <v>4339</v>
      </c>
      <c r="F112" s="67" t="s">
        <v>4336</v>
      </c>
      <c r="G112" s="67">
        <f t="shared" si="3"/>
        <v>1</v>
      </c>
      <c r="H112" s="67" t="str">
        <f t="shared" si="4"/>
        <v>000184欧阳时芬</v>
      </c>
      <c r="I112" s="67" t="str">
        <f t="shared" si="5"/>
        <v>0113</v>
      </c>
    </row>
    <row r="113" spans="1:9" x14ac:dyDescent="0.15">
      <c r="A113" s="67" t="s">
        <v>351</v>
      </c>
      <c r="B113" s="67" t="s">
        <v>352</v>
      </c>
      <c r="C113" s="67" t="s">
        <v>4523</v>
      </c>
      <c r="D113" s="67" t="s">
        <v>4424</v>
      </c>
      <c r="E113" s="67" t="s">
        <v>4425</v>
      </c>
      <c r="F113" s="67" t="s">
        <v>4336</v>
      </c>
      <c r="G113" s="67">
        <f t="shared" si="3"/>
        <v>1</v>
      </c>
      <c r="H113" s="67" t="str">
        <f t="shared" si="4"/>
        <v>000259卞金龙</v>
      </c>
      <c r="I113" s="67" t="str">
        <f t="shared" si="5"/>
        <v>0114</v>
      </c>
    </row>
    <row r="114" spans="1:9" x14ac:dyDescent="0.15">
      <c r="A114" s="67" t="s">
        <v>353</v>
      </c>
      <c r="B114" s="67" t="s">
        <v>354</v>
      </c>
      <c r="C114" s="67" t="s">
        <v>4524</v>
      </c>
      <c r="D114" s="67" t="s">
        <v>4525</v>
      </c>
      <c r="E114" s="67" t="s">
        <v>4526</v>
      </c>
      <c r="F114" s="67" t="s">
        <v>4336</v>
      </c>
      <c r="G114" s="67">
        <f t="shared" si="3"/>
        <v>2</v>
      </c>
      <c r="H114" s="67" t="str">
        <f t="shared" si="4"/>
        <v>000507冯倩倩</v>
      </c>
      <c r="I114" s="67" t="str">
        <f t="shared" si="5"/>
        <v>0115</v>
      </c>
    </row>
    <row r="115" spans="1:9" x14ac:dyDescent="0.15">
      <c r="A115" s="67" t="s">
        <v>353</v>
      </c>
      <c r="B115" s="67" t="s">
        <v>354</v>
      </c>
      <c r="C115" s="67" t="s">
        <v>4527</v>
      </c>
      <c r="D115" s="67" t="s">
        <v>4525</v>
      </c>
      <c r="E115" s="67" t="s">
        <v>4528</v>
      </c>
      <c r="F115" s="67" t="s">
        <v>4336</v>
      </c>
      <c r="G115" s="67">
        <f t="shared" si="3"/>
        <v>2</v>
      </c>
      <c r="H115" s="67" t="str">
        <f t="shared" si="4"/>
        <v>000636冯倩倩</v>
      </c>
      <c r="I115" s="67" t="str">
        <f t="shared" si="5"/>
        <v>0115</v>
      </c>
    </row>
    <row r="116" spans="1:9" x14ac:dyDescent="0.15">
      <c r="A116" s="67" t="s">
        <v>355</v>
      </c>
      <c r="B116" s="67" t="s">
        <v>356</v>
      </c>
      <c r="C116" s="67" t="s">
        <v>4529</v>
      </c>
      <c r="D116" s="67" t="s">
        <v>4338</v>
      </c>
      <c r="E116" s="67" t="s">
        <v>4339</v>
      </c>
      <c r="F116" s="67" t="s">
        <v>4336</v>
      </c>
      <c r="G116" s="67">
        <f t="shared" si="3"/>
        <v>1</v>
      </c>
      <c r="H116" s="67" t="str">
        <f t="shared" si="4"/>
        <v>000081姚静</v>
      </c>
      <c r="I116" s="67" t="str">
        <f t="shared" si="5"/>
        <v>0116</v>
      </c>
    </row>
    <row r="117" spans="1:9" x14ac:dyDescent="0.15">
      <c r="A117" s="67" t="s">
        <v>357</v>
      </c>
      <c r="B117" s="67" t="s">
        <v>358</v>
      </c>
      <c r="C117" s="67" t="s">
        <v>4530</v>
      </c>
      <c r="D117" s="67" t="s">
        <v>4424</v>
      </c>
      <c r="E117" s="67" t="s">
        <v>4425</v>
      </c>
      <c r="F117" s="67" t="s">
        <v>4336</v>
      </c>
      <c r="G117" s="67">
        <f t="shared" si="3"/>
        <v>1</v>
      </c>
      <c r="H117" s="67" t="str">
        <f t="shared" si="4"/>
        <v>000293朱成云</v>
      </c>
      <c r="I117" s="67" t="str">
        <f t="shared" si="5"/>
        <v>0117</v>
      </c>
    </row>
    <row r="118" spans="1:9" x14ac:dyDescent="0.15">
      <c r="A118" s="67" t="s">
        <v>360</v>
      </c>
      <c r="B118" s="67" t="s">
        <v>361</v>
      </c>
      <c r="C118" s="67" t="s">
        <v>4531</v>
      </c>
      <c r="D118" s="67" t="s">
        <v>4338</v>
      </c>
      <c r="E118" s="67" t="s">
        <v>4339</v>
      </c>
      <c r="F118" s="67" t="s">
        <v>4336</v>
      </c>
      <c r="G118" s="67">
        <f t="shared" si="3"/>
        <v>1</v>
      </c>
      <c r="H118" s="67" t="str">
        <f t="shared" si="4"/>
        <v>000191涂虎</v>
      </c>
      <c r="I118" s="67" t="str">
        <f t="shared" si="5"/>
        <v>0118</v>
      </c>
    </row>
    <row r="119" spans="1:9" x14ac:dyDescent="0.15">
      <c r="A119" s="67" t="s">
        <v>362</v>
      </c>
      <c r="B119" s="67" t="s">
        <v>363</v>
      </c>
      <c r="C119" s="67" t="s">
        <v>4532</v>
      </c>
      <c r="D119" s="67" t="s">
        <v>4424</v>
      </c>
      <c r="E119" s="67" t="s">
        <v>4425</v>
      </c>
      <c r="F119" s="67" t="s">
        <v>4336</v>
      </c>
      <c r="G119" s="67">
        <f t="shared" si="3"/>
        <v>1</v>
      </c>
      <c r="H119" s="67" t="str">
        <f t="shared" si="4"/>
        <v>000260蔡忠锋</v>
      </c>
      <c r="I119" s="67" t="str">
        <f t="shared" si="5"/>
        <v>0119</v>
      </c>
    </row>
    <row r="120" spans="1:9" x14ac:dyDescent="0.15">
      <c r="A120" s="67" t="s">
        <v>4533</v>
      </c>
      <c r="B120" s="67" t="s">
        <v>4534</v>
      </c>
      <c r="C120" s="67" t="s">
        <v>4535</v>
      </c>
      <c r="D120" s="67" t="s">
        <v>4403</v>
      </c>
      <c r="E120" s="67" t="s">
        <v>4404</v>
      </c>
      <c r="F120" s="67" t="s">
        <v>4336</v>
      </c>
      <c r="G120" s="67">
        <f t="shared" si="3"/>
        <v>1</v>
      </c>
      <c r="H120" s="67" t="str">
        <f t="shared" si="4"/>
        <v>000538临时工12</v>
      </c>
      <c r="I120" s="67" t="str">
        <f t="shared" si="5"/>
        <v>012</v>
      </c>
    </row>
    <row r="121" spans="1:9" x14ac:dyDescent="0.15">
      <c r="A121" s="67" t="s">
        <v>364</v>
      </c>
      <c r="B121" s="67" t="s">
        <v>365</v>
      </c>
      <c r="C121" s="67" t="s">
        <v>4536</v>
      </c>
      <c r="D121" s="67" t="s">
        <v>4338</v>
      </c>
      <c r="E121" s="67" t="s">
        <v>4339</v>
      </c>
      <c r="F121" s="67" t="s">
        <v>4336</v>
      </c>
      <c r="G121" s="67">
        <f t="shared" si="3"/>
        <v>1</v>
      </c>
      <c r="H121" s="67" t="str">
        <f t="shared" si="4"/>
        <v>000052陈啸林</v>
      </c>
      <c r="I121" s="67" t="str">
        <f t="shared" si="5"/>
        <v>0120</v>
      </c>
    </row>
    <row r="122" spans="1:9" x14ac:dyDescent="0.15">
      <c r="A122" s="67" t="s">
        <v>366</v>
      </c>
      <c r="B122" s="67" t="s">
        <v>367</v>
      </c>
      <c r="C122" s="67" t="s">
        <v>4537</v>
      </c>
      <c r="D122" s="67" t="s">
        <v>4518</v>
      </c>
      <c r="E122" s="67" t="s">
        <v>4519</v>
      </c>
      <c r="F122" s="67" t="s">
        <v>4336</v>
      </c>
      <c r="G122" s="67">
        <f t="shared" si="3"/>
        <v>1</v>
      </c>
      <c r="H122" s="67" t="str">
        <f t="shared" si="4"/>
        <v>000287杨永杰</v>
      </c>
      <c r="I122" s="67" t="str">
        <f t="shared" si="5"/>
        <v>0121</v>
      </c>
    </row>
    <row r="123" spans="1:9" x14ac:dyDescent="0.15">
      <c r="A123" s="67" t="s">
        <v>368</v>
      </c>
      <c r="B123" s="67" t="s">
        <v>369</v>
      </c>
      <c r="C123" s="67" t="s">
        <v>4538</v>
      </c>
      <c r="D123" s="67" t="s">
        <v>4424</v>
      </c>
      <c r="E123" s="67" t="s">
        <v>4425</v>
      </c>
      <c r="F123" s="67" t="s">
        <v>4336</v>
      </c>
      <c r="G123" s="67">
        <f t="shared" si="3"/>
        <v>1</v>
      </c>
      <c r="H123" s="67" t="str">
        <f t="shared" si="4"/>
        <v>000384王涓</v>
      </c>
      <c r="I123" s="67" t="str">
        <f t="shared" si="5"/>
        <v>0122</v>
      </c>
    </row>
    <row r="124" spans="1:9" x14ac:dyDescent="0.15">
      <c r="A124" s="67" t="s">
        <v>375</v>
      </c>
      <c r="B124" s="67" t="s">
        <v>376</v>
      </c>
      <c r="C124" s="67" t="s">
        <v>4539</v>
      </c>
      <c r="D124" s="67" t="s">
        <v>4518</v>
      </c>
      <c r="E124" s="67" t="s">
        <v>4519</v>
      </c>
      <c r="F124" s="67" t="s">
        <v>4336</v>
      </c>
      <c r="G124" s="67">
        <f t="shared" si="3"/>
        <v>1</v>
      </c>
      <c r="H124" s="67" t="str">
        <f t="shared" si="4"/>
        <v>000283薛晨</v>
      </c>
      <c r="I124" s="67" t="str">
        <f t="shared" si="5"/>
        <v>0125</v>
      </c>
    </row>
    <row r="125" spans="1:9" x14ac:dyDescent="0.15">
      <c r="A125" s="67" t="s">
        <v>377</v>
      </c>
      <c r="B125" s="67" t="s">
        <v>378</v>
      </c>
      <c r="C125" s="67" t="s">
        <v>4540</v>
      </c>
      <c r="F125" s="67" t="s">
        <v>4409</v>
      </c>
      <c r="G125" s="67">
        <f t="shared" si="3"/>
        <v>1</v>
      </c>
      <c r="H125" s="67" t="str">
        <f t="shared" si="4"/>
        <v>000265郭金涛</v>
      </c>
      <c r="I125" s="67" t="str">
        <f t="shared" si="5"/>
        <v>0126</v>
      </c>
    </row>
    <row r="126" spans="1:9" x14ac:dyDescent="0.15">
      <c r="A126" s="67" t="s">
        <v>4541</v>
      </c>
      <c r="B126" s="67" t="s">
        <v>4542</v>
      </c>
      <c r="C126" s="67" t="s">
        <v>4543</v>
      </c>
      <c r="D126" s="67" t="s">
        <v>4403</v>
      </c>
      <c r="E126" s="67" t="s">
        <v>4404</v>
      </c>
      <c r="F126" s="67" t="s">
        <v>4336</v>
      </c>
      <c r="G126" s="67">
        <f t="shared" si="3"/>
        <v>1</v>
      </c>
      <c r="H126" s="67" t="str">
        <f t="shared" si="4"/>
        <v>000539临时工13</v>
      </c>
      <c r="I126" s="67" t="str">
        <f t="shared" si="5"/>
        <v>013</v>
      </c>
    </row>
    <row r="127" spans="1:9" x14ac:dyDescent="0.15">
      <c r="A127" s="67" t="s">
        <v>392</v>
      </c>
      <c r="B127" s="67" t="s">
        <v>393</v>
      </c>
      <c r="C127" s="67" t="s">
        <v>4544</v>
      </c>
      <c r="D127" s="67" t="s">
        <v>4518</v>
      </c>
      <c r="E127" s="67" t="s">
        <v>4519</v>
      </c>
      <c r="F127" s="67" t="s">
        <v>4336</v>
      </c>
      <c r="G127" s="67">
        <f t="shared" si="3"/>
        <v>1</v>
      </c>
      <c r="H127" s="67" t="str">
        <f t="shared" si="4"/>
        <v>000276鲁志程</v>
      </c>
      <c r="I127" s="67" t="str">
        <f t="shared" si="5"/>
        <v>0133</v>
      </c>
    </row>
    <row r="128" spans="1:9" x14ac:dyDescent="0.15">
      <c r="A128" s="67" t="s">
        <v>394</v>
      </c>
      <c r="B128" s="67" t="s">
        <v>395</v>
      </c>
      <c r="C128" s="67" t="s">
        <v>4545</v>
      </c>
      <c r="D128" s="67" t="s">
        <v>4424</v>
      </c>
      <c r="E128" s="67" t="s">
        <v>4425</v>
      </c>
      <c r="F128" s="67" t="s">
        <v>4336</v>
      </c>
      <c r="G128" s="67">
        <f t="shared" si="3"/>
        <v>1</v>
      </c>
      <c r="H128" s="67" t="str">
        <f t="shared" si="4"/>
        <v>000176李咸富</v>
      </c>
      <c r="I128" s="67" t="str">
        <f t="shared" si="5"/>
        <v>0134</v>
      </c>
    </row>
    <row r="129" spans="1:9" x14ac:dyDescent="0.15">
      <c r="A129" s="67" t="s">
        <v>396</v>
      </c>
      <c r="B129" s="67" t="s">
        <v>397</v>
      </c>
      <c r="C129" s="67" t="s">
        <v>4546</v>
      </c>
      <c r="D129" s="67" t="s">
        <v>4338</v>
      </c>
      <c r="E129" s="67" t="s">
        <v>4339</v>
      </c>
      <c r="F129" s="67" t="s">
        <v>4336</v>
      </c>
      <c r="G129" s="67">
        <f t="shared" si="3"/>
        <v>1</v>
      </c>
      <c r="H129" s="67" t="str">
        <f t="shared" si="4"/>
        <v>000194王旭</v>
      </c>
      <c r="I129" s="67" t="str">
        <f t="shared" si="5"/>
        <v>0135</v>
      </c>
    </row>
    <row r="130" spans="1:9" x14ac:dyDescent="0.15">
      <c r="A130" s="67" t="s">
        <v>398</v>
      </c>
      <c r="B130" s="67" t="s">
        <v>399</v>
      </c>
      <c r="C130" s="67" t="s">
        <v>4547</v>
      </c>
      <c r="D130" s="67" t="s">
        <v>4338</v>
      </c>
      <c r="E130" s="67" t="s">
        <v>4339</v>
      </c>
      <c r="F130" s="67" t="s">
        <v>4336</v>
      </c>
      <c r="G130" s="67">
        <f t="shared" si="3"/>
        <v>1</v>
      </c>
      <c r="H130" s="67" t="str">
        <f t="shared" si="4"/>
        <v>000161鲍大宏</v>
      </c>
      <c r="I130" s="67" t="str">
        <f t="shared" si="5"/>
        <v>0136</v>
      </c>
    </row>
    <row r="131" spans="1:9" x14ac:dyDescent="0.15">
      <c r="A131" s="67" t="s">
        <v>400</v>
      </c>
      <c r="B131" s="67" t="s">
        <v>401</v>
      </c>
      <c r="C131" s="67" t="s">
        <v>4548</v>
      </c>
      <c r="D131" s="67" t="s">
        <v>4424</v>
      </c>
      <c r="E131" s="67" t="s">
        <v>4425</v>
      </c>
      <c r="F131" s="67" t="s">
        <v>4336</v>
      </c>
      <c r="G131" s="67">
        <f t="shared" ref="G131:G194" si="6">COUNTIFS(B:B,B131)</f>
        <v>1</v>
      </c>
      <c r="H131" s="67" t="str">
        <f t="shared" ref="H131:H194" si="7">C131&amp;B131</f>
        <v>000197许启安</v>
      </c>
      <c r="I131" s="67" t="str">
        <f t="shared" ref="I131:I194" si="8">A131</f>
        <v>0137</v>
      </c>
    </row>
    <row r="132" spans="1:9" x14ac:dyDescent="0.15">
      <c r="A132" s="67" t="s">
        <v>4549</v>
      </c>
      <c r="B132" s="67" t="s">
        <v>4550</v>
      </c>
      <c r="C132" s="67" t="s">
        <v>4551</v>
      </c>
      <c r="D132" s="67" t="s">
        <v>4403</v>
      </c>
      <c r="E132" s="67" t="s">
        <v>4404</v>
      </c>
      <c r="F132" s="67" t="s">
        <v>4336</v>
      </c>
      <c r="G132" s="67">
        <f t="shared" si="6"/>
        <v>1</v>
      </c>
      <c r="H132" s="67" t="str">
        <f t="shared" si="7"/>
        <v>000540临时工14</v>
      </c>
      <c r="I132" s="67" t="str">
        <f t="shared" si="8"/>
        <v>014</v>
      </c>
    </row>
    <row r="133" spans="1:9" x14ac:dyDescent="0.15">
      <c r="A133" s="67" t="s">
        <v>408</v>
      </c>
      <c r="B133" s="67" t="s">
        <v>409</v>
      </c>
      <c r="C133" s="67" t="s">
        <v>4552</v>
      </c>
      <c r="D133" s="67" t="s">
        <v>4553</v>
      </c>
      <c r="E133" s="67" t="s">
        <v>4554</v>
      </c>
      <c r="F133" s="67" t="s">
        <v>4336</v>
      </c>
      <c r="G133" s="67">
        <f t="shared" si="6"/>
        <v>1</v>
      </c>
      <c r="H133" s="67" t="str">
        <f t="shared" si="7"/>
        <v>000192王莉</v>
      </c>
      <c r="I133" s="67" t="str">
        <f t="shared" si="8"/>
        <v>0141</v>
      </c>
    </row>
    <row r="134" spans="1:9" x14ac:dyDescent="0.15">
      <c r="A134" s="67" t="s">
        <v>410</v>
      </c>
      <c r="B134" s="67" t="s">
        <v>411</v>
      </c>
      <c r="C134" s="67" t="s">
        <v>4555</v>
      </c>
      <c r="D134" s="67" t="s">
        <v>4518</v>
      </c>
      <c r="E134" s="67" t="s">
        <v>4519</v>
      </c>
      <c r="F134" s="67" t="s">
        <v>4336</v>
      </c>
      <c r="G134" s="67">
        <f t="shared" si="6"/>
        <v>3</v>
      </c>
      <c r="H134" s="67" t="str">
        <f t="shared" si="7"/>
        <v>000271李杰</v>
      </c>
      <c r="I134" s="67" t="str">
        <f t="shared" si="8"/>
        <v>0142</v>
      </c>
    </row>
    <row r="135" spans="1:9" x14ac:dyDescent="0.15">
      <c r="A135" s="67" t="s">
        <v>410</v>
      </c>
      <c r="B135" s="67" t="s">
        <v>411</v>
      </c>
      <c r="C135" s="67" t="s">
        <v>4556</v>
      </c>
      <c r="D135" s="67" t="s">
        <v>4518</v>
      </c>
      <c r="E135" s="67" t="s">
        <v>4519</v>
      </c>
      <c r="F135" s="67" t="s">
        <v>4336</v>
      </c>
      <c r="G135" s="67">
        <f t="shared" si="6"/>
        <v>3</v>
      </c>
      <c r="H135" s="67" t="str">
        <f t="shared" si="7"/>
        <v>000633李杰</v>
      </c>
      <c r="I135" s="67" t="str">
        <f t="shared" si="8"/>
        <v>0142</v>
      </c>
    </row>
    <row r="136" spans="1:9" x14ac:dyDescent="0.15">
      <c r="A136" s="67" t="s">
        <v>412</v>
      </c>
      <c r="B136" s="67" t="s">
        <v>413</v>
      </c>
      <c r="C136" s="67" t="s">
        <v>4557</v>
      </c>
      <c r="D136" s="67" t="s">
        <v>4518</v>
      </c>
      <c r="E136" s="67" t="s">
        <v>4519</v>
      </c>
      <c r="F136" s="67" t="s">
        <v>4336</v>
      </c>
      <c r="G136" s="67">
        <f t="shared" si="6"/>
        <v>1</v>
      </c>
      <c r="H136" s="67" t="str">
        <f t="shared" si="7"/>
        <v>000275刘亮</v>
      </c>
      <c r="I136" s="67" t="str">
        <f t="shared" si="8"/>
        <v>0143</v>
      </c>
    </row>
    <row r="137" spans="1:9" x14ac:dyDescent="0.15">
      <c r="A137" s="67" t="s">
        <v>414</v>
      </c>
      <c r="B137" s="67" t="s">
        <v>415</v>
      </c>
      <c r="C137" s="67" t="s">
        <v>4558</v>
      </c>
      <c r="F137" s="67" t="s">
        <v>4409</v>
      </c>
      <c r="G137" s="67">
        <f t="shared" si="6"/>
        <v>1</v>
      </c>
      <c r="H137" s="67" t="str">
        <f t="shared" si="7"/>
        <v>000266郭占军</v>
      </c>
      <c r="I137" s="67" t="str">
        <f t="shared" si="8"/>
        <v>0144</v>
      </c>
    </row>
    <row r="138" spans="1:9" x14ac:dyDescent="0.15">
      <c r="A138" s="67" t="s">
        <v>418</v>
      </c>
      <c r="B138" s="67" t="s">
        <v>419</v>
      </c>
      <c r="C138" s="67" t="s">
        <v>4559</v>
      </c>
      <c r="D138" s="67" t="s">
        <v>4338</v>
      </c>
      <c r="E138" s="67" t="s">
        <v>4339</v>
      </c>
      <c r="F138" s="67" t="s">
        <v>4336</v>
      </c>
      <c r="G138" s="67">
        <f t="shared" si="6"/>
        <v>2</v>
      </c>
      <c r="H138" s="67" t="str">
        <f t="shared" si="7"/>
        <v>000034谭小高</v>
      </c>
      <c r="I138" s="67" t="str">
        <f t="shared" si="8"/>
        <v>0146</v>
      </c>
    </row>
    <row r="139" spans="1:9" x14ac:dyDescent="0.15">
      <c r="A139" s="67" t="s">
        <v>418</v>
      </c>
      <c r="B139" s="67" t="s">
        <v>419</v>
      </c>
      <c r="C139" s="67" t="s">
        <v>4560</v>
      </c>
      <c r="D139" s="67" t="s">
        <v>4338</v>
      </c>
      <c r="E139" s="67" t="s">
        <v>4339</v>
      </c>
      <c r="F139" s="67" t="s">
        <v>4336</v>
      </c>
      <c r="G139" s="67">
        <f t="shared" si="6"/>
        <v>2</v>
      </c>
      <c r="H139" s="67" t="str">
        <f t="shared" si="7"/>
        <v>000805谭小高</v>
      </c>
      <c r="I139" s="67" t="str">
        <f t="shared" si="8"/>
        <v>0146</v>
      </c>
    </row>
    <row r="140" spans="1:9" x14ac:dyDescent="0.15">
      <c r="A140" s="67" t="s">
        <v>420</v>
      </c>
      <c r="B140" s="67" t="s">
        <v>421</v>
      </c>
      <c r="C140" s="67" t="s">
        <v>4561</v>
      </c>
      <c r="D140" s="67" t="s">
        <v>4343</v>
      </c>
      <c r="E140" s="67" t="s">
        <v>4344</v>
      </c>
      <c r="F140" s="67" t="s">
        <v>4336</v>
      </c>
      <c r="G140" s="67">
        <f t="shared" si="6"/>
        <v>1</v>
      </c>
      <c r="H140" s="67" t="str">
        <f t="shared" si="7"/>
        <v>000095曹敏</v>
      </c>
      <c r="I140" s="67" t="str">
        <f t="shared" si="8"/>
        <v>0147</v>
      </c>
    </row>
    <row r="141" spans="1:9" x14ac:dyDescent="0.15">
      <c r="A141" s="67" t="s">
        <v>422</v>
      </c>
      <c r="B141" s="67" t="s">
        <v>423</v>
      </c>
      <c r="C141" s="67" t="s">
        <v>4562</v>
      </c>
      <c r="D141" s="67" t="s">
        <v>4343</v>
      </c>
      <c r="E141" s="67" t="s">
        <v>4344</v>
      </c>
      <c r="F141" s="67" t="s">
        <v>4336</v>
      </c>
      <c r="G141" s="67">
        <f t="shared" si="6"/>
        <v>2</v>
      </c>
      <c r="H141" s="67" t="str">
        <f t="shared" si="7"/>
        <v>000008季海臣</v>
      </c>
      <c r="I141" s="67" t="str">
        <f t="shared" si="8"/>
        <v>0148</v>
      </c>
    </row>
    <row r="142" spans="1:9" x14ac:dyDescent="0.15">
      <c r="A142" s="67" t="s">
        <v>422</v>
      </c>
      <c r="B142" s="67" t="s">
        <v>423</v>
      </c>
      <c r="C142" s="67" t="s">
        <v>4563</v>
      </c>
      <c r="D142" s="67" t="s">
        <v>4343</v>
      </c>
      <c r="E142" s="67" t="s">
        <v>4344</v>
      </c>
      <c r="F142" s="67" t="s">
        <v>4336</v>
      </c>
      <c r="G142" s="67">
        <f t="shared" si="6"/>
        <v>2</v>
      </c>
      <c r="H142" s="67" t="str">
        <f t="shared" si="7"/>
        <v>000845季海臣</v>
      </c>
      <c r="I142" s="67" t="str">
        <f t="shared" si="8"/>
        <v>0148</v>
      </c>
    </row>
    <row r="143" spans="1:9" x14ac:dyDescent="0.15">
      <c r="A143" s="67" t="s">
        <v>425</v>
      </c>
      <c r="B143" s="67" t="s">
        <v>426</v>
      </c>
      <c r="C143" s="67" t="s">
        <v>4564</v>
      </c>
      <c r="F143" s="67" t="s">
        <v>4409</v>
      </c>
      <c r="G143" s="67">
        <f t="shared" si="6"/>
        <v>1</v>
      </c>
      <c r="H143" s="67" t="str">
        <f t="shared" si="7"/>
        <v>000237谢平</v>
      </c>
      <c r="I143" s="67" t="str">
        <f t="shared" si="8"/>
        <v>0149</v>
      </c>
    </row>
    <row r="144" spans="1:9" x14ac:dyDescent="0.15">
      <c r="A144" s="67" t="s">
        <v>4565</v>
      </c>
      <c r="B144" s="67" t="s">
        <v>4566</v>
      </c>
      <c r="C144" s="67" t="s">
        <v>4567</v>
      </c>
      <c r="D144" s="67" t="s">
        <v>4403</v>
      </c>
      <c r="E144" s="67" t="s">
        <v>4568</v>
      </c>
      <c r="F144" s="67" t="s">
        <v>4336</v>
      </c>
      <c r="G144" s="67">
        <f t="shared" si="6"/>
        <v>2</v>
      </c>
      <c r="H144" s="67" t="str">
        <f t="shared" si="7"/>
        <v>000541临时工15</v>
      </c>
      <c r="I144" s="67" t="str">
        <f t="shared" si="8"/>
        <v>015</v>
      </c>
    </row>
    <row r="145" spans="1:9" x14ac:dyDescent="0.15">
      <c r="A145" s="67" t="s">
        <v>4565</v>
      </c>
      <c r="B145" s="67" t="s">
        <v>4566</v>
      </c>
      <c r="C145" s="67" t="s">
        <v>4569</v>
      </c>
      <c r="D145" s="67" t="s">
        <v>4403</v>
      </c>
      <c r="E145" s="67" t="s">
        <v>4570</v>
      </c>
      <c r="F145" s="67" t="s">
        <v>4336</v>
      </c>
      <c r="G145" s="67">
        <f t="shared" si="6"/>
        <v>2</v>
      </c>
      <c r="H145" s="67" t="str">
        <f t="shared" si="7"/>
        <v>000590临时工15</v>
      </c>
      <c r="I145" s="67" t="str">
        <f t="shared" si="8"/>
        <v>015</v>
      </c>
    </row>
    <row r="146" spans="1:9" x14ac:dyDescent="0.15">
      <c r="A146" s="67" t="s">
        <v>427</v>
      </c>
      <c r="B146" s="67" t="s">
        <v>428</v>
      </c>
      <c r="C146" s="67" t="s">
        <v>4571</v>
      </c>
      <c r="D146" s="67" t="s">
        <v>4572</v>
      </c>
      <c r="E146" s="67" t="s">
        <v>4573</v>
      </c>
      <c r="F146" s="67" t="s">
        <v>4336</v>
      </c>
      <c r="G146" s="67">
        <f t="shared" si="6"/>
        <v>2</v>
      </c>
      <c r="H146" s="67" t="str">
        <f t="shared" si="7"/>
        <v>000874张艳</v>
      </c>
      <c r="I146" s="67" t="str">
        <f t="shared" si="8"/>
        <v>0150</v>
      </c>
    </row>
    <row r="147" spans="1:9" x14ac:dyDescent="0.15">
      <c r="A147" s="67" t="s">
        <v>427</v>
      </c>
      <c r="B147" s="67" t="s">
        <v>428</v>
      </c>
      <c r="C147" s="67" t="s">
        <v>4574</v>
      </c>
      <c r="D147" s="67" t="s">
        <v>4572</v>
      </c>
      <c r="E147" s="67" t="s">
        <v>4573</v>
      </c>
      <c r="F147" s="67" t="s">
        <v>4336</v>
      </c>
      <c r="G147" s="67">
        <f t="shared" si="6"/>
        <v>2</v>
      </c>
      <c r="H147" s="67" t="str">
        <f t="shared" si="7"/>
        <v>000375张艳</v>
      </c>
      <c r="I147" s="67" t="str">
        <f t="shared" si="8"/>
        <v>0150</v>
      </c>
    </row>
    <row r="148" spans="1:9" x14ac:dyDescent="0.15">
      <c r="A148" s="67" t="s">
        <v>429</v>
      </c>
      <c r="B148" s="67" t="s">
        <v>430</v>
      </c>
      <c r="C148" s="67" t="s">
        <v>4575</v>
      </c>
      <c r="D148" s="67" t="s">
        <v>4343</v>
      </c>
      <c r="E148" s="67" t="s">
        <v>4344</v>
      </c>
      <c r="F148" s="67" t="s">
        <v>4336</v>
      </c>
      <c r="G148" s="67">
        <f t="shared" si="6"/>
        <v>1</v>
      </c>
      <c r="H148" s="67" t="str">
        <f t="shared" si="7"/>
        <v>000239成立仲</v>
      </c>
      <c r="I148" s="67" t="str">
        <f t="shared" si="8"/>
        <v>0151</v>
      </c>
    </row>
    <row r="149" spans="1:9" x14ac:dyDescent="0.15">
      <c r="A149" s="67" t="s">
        <v>431</v>
      </c>
      <c r="B149" s="67" t="s">
        <v>432</v>
      </c>
      <c r="C149" s="67" t="s">
        <v>4576</v>
      </c>
      <c r="D149" s="67" t="s">
        <v>4424</v>
      </c>
      <c r="E149" s="67" t="s">
        <v>4425</v>
      </c>
      <c r="F149" s="67" t="s">
        <v>4336</v>
      </c>
      <c r="G149" s="67">
        <f t="shared" si="6"/>
        <v>1</v>
      </c>
      <c r="H149" s="67" t="str">
        <f t="shared" si="7"/>
        <v>000240郭仕培</v>
      </c>
      <c r="I149" s="67" t="str">
        <f t="shared" si="8"/>
        <v>0152</v>
      </c>
    </row>
    <row r="150" spans="1:9" x14ac:dyDescent="0.15">
      <c r="A150" s="67" t="s">
        <v>434</v>
      </c>
      <c r="B150" s="67" t="s">
        <v>435</v>
      </c>
      <c r="C150" s="67" t="s">
        <v>4577</v>
      </c>
      <c r="D150" s="67" t="s">
        <v>4360</v>
      </c>
      <c r="E150" s="67" t="s">
        <v>4578</v>
      </c>
      <c r="F150" s="67" t="s">
        <v>4336</v>
      </c>
      <c r="G150" s="67">
        <f t="shared" si="6"/>
        <v>1</v>
      </c>
      <c r="H150" s="67" t="str">
        <f t="shared" si="7"/>
        <v>000019薛震陆</v>
      </c>
      <c r="I150" s="67" t="str">
        <f t="shared" si="8"/>
        <v>0153</v>
      </c>
    </row>
    <row r="151" spans="1:9" x14ac:dyDescent="0.15">
      <c r="A151" s="67" t="s">
        <v>437</v>
      </c>
      <c r="B151" s="67" t="s">
        <v>438</v>
      </c>
      <c r="C151" s="67" t="s">
        <v>4579</v>
      </c>
      <c r="D151" s="67" t="s">
        <v>4338</v>
      </c>
      <c r="E151" s="67" t="s">
        <v>4339</v>
      </c>
      <c r="F151" s="67" t="s">
        <v>4336</v>
      </c>
      <c r="G151" s="67">
        <f t="shared" si="6"/>
        <v>2</v>
      </c>
      <c r="H151" s="67" t="str">
        <f t="shared" si="7"/>
        <v>000352王军</v>
      </c>
      <c r="I151" s="67" t="str">
        <f t="shared" si="8"/>
        <v>0154</v>
      </c>
    </row>
    <row r="152" spans="1:9" x14ac:dyDescent="0.15">
      <c r="A152" s="67" t="s">
        <v>437</v>
      </c>
      <c r="B152" s="67" t="s">
        <v>438</v>
      </c>
      <c r="C152" s="67" t="s">
        <v>4580</v>
      </c>
      <c r="D152" s="67" t="s">
        <v>4338</v>
      </c>
      <c r="E152" s="67" t="s">
        <v>4339</v>
      </c>
      <c r="F152" s="67" t="s">
        <v>4336</v>
      </c>
      <c r="G152" s="67">
        <f t="shared" si="6"/>
        <v>2</v>
      </c>
      <c r="H152" s="67" t="str">
        <f t="shared" si="7"/>
        <v>000889王军</v>
      </c>
      <c r="I152" s="67" t="str">
        <f t="shared" si="8"/>
        <v>0154</v>
      </c>
    </row>
    <row r="153" spans="1:9" x14ac:dyDescent="0.15">
      <c r="A153" s="67" t="s">
        <v>439</v>
      </c>
      <c r="B153" s="67" t="s">
        <v>440</v>
      </c>
      <c r="C153" s="67" t="s">
        <v>4581</v>
      </c>
      <c r="D153" s="67" t="s">
        <v>4424</v>
      </c>
      <c r="E153" s="67" t="s">
        <v>4425</v>
      </c>
      <c r="F153" s="67" t="s">
        <v>4336</v>
      </c>
      <c r="G153" s="67">
        <f t="shared" si="6"/>
        <v>2</v>
      </c>
      <c r="H153" s="67" t="str">
        <f t="shared" si="7"/>
        <v>000425王小芹</v>
      </c>
      <c r="I153" s="67" t="str">
        <f t="shared" si="8"/>
        <v>0155</v>
      </c>
    </row>
    <row r="154" spans="1:9" x14ac:dyDescent="0.15">
      <c r="A154" s="67" t="s">
        <v>439</v>
      </c>
      <c r="B154" s="67" t="s">
        <v>440</v>
      </c>
      <c r="C154" s="67" t="s">
        <v>4582</v>
      </c>
      <c r="F154" s="67" t="s">
        <v>4409</v>
      </c>
      <c r="G154" s="67">
        <f t="shared" si="6"/>
        <v>2</v>
      </c>
      <c r="H154" s="67" t="str">
        <f t="shared" si="7"/>
        <v>000111王小芹</v>
      </c>
      <c r="I154" s="67" t="str">
        <f t="shared" si="8"/>
        <v>0155</v>
      </c>
    </row>
    <row r="155" spans="1:9" x14ac:dyDescent="0.15">
      <c r="A155" s="67" t="s">
        <v>441</v>
      </c>
      <c r="B155" s="67" t="s">
        <v>442</v>
      </c>
      <c r="C155" s="67" t="s">
        <v>4583</v>
      </c>
      <c r="D155" s="67" t="s">
        <v>4343</v>
      </c>
      <c r="E155" s="67" t="s">
        <v>4344</v>
      </c>
      <c r="F155" s="67" t="s">
        <v>4336</v>
      </c>
      <c r="G155" s="67">
        <f t="shared" si="6"/>
        <v>1</v>
      </c>
      <c r="H155" s="67" t="str">
        <f t="shared" si="7"/>
        <v>000098杜利亚</v>
      </c>
      <c r="I155" s="67" t="str">
        <f t="shared" si="8"/>
        <v>0156</v>
      </c>
    </row>
    <row r="156" spans="1:9" x14ac:dyDescent="0.15">
      <c r="A156" s="67" t="s">
        <v>444</v>
      </c>
      <c r="B156" s="67" t="s">
        <v>445</v>
      </c>
      <c r="C156" s="67" t="s">
        <v>4584</v>
      </c>
      <c r="F156" s="67" t="s">
        <v>4409</v>
      </c>
      <c r="G156" s="67">
        <f t="shared" si="6"/>
        <v>1</v>
      </c>
      <c r="H156" s="67" t="str">
        <f t="shared" si="7"/>
        <v>000101顾正仙</v>
      </c>
      <c r="I156" s="67" t="str">
        <f t="shared" si="8"/>
        <v>0157</v>
      </c>
    </row>
    <row r="157" spans="1:9" x14ac:dyDescent="0.15">
      <c r="A157" s="67" t="s">
        <v>446</v>
      </c>
      <c r="B157" s="67" t="s">
        <v>447</v>
      </c>
      <c r="C157" s="67" t="s">
        <v>4585</v>
      </c>
      <c r="F157" s="67" t="s">
        <v>4409</v>
      </c>
      <c r="G157" s="67">
        <f t="shared" si="6"/>
        <v>1</v>
      </c>
      <c r="H157" s="67" t="str">
        <f t="shared" si="7"/>
        <v>000106倪忠文</v>
      </c>
      <c r="I157" s="67" t="str">
        <f t="shared" si="8"/>
        <v>0158</v>
      </c>
    </row>
    <row r="158" spans="1:9" x14ac:dyDescent="0.15">
      <c r="A158" s="67" t="s">
        <v>448</v>
      </c>
      <c r="B158" s="67" t="s">
        <v>449</v>
      </c>
      <c r="C158" s="67" t="s">
        <v>4586</v>
      </c>
      <c r="F158" s="67" t="s">
        <v>4409</v>
      </c>
      <c r="G158" s="67">
        <f t="shared" si="6"/>
        <v>1</v>
      </c>
      <c r="H158" s="67" t="str">
        <f t="shared" si="7"/>
        <v>000102瞿光辉</v>
      </c>
      <c r="I158" s="67" t="str">
        <f t="shared" si="8"/>
        <v>0159</v>
      </c>
    </row>
    <row r="159" spans="1:9" x14ac:dyDescent="0.15">
      <c r="A159" s="67" t="s">
        <v>4587</v>
      </c>
      <c r="B159" s="67" t="s">
        <v>4588</v>
      </c>
      <c r="C159" s="67" t="s">
        <v>4589</v>
      </c>
      <c r="D159" s="67" t="s">
        <v>4403</v>
      </c>
      <c r="E159" s="67" t="s">
        <v>4404</v>
      </c>
      <c r="F159" s="67" t="s">
        <v>4336</v>
      </c>
      <c r="G159" s="67">
        <f t="shared" si="6"/>
        <v>1</v>
      </c>
      <c r="H159" s="67" t="str">
        <f t="shared" si="7"/>
        <v>000542临时工16</v>
      </c>
      <c r="I159" s="67" t="str">
        <f t="shared" si="8"/>
        <v>016</v>
      </c>
    </row>
    <row r="160" spans="1:9" x14ac:dyDescent="0.15">
      <c r="A160" s="67" t="s">
        <v>450</v>
      </c>
      <c r="B160" s="67" t="s">
        <v>451</v>
      </c>
      <c r="C160" s="67" t="s">
        <v>4590</v>
      </c>
      <c r="F160" s="67" t="s">
        <v>4409</v>
      </c>
      <c r="G160" s="67">
        <f t="shared" si="6"/>
        <v>1</v>
      </c>
      <c r="H160" s="67" t="str">
        <f t="shared" si="7"/>
        <v>000109苏振</v>
      </c>
      <c r="I160" s="67" t="str">
        <f t="shared" si="8"/>
        <v>0160</v>
      </c>
    </row>
    <row r="161" spans="1:9" x14ac:dyDescent="0.15">
      <c r="A161" s="67" t="s">
        <v>452</v>
      </c>
      <c r="B161" s="67" t="s">
        <v>453</v>
      </c>
      <c r="C161" s="67" t="s">
        <v>4591</v>
      </c>
      <c r="F161" s="67" t="s">
        <v>4409</v>
      </c>
      <c r="G161" s="67">
        <f t="shared" si="6"/>
        <v>1</v>
      </c>
      <c r="H161" s="67" t="str">
        <f t="shared" si="7"/>
        <v>000096陈德官</v>
      </c>
      <c r="I161" s="67" t="str">
        <f t="shared" si="8"/>
        <v>0161</v>
      </c>
    </row>
    <row r="162" spans="1:9" x14ac:dyDescent="0.15">
      <c r="A162" s="67" t="s">
        <v>456</v>
      </c>
      <c r="B162" s="67" t="s">
        <v>457</v>
      </c>
      <c r="C162" s="67" t="s">
        <v>4592</v>
      </c>
      <c r="D162" s="67" t="s">
        <v>4424</v>
      </c>
      <c r="E162" s="67" t="s">
        <v>4425</v>
      </c>
      <c r="F162" s="67" t="s">
        <v>4336</v>
      </c>
      <c r="G162" s="67">
        <f t="shared" si="6"/>
        <v>1</v>
      </c>
      <c r="H162" s="67" t="str">
        <f t="shared" si="7"/>
        <v>000088冷笑</v>
      </c>
      <c r="I162" s="67" t="str">
        <f t="shared" si="8"/>
        <v>0163</v>
      </c>
    </row>
    <row r="163" spans="1:9" x14ac:dyDescent="0.15">
      <c r="A163" s="67" t="s">
        <v>459</v>
      </c>
      <c r="B163" s="67" t="s">
        <v>460</v>
      </c>
      <c r="C163" s="67" t="s">
        <v>4593</v>
      </c>
      <c r="D163" s="67" t="s">
        <v>4473</v>
      </c>
      <c r="E163" s="67" t="s">
        <v>4474</v>
      </c>
      <c r="F163" s="67" t="s">
        <v>4336</v>
      </c>
      <c r="G163" s="67">
        <f t="shared" si="6"/>
        <v>1</v>
      </c>
      <c r="H163" s="67" t="str">
        <f t="shared" si="7"/>
        <v>000112张国平</v>
      </c>
      <c r="I163" s="67" t="str">
        <f t="shared" si="8"/>
        <v>0164</v>
      </c>
    </row>
    <row r="164" spans="1:9" x14ac:dyDescent="0.15">
      <c r="A164" s="67" t="s">
        <v>461</v>
      </c>
      <c r="B164" s="67" t="s">
        <v>462</v>
      </c>
      <c r="C164" s="67" t="s">
        <v>4594</v>
      </c>
      <c r="D164" s="67" t="s">
        <v>4357</v>
      </c>
      <c r="E164" s="67" t="s">
        <v>4358</v>
      </c>
      <c r="F164" s="67" t="s">
        <v>4336</v>
      </c>
      <c r="G164" s="67">
        <f t="shared" si="6"/>
        <v>1</v>
      </c>
      <c r="H164" s="67" t="str">
        <f t="shared" si="7"/>
        <v>000017生昌红</v>
      </c>
      <c r="I164" s="67" t="str">
        <f t="shared" si="8"/>
        <v>0165</v>
      </c>
    </row>
    <row r="165" spans="1:9" x14ac:dyDescent="0.15">
      <c r="A165" s="67" t="s">
        <v>463</v>
      </c>
      <c r="B165" s="67" t="s">
        <v>464</v>
      </c>
      <c r="C165" s="67" t="s">
        <v>4595</v>
      </c>
      <c r="F165" s="67" t="s">
        <v>4409</v>
      </c>
      <c r="G165" s="67">
        <f t="shared" si="6"/>
        <v>1</v>
      </c>
      <c r="H165" s="67" t="str">
        <f t="shared" si="7"/>
        <v>000103瞿林仙</v>
      </c>
      <c r="I165" s="67" t="str">
        <f t="shared" si="8"/>
        <v>0166</v>
      </c>
    </row>
    <row r="166" spans="1:9" x14ac:dyDescent="0.15">
      <c r="A166" s="67" t="s">
        <v>465</v>
      </c>
      <c r="B166" s="67" t="s">
        <v>466</v>
      </c>
      <c r="C166" s="67" t="s">
        <v>4596</v>
      </c>
      <c r="F166" s="67" t="s">
        <v>4409</v>
      </c>
      <c r="G166" s="67">
        <f t="shared" si="6"/>
        <v>2</v>
      </c>
      <c r="H166" s="67" t="str">
        <f t="shared" si="7"/>
        <v>000090郭玉惠</v>
      </c>
      <c r="I166" s="67" t="str">
        <f t="shared" si="8"/>
        <v>0167</v>
      </c>
    </row>
    <row r="167" spans="1:9" x14ac:dyDescent="0.15">
      <c r="A167" s="67" t="s">
        <v>465</v>
      </c>
      <c r="B167" s="67" t="s">
        <v>466</v>
      </c>
      <c r="C167" s="67" t="s">
        <v>4597</v>
      </c>
      <c r="D167" s="67" t="s">
        <v>4352</v>
      </c>
      <c r="E167" s="67" t="s">
        <v>4355</v>
      </c>
      <c r="F167" s="67" t="s">
        <v>4336</v>
      </c>
      <c r="G167" s="67">
        <f t="shared" si="6"/>
        <v>2</v>
      </c>
      <c r="H167" s="67" t="str">
        <f t="shared" si="7"/>
        <v>000529郭玉惠</v>
      </c>
      <c r="I167" s="67" t="str">
        <f t="shared" si="8"/>
        <v>0167</v>
      </c>
    </row>
    <row r="168" spans="1:9" x14ac:dyDescent="0.15">
      <c r="A168" s="67" t="s">
        <v>468</v>
      </c>
      <c r="B168" s="67" t="s">
        <v>469</v>
      </c>
      <c r="C168" s="67" t="s">
        <v>4598</v>
      </c>
      <c r="D168" s="67" t="s">
        <v>4338</v>
      </c>
      <c r="E168" s="67" t="s">
        <v>4339</v>
      </c>
      <c r="F168" s="67" t="s">
        <v>4336</v>
      </c>
      <c r="G168" s="67">
        <f t="shared" si="6"/>
        <v>1</v>
      </c>
      <c r="H168" s="67" t="str">
        <f t="shared" si="7"/>
        <v>000135刘良波</v>
      </c>
      <c r="I168" s="67" t="str">
        <f t="shared" si="8"/>
        <v>0168</v>
      </c>
    </row>
    <row r="169" spans="1:9" x14ac:dyDescent="0.15">
      <c r="A169" s="67" t="s">
        <v>4599</v>
      </c>
      <c r="B169" s="67" t="s">
        <v>4600</v>
      </c>
      <c r="C169" s="67" t="s">
        <v>4601</v>
      </c>
      <c r="D169" s="67" t="s">
        <v>4403</v>
      </c>
      <c r="E169" s="67" t="s">
        <v>4404</v>
      </c>
      <c r="F169" s="67" t="s">
        <v>4336</v>
      </c>
      <c r="G169" s="67">
        <f t="shared" si="6"/>
        <v>1</v>
      </c>
      <c r="H169" s="67" t="str">
        <f t="shared" si="7"/>
        <v>000543临时工17</v>
      </c>
      <c r="I169" s="67" t="str">
        <f t="shared" si="8"/>
        <v>017</v>
      </c>
    </row>
    <row r="170" spans="1:9" x14ac:dyDescent="0.15">
      <c r="A170" s="67" t="s">
        <v>472</v>
      </c>
      <c r="B170" s="67" t="s">
        <v>473</v>
      </c>
      <c r="C170" s="67" t="s">
        <v>4602</v>
      </c>
      <c r="D170" s="67" t="s">
        <v>4343</v>
      </c>
      <c r="E170" s="67" t="s">
        <v>4344</v>
      </c>
      <c r="F170" s="67" t="s">
        <v>4336</v>
      </c>
      <c r="G170" s="67">
        <f t="shared" si="6"/>
        <v>1</v>
      </c>
      <c r="H170" s="67" t="str">
        <f t="shared" si="7"/>
        <v>000091林华</v>
      </c>
      <c r="I170" s="67" t="str">
        <f t="shared" si="8"/>
        <v>0170</v>
      </c>
    </row>
    <row r="171" spans="1:9" x14ac:dyDescent="0.15">
      <c r="A171" s="67" t="s">
        <v>474</v>
      </c>
      <c r="B171" s="67" t="s">
        <v>4603</v>
      </c>
      <c r="C171" s="67" t="s">
        <v>4604</v>
      </c>
      <c r="D171" s="67" t="s">
        <v>4343</v>
      </c>
      <c r="E171" s="67" t="s">
        <v>4344</v>
      </c>
      <c r="F171" s="67" t="s">
        <v>4336</v>
      </c>
      <c r="G171" s="67">
        <f t="shared" si="6"/>
        <v>1</v>
      </c>
      <c r="H171" s="67" t="str">
        <f t="shared" si="7"/>
        <v>000089陈成</v>
      </c>
      <c r="I171" s="67" t="str">
        <f t="shared" si="8"/>
        <v>0171</v>
      </c>
    </row>
    <row r="172" spans="1:9" x14ac:dyDescent="0.15">
      <c r="A172" s="67" t="s">
        <v>476</v>
      </c>
      <c r="B172" s="67" t="s">
        <v>477</v>
      </c>
      <c r="C172" s="67" t="s">
        <v>4605</v>
      </c>
      <c r="F172" s="67" t="s">
        <v>4409</v>
      </c>
      <c r="G172" s="67">
        <f t="shared" si="6"/>
        <v>1</v>
      </c>
      <c r="H172" s="67" t="str">
        <f t="shared" si="7"/>
        <v>000093胥磊</v>
      </c>
      <c r="I172" s="67" t="str">
        <f t="shared" si="8"/>
        <v>0172</v>
      </c>
    </row>
    <row r="173" spans="1:9" x14ac:dyDescent="0.15">
      <c r="A173" s="67" t="s">
        <v>478</v>
      </c>
      <c r="B173" s="67" t="s">
        <v>479</v>
      </c>
      <c r="C173" s="67" t="s">
        <v>4606</v>
      </c>
      <c r="D173" s="67" t="s">
        <v>4343</v>
      </c>
      <c r="E173" s="67" t="s">
        <v>4344</v>
      </c>
      <c r="F173" s="67" t="s">
        <v>4336</v>
      </c>
      <c r="G173" s="67">
        <f t="shared" si="6"/>
        <v>1</v>
      </c>
      <c r="H173" s="67" t="str">
        <f t="shared" si="7"/>
        <v>000092谭秀阳</v>
      </c>
      <c r="I173" s="67" t="str">
        <f t="shared" si="8"/>
        <v>0173</v>
      </c>
    </row>
    <row r="174" spans="1:9" x14ac:dyDescent="0.15">
      <c r="A174" s="67" t="s">
        <v>480</v>
      </c>
      <c r="B174" s="67" t="s">
        <v>481</v>
      </c>
      <c r="C174" s="67" t="s">
        <v>4607</v>
      </c>
      <c r="D174" s="67" t="s">
        <v>4424</v>
      </c>
      <c r="E174" s="67" t="s">
        <v>4425</v>
      </c>
      <c r="F174" s="67" t="s">
        <v>4336</v>
      </c>
      <c r="G174" s="67">
        <f t="shared" si="6"/>
        <v>1</v>
      </c>
      <c r="H174" s="67" t="str">
        <f t="shared" si="7"/>
        <v>000289张峰</v>
      </c>
      <c r="I174" s="67" t="str">
        <f t="shared" si="8"/>
        <v>0174</v>
      </c>
    </row>
    <row r="175" spans="1:9" x14ac:dyDescent="0.15">
      <c r="A175" s="67" t="s">
        <v>484</v>
      </c>
      <c r="B175" s="67" t="s">
        <v>485</v>
      </c>
      <c r="C175" s="67" t="s">
        <v>4608</v>
      </c>
      <c r="D175" s="67" t="s">
        <v>4338</v>
      </c>
      <c r="E175" s="67" t="s">
        <v>4339</v>
      </c>
      <c r="F175" s="67" t="s">
        <v>4336</v>
      </c>
      <c r="G175" s="67">
        <f t="shared" si="6"/>
        <v>1</v>
      </c>
      <c r="H175" s="67" t="str">
        <f t="shared" si="7"/>
        <v>000083张慧敏</v>
      </c>
      <c r="I175" s="67" t="str">
        <f t="shared" si="8"/>
        <v>0176</v>
      </c>
    </row>
    <row r="176" spans="1:9" x14ac:dyDescent="0.15">
      <c r="A176" s="67" t="s">
        <v>486</v>
      </c>
      <c r="B176" s="67" t="s">
        <v>487</v>
      </c>
      <c r="C176" s="67" t="s">
        <v>4609</v>
      </c>
      <c r="D176" s="67" t="s">
        <v>4343</v>
      </c>
      <c r="E176" s="67" t="s">
        <v>4344</v>
      </c>
      <c r="F176" s="67" t="s">
        <v>4336</v>
      </c>
      <c r="G176" s="67">
        <f t="shared" si="6"/>
        <v>1</v>
      </c>
      <c r="H176" s="67" t="str">
        <f t="shared" si="7"/>
        <v>000204关喜英</v>
      </c>
      <c r="I176" s="67" t="str">
        <f t="shared" si="8"/>
        <v>0177</v>
      </c>
    </row>
    <row r="177" spans="1:9" x14ac:dyDescent="0.15">
      <c r="A177" s="67" t="s">
        <v>488</v>
      </c>
      <c r="B177" s="67" t="s">
        <v>489</v>
      </c>
      <c r="C177" s="67" t="s">
        <v>4610</v>
      </c>
      <c r="D177" s="67" t="s">
        <v>4343</v>
      </c>
      <c r="E177" s="67" t="s">
        <v>4611</v>
      </c>
      <c r="F177" s="67" t="s">
        <v>4336</v>
      </c>
      <c r="G177" s="67">
        <f t="shared" si="6"/>
        <v>2</v>
      </c>
      <c r="H177" s="67" t="str">
        <f t="shared" si="7"/>
        <v>000009王萍</v>
      </c>
      <c r="I177" s="67" t="str">
        <f t="shared" si="8"/>
        <v>0178</v>
      </c>
    </row>
    <row r="178" spans="1:9" x14ac:dyDescent="0.15">
      <c r="A178" s="67" t="s">
        <v>488</v>
      </c>
      <c r="B178" s="67" t="s">
        <v>489</v>
      </c>
      <c r="C178" s="67" t="s">
        <v>4612</v>
      </c>
      <c r="D178" s="67" t="s">
        <v>4343</v>
      </c>
      <c r="E178" s="67" t="s">
        <v>4613</v>
      </c>
      <c r="F178" s="67" t="s">
        <v>4336</v>
      </c>
      <c r="G178" s="67">
        <f t="shared" si="6"/>
        <v>2</v>
      </c>
      <c r="H178" s="67" t="str">
        <f t="shared" si="7"/>
        <v>000386王萍</v>
      </c>
      <c r="I178" s="67" t="str">
        <f t="shared" si="8"/>
        <v>0178</v>
      </c>
    </row>
    <row r="179" spans="1:9" x14ac:dyDescent="0.15">
      <c r="A179" s="67" t="s">
        <v>490</v>
      </c>
      <c r="B179" s="67" t="s">
        <v>491</v>
      </c>
      <c r="C179" s="67" t="s">
        <v>4614</v>
      </c>
      <c r="D179" s="67" t="s">
        <v>4338</v>
      </c>
      <c r="E179" s="67" t="s">
        <v>4339</v>
      </c>
      <c r="F179" s="67" t="s">
        <v>4336</v>
      </c>
      <c r="G179" s="67">
        <f t="shared" si="6"/>
        <v>1</v>
      </c>
      <c r="H179" s="67" t="str">
        <f t="shared" si="7"/>
        <v>000078杨锋坪</v>
      </c>
      <c r="I179" s="67" t="str">
        <f t="shared" si="8"/>
        <v>0179</v>
      </c>
    </row>
    <row r="180" spans="1:9" x14ac:dyDescent="0.15">
      <c r="A180" s="67" t="s">
        <v>4615</v>
      </c>
      <c r="B180" s="67" t="s">
        <v>4616</v>
      </c>
      <c r="C180" s="67" t="s">
        <v>4617</v>
      </c>
      <c r="D180" s="67" t="s">
        <v>4403</v>
      </c>
      <c r="E180" s="67" t="s">
        <v>4404</v>
      </c>
      <c r="F180" s="67" t="s">
        <v>4336</v>
      </c>
      <c r="G180" s="67">
        <f t="shared" si="6"/>
        <v>1</v>
      </c>
      <c r="H180" s="67" t="str">
        <f t="shared" si="7"/>
        <v>000544临时工18</v>
      </c>
      <c r="I180" s="67" t="str">
        <f t="shared" si="8"/>
        <v>018</v>
      </c>
    </row>
    <row r="181" spans="1:9" x14ac:dyDescent="0.15">
      <c r="A181" s="67" t="s">
        <v>492</v>
      </c>
      <c r="B181" s="67" t="s">
        <v>493</v>
      </c>
      <c r="C181" s="67" t="s">
        <v>4618</v>
      </c>
      <c r="D181" s="67" t="s">
        <v>4343</v>
      </c>
      <c r="E181" s="67" t="s">
        <v>4344</v>
      </c>
      <c r="F181" s="67" t="s">
        <v>4336</v>
      </c>
      <c r="G181" s="67">
        <f t="shared" si="6"/>
        <v>1</v>
      </c>
      <c r="H181" s="67" t="str">
        <f t="shared" si="7"/>
        <v>000094张立泰</v>
      </c>
      <c r="I181" s="67" t="str">
        <f t="shared" si="8"/>
        <v>0180</v>
      </c>
    </row>
    <row r="182" spans="1:9" x14ac:dyDescent="0.15">
      <c r="A182" s="67" t="s">
        <v>496</v>
      </c>
      <c r="B182" s="67" t="s">
        <v>497</v>
      </c>
      <c r="C182" s="67" t="s">
        <v>4619</v>
      </c>
      <c r="D182" s="67" t="s">
        <v>4338</v>
      </c>
      <c r="E182" s="67" t="s">
        <v>4339</v>
      </c>
      <c r="F182" s="67" t="s">
        <v>4336</v>
      </c>
      <c r="G182" s="67">
        <f t="shared" si="6"/>
        <v>1</v>
      </c>
      <c r="H182" s="67" t="str">
        <f t="shared" si="7"/>
        <v>000134刘坤</v>
      </c>
      <c r="I182" s="67" t="str">
        <f t="shared" si="8"/>
        <v>0182</v>
      </c>
    </row>
    <row r="183" spans="1:9" x14ac:dyDescent="0.15">
      <c r="A183" s="67" t="s">
        <v>498</v>
      </c>
      <c r="B183" s="67" t="s">
        <v>499</v>
      </c>
      <c r="C183" s="67" t="s">
        <v>4620</v>
      </c>
      <c r="D183" s="67" t="s">
        <v>4427</v>
      </c>
      <c r="E183" s="67" t="s">
        <v>4428</v>
      </c>
      <c r="F183" s="67" t="s">
        <v>4336</v>
      </c>
      <c r="G183" s="67">
        <f t="shared" si="6"/>
        <v>1</v>
      </c>
      <c r="H183" s="67" t="str">
        <f t="shared" si="7"/>
        <v>000044肖亚东</v>
      </c>
      <c r="I183" s="67" t="str">
        <f t="shared" si="8"/>
        <v>0183</v>
      </c>
    </row>
    <row r="184" spans="1:9" x14ac:dyDescent="0.15">
      <c r="A184" s="67" t="s">
        <v>500</v>
      </c>
      <c r="B184" s="67" t="s">
        <v>501</v>
      </c>
      <c r="C184" s="67" t="s">
        <v>4621</v>
      </c>
      <c r="D184" s="67" t="s">
        <v>4518</v>
      </c>
      <c r="E184" s="67" t="s">
        <v>4519</v>
      </c>
      <c r="F184" s="67" t="s">
        <v>4336</v>
      </c>
      <c r="G184" s="67">
        <f t="shared" si="6"/>
        <v>3</v>
      </c>
      <c r="H184" s="67" t="str">
        <f t="shared" si="7"/>
        <v>000273李雨洲</v>
      </c>
      <c r="I184" s="67" t="str">
        <f t="shared" si="8"/>
        <v>0184</v>
      </c>
    </row>
    <row r="185" spans="1:9" x14ac:dyDescent="0.15">
      <c r="A185" s="67" t="s">
        <v>500</v>
      </c>
      <c r="B185" s="67" t="s">
        <v>501</v>
      </c>
      <c r="C185" s="67" t="s">
        <v>4622</v>
      </c>
      <c r="D185" s="67" t="s">
        <v>4518</v>
      </c>
      <c r="E185" s="67" t="s">
        <v>4519</v>
      </c>
      <c r="F185" s="67" t="s">
        <v>4336</v>
      </c>
      <c r="G185" s="67">
        <f t="shared" si="6"/>
        <v>3</v>
      </c>
      <c r="H185" s="67" t="str">
        <f t="shared" si="7"/>
        <v>000793李雨洲</v>
      </c>
      <c r="I185" s="67" t="str">
        <f t="shared" si="8"/>
        <v>0184</v>
      </c>
    </row>
    <row r="186" spans="1:9" x14ac:dyDescent="0.15">
      <c r="A186" s="67" t="s">
        <v>500</v>
      </c>
      <c r="B186" s="67" t="s">
        <v>501</v>
      </c>
      <c r="C186" s="67" t="s">
        <v>4623</v>
      </c>
      <c r="D186" s="67" t="s">
        <v>4518</v>
      </c>
      <c r="E186" s="67" t="s">
        <v>4519</v>
      </c>
      <c r="F186" s="67" t="s">
        <v>4336</v>
      </c>
      <c r="G186" s="67">
        <f t="shared" si="6"/>
        <v>3</v>
      </c>
      <c r="H186" s="67" t="str">
        <f t="shared" si="7"/>
        <v>000768李雨洲</v>
      </c>
      <c r="I186" s="67" t="str">
        <f t="shared" si="8"/>
        <v>0184</v>
      </c>
    </row>
    <row r="187" spans="1:9" x14ac:dyDescent="0.15">
      <c r="A187" s="67" t="s">
        <v>506</v>
      </c>
      <c r="B187" s="67" t="s">
        <v>507</v>
      </c>
      <c r="C187" s="67" t="s">
        <v>4624</v>
      </c>
      <c r="F187" s="67" t="s">
        <v>4409</v>
      </c>
      <c r="G187" s="67">
        <f t="shared" si="6"/>
        <v>1</v>
      </c>
      <c r="H187" s="67" t="str">
        <f t="shared" si="7"/>
        <v>000234唐丽萍</v>
      </c>
      <c r="I187" s="67" t="str">
        <f t="shared" si="8"/>
        <v>0187</v>
      </c>
    </row>
    <row r="188" spans="1:9" x14ac:dyDescent="0.15">
      <c r="A188" s="67" t="s">
        <v>4625</v>
      </c>
      <c r="B188" s="67" t="s">
        <v>4626</v>
      </c>
      <c r="C188" s="67" t="s">
        <v>4627</v>
      </c>
      <c r="D188" s="67" t="s">
        <v>4403</v>
      </c>
      <c r="E188" s="67" t="s">
        <v>4404</v>
      </c>
      <c r="F188" s="67" t="s">
        <v>4336</v>
      </c>
      <c r="G188" s="67">
        <f t="shared" si="6"/>
        <v>1</v>
      </c>
      <c r="H188" s="67" t="str">
        <f t="shared" si="7"/>
        <v>000545临时工19</v>
      </c>
      <c r="I188" s="67" t="str">
        <f t="shared" si="8"/>
        <v>019</v>
      </c>
    </row>
    <row r="189" spans="1:9" x14ac:dyDescent="0.15">
      <c r="A189" s="67" t="s">
        <v>512</v>
      </c>
      <c r="B189" s="67" t="s">
        <v>513</v>
      </c>
      <c r="C189" s="67" t="s">
        <v>4628</v>
      </c>
      <c r="D189" s="67" t="s">
        <v>4629</v>
      </c>
      <c r="E189" s="67" t="s">
        <v>4630</v>
      </c>
      <c r="F189" s="67" t="s">
        <v>4336</v>
      </c>
      <c r="G189" s="67">
        <f t="shared" si="6"/>
        <v>2</v>
      </c>
      <c r="H189" s="67" t="str">
        <f t="shared" si="7"/>
        <v>000182马军领</v>
      </c>
      <c r="I189" s="67" t="str">
        <f t="shared" si="8"/>
        <v>0190</v>
      </c>
    </row>
    <row r="190" spans="1:9" x14ac:dyDescent="0.15">
      <c r="A190" s="67" t="s">
        <v>512</v>
      </c>
      <c r="B190" s="67" t="s">
        <v>513</v>
      </c>
      <c r="C190" s="67" t="s">
        <v>4631</v>
      </c>
      <c r="D190" s="67" t="s">
        <v>4629</v>
      </c>
      <c r="E190" s="67" t="s">
        <v>4630</v>
      </c>
      <c r="F190" s="67" t="s">
        <v>4336</v>
      </c>
      <c r="G190" s="67">
        <f t="shared" si="6"/>
        <v>2</v>
      </c>
      <c r="H190" s="67" t="str">
        <f t="shared" si="7"/>
        <v>000867马军领</v>
      </c>
      <c r="I190" s="67" t="str">
        <f t="shared" si="8"/>
        <v>0190</v>
      </c>
    </row>
    <row r="191" spans="1:9" x14ac:dyDescent="0.15">
      <c r="A191" s="67" t="s">
        <v>514</v>
      </c>
      <c r="B191" s="67" t="s">
        <v>515</v>
      </c>
      <c r="C191" s="67" t="s">
        <v>4632</v>
      </c>
      <c r="D191" s="67" t="s">
        <v>4553</v>
      </c>
      <c r="E191" s="67" t="s">
        <v>4633</v>
      </c>
      <c r="F191" s="67" t="s">
        <v>4336</v>
      </c>
      <c r="G191" s="67">
        <f t="shared" si="6"/>
        <v>1</v>
      </c>
      <c r="H191" s="67" t="str">
        <f t="shared" si="7"/>
        <v>000166杜伟</v>
      </c>
      <c r="I191" s="67" t="str">
        <f t="shared" si="8"/>
        <v>0191</v>
      </c>
    </row>
    <row r="192" spans="1:9" x14ac:dyDescent="0.15">
      <c r="A192" s="67" t="s">
        <v>516</v>
      </c>
      <c r="B192" s="67" t="s">
        <v>517</v>
      </c>
      <c r="C192" s="67" t="s">
        <v>4634</v>
      </c>
      <c r="D192" s="67" t="s">
        <v>4424</v>
      </c>
      <c r="E192" s="67" t="s">
        <v>4425</v>
      </c>
      <c r="F192" s="67" t="s">
        <v>4336</v>
      </c>
      <c r="G192" s="67">
        <f t="shared" si="6"/>
        <v>1</v>
      </c>
      <c r="H192" s="67" t="str">
        <f t="shared" si="7"/>
        <v>000193王先位</v>
      </c>
      <c r="I192" s="67" t="str">
        <f t="shared" si="8"/>
        <v>0192</v>
      </c>
    </row>
    <row r="193" spans="1:9" x14ac:dyDescent="0.15">
      <c r="A193" s="67" t="s">
        <v>524</v>
      </c>
      <c r="B193" s="67" t="s">
        <v>525</v>
      </c>
      <c r="C193" s="67" t="s">
        <v>4635</v>
      </c>
      <c r="D193" s="67" t="s">
        <v>4636</v>
      </c>
      <c r="E193" s="67" t="s">
        <v>4637</v>
      </c>
      <c r="F193" s="67" t="s">
        <v>4336</v>
      </c>
      <c r="G193" s="67">
        <f t="shared" si="6"/>
        <v>1</v>
      </c>
      <c r="H193" s="67" t="str">
        <f t="shared" si="7"/>
        <v>000326李新红</v>
      </c>
      <c r="I193" s="67" t="str">
        <f t="shared" si="8"/>
        <v>0196</v>
      </c>
    </row>
    <row r="194" spans="1:9" x14ac:dyDescent="0.15">
      <c r="A194" s="67" t="s">
        <v>528</v>
      </c>
      <c r="B194" s="67" t="s">
        <v>529</v>
      </c>
      <c r="C194" s="67" t="s">
        <v>4638</v>
      </c>
      <c r="F194" s="67" t="s">
        <v>4409</v>
      </c>
      <c r="G194" s="67">
        <f t="shared" si="6"/>
        <v>3</v>
      </c>
      <c r="H194" s="67" t="str">
        <f t="shared" si="7"/>
        <v>000350王红军</v>
      </c>
      <c r="I194" s="67" t="str">
        <f t="shared" si="8"/>
        <v>0198</v>
      </c>
    </row>
    <row r="195" spans="1:9" x14ac:dyDescent="0.15">
      <c r="A195" s="67" t="s">
        <v>528</v>
      </c>
      <c r="B195" s="67" t="s">
        <v>529</v>
      </c>
      <c r="C195" s="67" t="s">
        <v>4639</v>
      </c>
      <c r="D195" s="67" t="s">
        <v>4640</v>
      </c>
      <c r="E195" s="67" t="s">
        <v>4641</v>
      </c>
      <c r="F195" s="67" t="s">
        <v>4336</v>
      </c>
      <c r="G195" s="67">
        <f t="shared" ref="G195:G258" si="9">COUNTIFS(B:B,B195)</f>
        <v>3</v>
      </c>
      <c r="H195" s="67" t="str">
        <f t="shared" ref="H195:H258" si="10">C195&amp;B195</f>
        <v>000614王红军</v>
      </c>
      <c r="I195" s="67" t="str">
        <f t="shared" ref="I195:I258" si="11">A195</f>
        <v>0198</v>
      </c>
    </row>
    <row r="196" spans="1:9" x14ac:dyDescent="0.15">
      <c r="A196" s="67" t="s">
        <v>528</v>
      </c>
      <c r="B196" s="67" t="s">
        <v>529</v>
      </c>
      <c r="C196" s="67" t="s">
        <v>4642</v>
      </c>
      <c r="D196" s="67" t="s">
        <v>4643</v>
      </c>
      <c r="E196" s="67" t="s">
        <v>4644</v>
      </c>
      <c r="F196" s="67" t="s">
        <v>4336</v>
      </c>
      <c r="G196" s="67">
        <f t="shared" si="9"/>
        <v>3</v>
      </c>
      <c r="H196" s="67" t="str">
        <f t="shared" si="10"/>
        <v>000702王红军</v>
      </c>
      <c r="I196" s="67" t="str">
        <f t="shared" si="11"/>
        <v>0198</v>
      </c>
    </row>
    <row r="197" spans="1:9" x14ac:dyDescent="0.15">
      <c r="A197" s="67" t="s">
        <v>4645</v>
      </c>
      <c r="B197" s="67" t="s">
        <v>4646</v>
      </c>
      <c r="C197" s="67" t="s">
        <v>4647</v>
      </c>
      <c r="D197" s="67" t="s">
        <v>4403</v>
      </c>
      <c r="E197" s="67" t="s">
        <v>4404</v>
      </c>
      <c r="F197" s="67" t="s">
        <v>4336</v>
      </c>
      <c r="G197" s="67">
        <f t="shared" si="9"/>
        <v>1</v>
      </c>
      <c r="H197" s="67" t="str">
        <f t="shared" si="10"/>
        <v>000546临时工20</v>
      </c>
      <c r="I197" s="67" t="str">
        <f t="shared" si="11"/>
        <v>020</v>
      </c>
    </row>
    <row r="198" spans="1:9" x14ac:dyDescent="0.15">
      <c r="A198" s="67" t="s">
        <v>536</v>
      </c>
      <c r="B198" s="67" t="s">
        <v>537</v>
      </c>
      <c r="C198" s="67" t="s">
        <v>4648</v>
      </c>
      <c r="D198" s="67" t="s">
        <v>4424</v>
      </c>
      <c r="E198" s="67" t="s">
        <v>4425</v>
      </c>
      <c r="F198" s="67" t="s">
        <v>4336</v>
      </c>
      <c r="G198" s="67">
        <f t="shared" si="9"/>
        <v>1</v>
      </c>
      <c r="H198" s="67" t="str">
        <f t="shared" si="10"/>
        <v>000297贺毛娥</v>
      </c>
      <c r="I198" s="67" t="str">
        <f t="shared" si="11"/>
        <v>0202</v>
      </c>
    </row>
    <row r="199" spans="1:9" x14ac:dyDescent="0.15">
      <c r="A199" s="67" t="s">
        <v>542</v>
      </c>
      <c r="B199" s="67" t="s">
        <v>543</v>
      </c>
      <c r="C199" s="67" t="s">
        <v>4649</v>
      </c>
      <c r="D199" s="67" t="s">
        <v>4424</v>
      </c>
      <c r="E199" s="67" t="s">
        <v>4425</v>
      </c>
      <c r="F199" s="67" t="s">
        <v>4336</v>
      </c>
      <c r="G199" s="67">
        <f t="shared" si="9"/>
        <v>4</v>
      </c>
      <c r="H199" s="67" t="str">
        <f t="shared" si="10"/>
        <v>000202张林</v>
      </c>
      <c r="I199" s="67" t="str">
        <f t="shared" si="11"/>
        <v>0205</v>
      </c>
    </row>
    <row r="200" spans="1:9" x14ac:dyDescent="0.15">
      <c r="A200" s="67" t="s">
        <v>542</v>
      </c>
      <c r="B200" s="67" t="s">
        <v>543</v>
      </c>
      <c r="C200" s="67" t="s">
        <v>4650</v>
      </c>
      <c r="D200" s="67" t="s">
        <v>4424</v>
      </c>
      <c r="E200" s="67" t="s">
        <v>4651</v>
      </c>
      <c r="F200" s="67" t="s">
        <v>4336</v>
      </c>
      <c r="G200" s="67">
        <f t="shared" si="9"/>
        <v>4</v>
      </c>
      <c r="H200" s="67" t="str">
        <f t="shared" si="10"/>
        <v>000725张林</v>
      </c>
      <c r="I200" s="67" t="str">
        <f t="shared" si="11"/>
        <v>0205</v>
      </c>
    </row>
    <row r="201" spans="1:9" x14ac:dyDescent="0.15">
      <c r="A201" s="67" t="s">
        <v>542</v>
      </c>
      <c r="B201" s="67" t="s">
        <v>543</v>
      </c>
      <c r="C201" s="67" t="s">
        <v>4652</v>
      </c>
      <c r="D201" s="67" t="s">
        <v>4424</v>
      </c>
      <c r="E201" s="67" t="s">
        <v>4425</v>
      </c>
      <c r="F201" s="67" t="s">
        <v>4336</v>
      </c>
      <c r="G201" s="67">
        <f t="shared" si="9"/>
        <v>4</v>
      </c>
      <c r="H201" s="67" t="str">
        <f t="shared" si="10"/>
        <v>000658张林</v>
      </c>
      <c r="I201" s="67" t="str">
        <f t="shared" si="11"/>
        <v>0205</v>
      </c>
    </row>
    <row r="202" spans="1:9" x14ac:dyDescent="0.15">
      <c r="A202" s="67" t="s">
        <v>542</v>
      </c>
      <c r="B202" s="67" t="s">
        <v>543</v>
      </c>
      <c r="C202" s="67" t="s">
        <v>4653</v>
      </c>
      <c r="D202" s="67" t="s">
        <v>4424</v>
      </c>
      <c r="E202" s="67" t="s">
        <v>4425</v>
      </c>
      <c r="F202" s="67" t="s">
        <v>4336</v>
      </c>
      <c r="G202" s="67">
        <f t="shared" si="9"/>
        <v>4</v>
      </c>
      <c r="H202" s="67" t="str">
        <f t="shared" si="10"/>
        <v>000582张林</v>
      </c>
      <c r="I202" s="67" t="str">
        <f t="shared" si="11"/>
        <v>0205</v>
      </c>
    </row>
    <row r="203" spans="1:9" x14ac:dyDescent="0.15">
      <c r="A203" s="67" t="s">
        <v>544</v>
      </c>
      <c r="B203" s="67" t="s">
        <v>545</v>
      </c>
      <c r="C203" s="67" t="s">
        <v>4654</v>
      </c>
      <c r="D203" s="67" t="s">
        <v>4424</v>
      </c>
      <c r="E203" s="67" t="s">
        <v>4425</v>
      </c>
      <c r="F203" s="67" t="s">
        <v>4336</v>
      </c>
      <c r="G203" s="67">
        <f t="shared" si="9"/>
        <v>1</v>
      </c>
      <c r="H203" s="67" t="str">
        <f t="shared" si="10"/>
        <v>000383黄国平</v>
      </c>
      <c r="I203" s="67" t="str">
        <f t="shared" si="11"/>
        <v>0206</v>
      </c>
    </row>
    <row r="204" spans="1:9" x14ac:dyDescent="0.15">
      <c r="A204" s="67" t="s">
        <v>550</v>
      </c>
      <c r="B204" s="67" t="s">
        <v>551</v>
      </c>
      <c r="C204" s="67" t="s">
        <v>4655</v>
      </c>
      <c r="D204" s="67" t="s">
        <v>4432</v>
      </c>
      <c r="E204" s="67" t="s">
        <v>4433</v>
      </c>
      <c r="F204" s="67" t="s">
        <v>4336</v>
      </c>
      <c r="G204" s="67">
        <f t="shared" si="9"/>
        <v>1</v>
      </c>
      <c r="H204" s="67" t="str">
        <f t="shared" si="10"/>
        <v>000131李义恒</v>
      </c>
      <c r="I204" s="67" t="str">
        <f t="shared" si="11"/>
        <v>0209</v>
      </c>
    </row>
    <row r="205" spans="1:9" x14ac:dyDescent="0.15">
      <c r="A205" s="67" t="s">
        <v>4656</v>
      </c>
      <c r="B205" s="67" t="s">
        <v>4657</v>
      </c>
      <c r="C205" s="67" t="s">
        <v>4658</v>
      </c>
      <c r="D205" s="67" t="s">
        <v>4403</v>
      </c>
      <c r="E205" s="67" t="s">
        <v>4404</v>
      </c>
      <c r="F205" s="67" t="s">
        <v>4336</v>
      </c>
      <c r="G205" s="67">
        <f t="shared" si="9"/>
        <v>1</v>
      </c>
      <c r="H205" s="67" t="str">
        <f t="shared" si="10"/>
        <v>000547临时工21</v>
      </c>
      <c r="I205" s="67" t="str">
        <f t="shared" si="11"/>
        <v>021</v>
      </c>
    </row>
    <row r="206" spans="1:9" x14ac:dyDescent="0.15">
      <c r="A206" s="67" t="s">
        <v>552</v>
      </c>
      <c r="B206" s="67" t="s">
        <v>553</v>
      </c>
      <c r="C206" s="67" t="s">
        <v>4659</v>
      </c>
      <c r="D206" s="67" t="s">
        <v>4660</v>
      </c>
      <c r="E206" s="67" t="s">
        <v>4661</v>
      </c>
      <c r="F206" s="67" t="s">
        <v>4336</v>
      </c>
      <c r="G206" s="67">
        <f t="shared" si="9"/>
        <v>1</v>
      </c>
      <c r="H206" s="67" t="str">
        <f t="shared" si="10"/>
        <v>000249任海峰</v>
      </c>
      <c r="I206" s="67" t="str">
        <f t="shared" si="11"/>
        <v>0210</v>
      </c>
    </row>
    <row r="207" spans="1:9" x14ac:dyDescent="0.15">
      <c r="A207" s="67" t="s">
        <v>556</v>
      </c>
      <c r="B207" s="67" t="s">
        <v>557</v>
      </c>
      <c r="C207" s="67" t="s">
        <v>4662</v>
      </c>
      <c r="D207" s="67" t="s">
        <v>4518</v>
      </c>
      <c r="E207" s="67" t="s">
        <v>4663</v>
      </c>
      <c r="F207" s="67" t="s">
        <v>4336</v>
      </c>
      <c r="G207" s="67">
        <f t="shared" si="9"/>
        <v>1</v>
      </c>
      <c r="H207" s="67" t="str">
        <f t="shared" si="10"/>
        <v>000294朱伟涛</v>
      </c>
      <c r="I207" s="67" t="str">
        <f t="shared" si="11"/>
        <v>0215</v>
      </c>
    </row>
    <row r="208" spans="1:9" x14ac:dyDescent="0.15">
      <c r="A208" s="67" t="s">
        <v>558</v>
      </c>
      <c r="B208" s="67" t="s">
        <v>559</v>
      </c>
      <c r="C208" s="67" t="s">
        <v>4664</v>
      </c>
      <c r="D208" s="67" t="s">
        <v>4338</v>
      </c>
      <c r="E208" s="67" t="s">
        <v>4339</v>
      </c>
      <c r="F208" s="67" t="s">
        <v>4336</v>
      </c>
      <c r="G208" s="67">
        <f t="shared" si="9"/>
        <v>1</v>
      </c>
      <c r="H208" s="67" t="str">
        <f t="shared" si="10"/>
        <v>000199杨开坂</v>
      </c>
      <c r="I208" s="67" t="str">
        <f t="shared" si="11"/>
        <v>0216</v>
      </c>
    </row>
    <row r="209" spans="1:13" ht="14.25" x14ac:dyDescent="0.15">
      <c r="A209" s="67" t="s">
        <v>560</v>
      </c>
      <c r="B209" s="67" t="s">
        <v>1818</v>
      </c>
      <c r="C209" s="67" t="s">
        <v>4665</v>
      </c>
      <c r="D209" s="67" t="s">
        <v>4338</v>
      </c>
      <c r="E209" s="67" t="s">
        <v>4339</v>
      </c>
      <c r="F209" s="67" t="s">
        <v>4336</v>
      </c>
      <c r="G209" s="67">
        <f t="shared" si="9"/>
        <v>2</v>
      </c>
      <c r="H209" s="67" t="str">
        <f t="shared" si="10"/>
        <v>000154叶鑫</v>
      </c>
      <c r="I209" s="67" t="str">
        <f t="shared" si="11"/>
        <v>0217</v>
      </c>
      <c r="J209" s="66" t="s">
        <v>561</v>
      </c>
      <c r="K209" s="66" t="s">
        <v>133</v>
      </c>
      <c r="L209" s="66" t="str">
        <f t="shared" ref="L209" si="12">I209</f>
        <v>0217</v>
      </c>
      <c r="M209" s="66">
        <f t="shared" ref="M209" si="13">COUNTIFS(J:J,J209)</f>
        <v>1</v>
      </c>
    </row>
    <row r="210" spans="1:13" x14ac:dyDescent="0.15">
      <c r="A210" s="67" t="s">
        <v>4666</v>
      </c>
      <c r="B210" s="67" t="s">
        <v>4667</v>
      </c>
      <c r="C210" s="67" t="s">
        <v>4668</v>
      </c>
      <c r="D210" s="67" t="s">
        <v>4403</v>
      </c>
      <c r="E210" s="67" t="s">
        <v>4404</v>
      </c>
      <c r="F210" s="67" t="s">
        <v>4336</v>
      </c>
      <c r="G210" s="67">
        <f t="shared" si="9"/>
        <v>1</v>
      </c>
      <c r="H210" s="67" t="str">
        <f t="shared" si="10"/>
        <v>000548临时工22</v>
      </c>
      <c r="I210" s="67" t="str">
        <f t="shared" si="11"/>
        <v>022</v>
      </c>
    </row>
    <row r="211" spans="1:13" x14ac:dyDescent="0.15">
      <c r="A211" s="67" t="s">
        <v>566</v>
      </c>
      <c r="B211" s="67" t="s">
        <v>567</v>
      </c>
      <c r="C211" s="67" t="s">
        <v>4669</v>
      </c>
      <c r="D211" s="67" t="s">
        <v>4338</v>
      </c>
      <c r="E211" s="67" t="s">
        <v>4339</v>
      </c>
      <c r="F211" s="67" t="s">
        <v>4336</v>
      </c>
      <c r="G211" s="67">
        <f t="shared" si="9"/>
        <v>1</v>
      </c>
      <c r="H211" s="67" t="str">
        <f t="shared" si="10"/>
        <v>000149王小蓉</v>
      </c>
      <c r="I211" s="67" t="str">
        <f t="shared" si="11"/>
        <v>0220</v>
      </c>
    </row>
    <row r="212" spans="1:13" x14ac:dyDescent="0.15">
      <c r="A212" s="67" t="s">
        <v>568</v>
      </c>
      <c r="B212" s="67" t="s">
        <v>569</v>
      </c>
      <c r="C212" s="67" t="s">
        <v>4670</v>
      </c>
      <c r="D212" s="67" t="s">
        <v>4671</v>
      </c>
      <c r="E212" s="67" t="s">
        <v>4672</v>
      </c>
      <c r="F212" s="67" t="s">
        <v>4336</v>
      </c>
      <c r="G212" s="67">
        <f t="shared" si="9"/>
        <v>1</v>
      </c>
      <c r="H212" s="67" t="str">
        <f t="shared" si="10"/>
        <v>000461王东豫</v>
      </c>
      <c r="I212" s="67" t="str">
        <f t="shared" si="11"/>
        <v>0221</v>
      </c>
    </row>
    <row r="213" spans="1:13" x14ac:dyDescent="0.15">
      <c r="A213" s="67" t="s">
        <v>574</v>
      </c>
      <c r="B213" s="67" t="s">
        <v>575</v>
      </c>
      <c r="C213" s="67" t="s">
        <v>4673</v>
      </c>
      <c r="F213" s="67" t="s">
        <v>4409</v>
      </c>
      <c r="G213" s="67">
        <f t="shared" si="9"/>
        <v>1</v>
      </c>
      <c r="H213" s="67" t="str">
        <f t="shared" si="10"/>
        <v>000304陈冲</v>
      </c>
      <c r="I213" s="67" t="str">
        <f t="shared" si="11"/>
        <v>0224</v>
      </c>
    </row>
    <row r="214" spans="1:13" x14ac:dyDescent="0.15">
      <c r="A214" s="67" t="s">
        <v>576</v>
      </c>
      <c r="B214" s="67" t="s">
        <v>577</v>
      </c>
      <c r="C214" s="67" t="s">
        <v>4674</v>
      </c>
      <c r="F214" s="67" t="s">
        <v>4409</v>
      </c>
      <c r="G214" s="67">
        <f t="shared" si="9"/>
        <v>1</v>
      </c>
      <c r="H214" s="67" t="str">
        <f t="shared" si="10"/>
        <v>000380庄世明</v>
      </c>
      <c r="I214" s="67" t="str">
        <f t="shared" si="11"/>
        <v>0225</v>
      </c>
    </row>
    <row r="215" spans="1:13" x14ac:dyDescent="0.15">
      <c r="A215" s="67" t="s">
        <v>578</v>
      </c>
      <c r="B215" s="67" t="s">
        <v>579</v>
      </c>
      <c r="C215" s="67" t="s">
        <v>4675</v>
      </c>
      <c r="F215" s="67" t="s">
        <v>4409</v>
      </c>
      <c r="G215" s="67">
        <f t="shared" si="9"/>
        <v>1</v>
      </c>
      <c r="H215" s="67" t="str">
        <f t="shared" si="10"/>
        <v>000097丁德</v>
      </c>
      <c r="I215" s="67" t="str">
        <f t="shared" si="11"/>
        <v>0226</v>
      </c>
    </row>
    <row r="216" spans="1:13" x14ac:dyDescent="0.15">
      <c r="A216" s="67" t="s">
        <v>582</v>
      </c>
      <c r="B216" s="67" t="s">
        <v>583</v>
      </c>
      <c r="C216" s="67" t="s">
        <v>4676</v>
      </c>
      <c r="D216" s="67" t="s">
        <v>4424</v>
      </c>
      <c r="E216" s="67" t="s">
        <v>4677</v>
      </c>
      <c r="F216" s="67" t="s">
        <v>4336</v>
      </c>
      <c r="G216" s="67">
        <f t="shared" si="9"/>
        <v>1</v>
      </c>
      <c r="H216" s="67" t="str">
        <f t="shared" si="10"/>
        <v>000179刘占军</v>
      </c>
      <c r="I216" s="67" t="str">
        <f t="shared" si="11"/>
        <v>0228</v>
      </c>
    </row>
    <row r="217" spans="1:13" x14ac:dyDescent="0.15">
      <c r="A217" s="67" t="s">
        <v>584</v>
      </c>
      <c r="B217" s="67" t="s">
        <v>585</v>
      </c>
      <c r="C217" s="67" t="s">
        <v>4678</v>
      </c>
      <c r="D217" s="67" t="s">
        <v>4338</v>
      </c>
      <c r="E217" s="67" t="s">
        <v>4339</v>
      </c>
      <c r="F217" s="67" t="s">
        <v>4336</v>
      </c>
      <c r="G217" s="67">
        <f t="shared" si="9"/>
        <v>1</v>
      </c>
      <c r="H217" s="67" t="str">
        <f t="shared" si="10"/>
        <v>000201张杰春</v>
      </c>
      <c r="I217" s="67" t="str">
        <f t="shared" si="11"/>
        <v>0229</v>
      </c>
    </row>
    <row r="218" spans="1:13" x14ac:dyDescent="0.15">
      <c r="A218" s="67" t="s">
        <v>4679</v>
      </c>
      <c r="B218" s="67" t="s">
        <v>4680</v>
      </c>
      <c r="C218" s="67" t="s">
        <v>4681</v>
      </c>
      <c r="D218" s="67" t="s">
        <v>4403</v>
      </c>
      <c r="E218" s="67" t="s">
        <v>4404</v>
      </c>
      <c r="F218" s="67" t="s">
        <v>4336</v>
      </c>
      <c r="G218" s="67">
        <f t="shared" si="9"/>
        <v>1</v>
      </c>
      <c r="H218" s="67" t="str">
        <f t="shared" si="10"/>
        <v>000549临时工23</v>
      </c>
      <c r="I218" s="67" t="str">
        <f t="shared" si="11"/>
        <v>023</v>
      </c>
    </row>
    <row r="219" spans="1:13" x14ac:dyDescent="0.15">
      <c r="A219" s="67" t="s">
        <v>586</v>
      </c>
      <c r="B219" s="67" t="s">
        <v>587</v>
      </c>
      <c r="C219" s="67" t="s">
        <v>4682</v>
      </c>
      <c r="D219" s="67" t="s">
        <v>4683</v>
      </c>
      <c r="E219" s="67" t="s">
        <v>4684</v>
      </c>
      <c r="F219" s="67" t="s">
        <v>4336</v>
      </c>
      <c r="G219" s="67">
        <f t="shared" si="9"/>
        <v>2</v>
      </c>
      <c r="H219" s="67" t="str">
        <f t="shared" si="10"/>
        <v>000387朱波</v>
      </c>
      <c r="I219" s="67" t="str">
        <f t="shared" si="11"/>
        <v>0230</v>
      </c>
    </row>
    <row r="220" spans="1:13" x14ac:dyDescent="0.15">
      <c r="A220" s="67" t="s">
        <v>586</v>
      </c>
      <c r="B220" s="67" t="s">
        <v>587</v>
      </c>
      <c r="C220" s="67" t="s">
        <v>4685</v>
      </c>
      <c r="D220" s="67" t="s">
        <v>4683</v>
      </c>
      <c r="E220" s="67" t="s">
        <v>4686</v>
      </c>
      <c r="F220" s="67" t="s">
        <v>4336</v>
      </c>
      <c r="G220" s="67">
        <f t="shared" si="9"/>
        <v>2</v>
      </c>
      <c r="H220" s="67" t="str">
        <f t="shared" si="10"/>
        <v>000007朱波</v>
      </c>
      <c r="I220" s="67" t="str">
        <f t="shared" si="11"/>
        <v>0230</v>
      </c>
    </row>
    <row r="221" spans="1:13" x14ac:dyDescent="0.15">
      <c r="A221" s="67" t="s">
        <v>595</v>
      </c>
      <c r="B221" s="67" t="s">
        <v>596</v>
      </c>
      <c r="C221" s="67" t="s">
        <v>4687</v>
      </c>
      <c r="D221" s="67" t="s">
        <v>4688</v>
      </c>
      <c r="E221" s="67" t="s">
        <v>4689</v>
      </c>
      <c r="F221" s="67" t="s">
        <v>4336</v>
      </c>
      <c r="G221" s="67">
        <f t="shared" si="9"/>
        <v>1</v>
      </c>
      <c r="H221" s="67" t="str">
        <f t="shared" si="10"/>
        <v>000342宋海付</v>
      </c>
      <c r="I221" s="67" t="str">
        <f t="shared" si="11"/>
        <v>0234</v>
      </c>
    </row>
    <row r="222" spans="1:13" x14ac:dyDescent="0.15">
      <c r="A222" s="67" t="s">
        <v>599</v>
      </c>
      <c r="B222" s="67" t="s">
        <v>600</v>
      </c>
      <c r="C222" s="67" t="s">
        <v>4690</v>
      </c>
      <c r="D222" s="67" t="s">
        <v>4343</v>
      </c>
      <c r="E222" s="67" t="s">
        <v>4344</v>
      </c>
      <c r="F222" s="67" t="s">
        <v>4336</v>
      </c>
      <c r="G222" s="67">
        <f t="shared" si="9"/>
        <v>1</v>
      </c>
      <c r="H222" s="67" t="str">
        <f t="shared" si="10"/>
        <v>000222陆家才</v>
      </c>
      <c r="I222" s="67" t="str">
        <f t="shared" si="11"/>
        <v>0236</v>
      </c>
    </row>
    <row r="223" spans="1:13" x14ac:dyDescent="0.15">
      <c r="A223" s="67" t="s">
        <v>4691</v>
      </c>
      <c r="B223" s="67" t="s">
        <v>4692</v>
      </c>
      <c r="C223" s="67" t="s">
        <v>4693</v>
      </c>
      <c r="D223" s="67" t="s">
        <v>4403</v>
      </c>
      <c r="E223" s="67" t="s">
        <v>4404</v>
      </c>
      <c r="F223" s="67" t="s">
        <v>4336</v>
      </c>
      <c r="G223" s="67">
        <f t="shared" si="9"/>
        <v>1</v>
      </c>
      <c r="H223" s="67" t="str">
        <f t="shared" si="10"/>
        <v>000550临时工24</v>
      </c>
      <c r="I223" s="67" t="str">
        <f t="shared" si="11"/>
        <v>024</v>
      </c>
    </row>
    <row r="224" spans="1:13" x14ac:dyDescent="0.15">
      <c r="A224" s="67" t="s">
        <v>4694</v>
      </c>
      <c r="B224" s="67" t="s">
        <v>4695</v>
      </c>
      <c r="C224" s="67" t="s">
        <v>4696</v>
      </c>
      <c r="D224" s="67" t="s">
        <v>4403</v>
      </c>
      <c r="E224" s="67" t="s">
        <v>4404</v>
      </c>
      <c r="F224" s="67" t="s">
        <v>4336</v>
      </c>
      <c r="G224" s="67">
        <f t="shared" si="9"/>
        <v>1</v>
      </c>
      <c r="H224" s="67" t="str">
        <f t="shared" si="10"/>
        <v>000551临时工25</v>
      </c>
      <c r="I224" s="67" t="str">
        <f t="shared" si="11"/>
        <v>025</v>
      </c>
    </row>
    <row r="225" spans="1:9" x14ac:dyDescent="0.15">
      <c r="A225" s="67" t="s">
        <v>4697</v>
      </c>
      <c r="B225" s="67" t="s">
        <v>4698</v>
      </c>
      <c r="C225" s="67" t="s">
        <v>4699</v>
      </c>
      <c r="D225" s="67" t="s">
        <v>4403</v>
      </c>
      <c r="E225" s="67" t="s">
        <v>4404</v>
      </c>
      <c r="F225" s="67" t="s">
        <v>4336</v>
      </c>
      <c r="G225" s="67">
        <f t="shared" si="9"/>
        <v>2</v>
      </c>
      <c r="H225" s="67" t="str">
        <f t="shared" si="10"/>
        <v>000554临时工26</v>
      </c>
      <c r="I225" s="67" t="str">
        <f t="shared" si="11"/>
        <v>026</v>
      </c>
    </row>
    <row r="226" spans="1:9" x14ac:dyDescent="0.15">
      <c r="A226" s="67" t="s">
        <v>4697</v>
      </c>
      <c r="B226" s="67" t="s">
        <v>4698</v>
      </c>
      <c r="C226" s="67" t="s">
        <v>4700</v>
      </c>
      <c r="D226" s="67" t="s">
        <v>4403</v>
      </c>
      <c r="E226" s="67" t="s">
        <v>4404</v>
      </c>
      <c r="F226" s="67" t="s">
        <v>4336</v>
      </c>
      <c r="G226" s="67">
        <f t="shared" si="9"/>
        <v>2</v>
      </c>
      <c r="H226" s="67" t="str">
        <f t="shared" si="10"/>
        <v>000679临时工26</v>
      </c>
      <c r="I226" s="67" t="str">
        <f t="shared" si="11"/>
        <v>026</v>
      </c>
    </row>
    <row r="227" spans="1:9" x14ac:dyDescent="0.15">
      <c r="A227" s="67" t="s">
        <v>651</v>
      </c>
      <c r="B227" s="67" t="s">
        <v>652</v>
      </c>
      <c r="C227" s="67" t="s">
        <v>4701</v>
      </c>
      <c r="D227" s="67" t="s">
        <v>4518</v>
      </c>
      <c r="E227" s="67" t="s">
        <v>4519</v>
      </c>
      <c r="F227" s="67" t="s">
        <v>4336</v>
      </c>
      <c r="G227" s="67">
        <f t="shared" si="9"/>
        <v>1</v>
      </c>
      <c r="H227" s="67" t="str">
        <f t="shared" si="10"/>
        <v>000285杨文慧</v>
      </c>
      <c r="I227" s="67" t="str">
        <f t="shared" si="11"/>
        <v>0262</v>
      </c>
    </row>
    <row r="228" spans="1:9" x14ac:dyDescent="0.15">
      <c r="A228" s="67" t="s">
        <v>655</v>
      </c>
      <c r="B228" s="67" t="s">
        <v>656</v>
      </c>
      <c r="C228" s="67" t="s">
        <v>4702</v>
      </c>
      <c r="D228" s="67" t="s">
        <v>4424</v>
      </c>
      <c r="E228" s="67" t="s">
        <v>4425</v>
      </c>
      <c r="F228" s="67" t="s">
        <v>4336</v>
      </c>
      <c r="G228" s="67">
        <f t="shared" si="9"/>
        <v>1</v>
      </c>
      <c r="H228" s="67" t="str">
        <f t="shared" si="10"/>
        <v>000291张平</v>
      </c>
      <c r="I228" s="67" t="str">
        <f t="shared" si="11"/>
        <v>0264</v>
      </c>
    </row>
    <row r="229" spans="1:9" x14ac:dyDescent="0.15">
      <c r="A229" s="67" t="s">
        <v>661</v>
      </c>
      <c r="B229" s="67" t="s">
        <v>662</v>
      </c>
      <c r="C229" s="67" t="s">
        <v>4703</v>
      </c>
      <c r="D229" s="67" t="s">
        <v>4338</v>
      </c>
      <c r="E229" s="67" t="s">
        <v>4339</v>
      </c>
      <c r="F229" s="67" t="s">
        <v>4336</v>
      </c>
      <c r="G229" s="67">
        <f t="shared" si="9"/>
        <v>1</v>
      </c>
      <c r="H229" s="67" t="str">
        <f t="shared" si="10"/>
        <v>000203郑永佳</v>
      </c>
      <c r="I229" s="67" t="str">
        <f t="shared" si="11"/>
        <v>0267</v>
      </c>
    </row>
    <row r="230" spans="1:9" x14ac:dyDescent="0.15">
      <c r="A230" s="67" t="s">
        <v>663</v>
      </c>
      <c r="B230" s="67" t="s">
        <v>664</v>
      </c>
      <c r="C230" s="67" t="s">
        <v>4704</v>
      </c>
      <c r="D230" s="67" t="s">
        <v>4683</v>
      </c>
      <c r="E230" s="67" t="s">
        <v>4705</v>
      </c>
      <c r="F230" s="67" t="s">
        <v>4336</v>
      </c>
      <c r="G230" s="67">
        <f t="shared" si="9"/>
        <v>2</v>
      </c>
      <c r="H230" s="67" t="str">
        <f t="shared" si="10"/>
        <v>000235叶海丹</v>
      </c>
      <c r="I230" s="67" t="str">
        <f t="shared" si="11"/>
        <v>0268</v>
      </c>
    </row>
    <row r="231" spans="1:9" x14ac:dyDescent="0.15">
      <c r="A231" s="67" t="s">
        <v>663</v>
      </c>
      <c r="B231" s="67" t="s">
        <v>664</v>
      </c>
      <c r="C231" s="67" t="s">
        <v>4706</v>
      </c>
      <c r="D231" s="67" t="s">
        <v>4683</v>
      </c>
      <c r="E231" s="67" t="s">
        <v>4705</v>
      </c>
      <c r="F231" s="67" t="s">
        <v>4336</v>
      </c>
      <c r="G231" s="67">
        <f t="shared" si="9"/>
        <v>2</v>
      </c>
      <c r="H231" s="67" t="str">
        <f t="shared" si="10"/>
        <v>000423叶海丹</v>
      </c>
      <c r="I231" s="67" t="str">
        <f t="shared" si="11"/>
        <v>0268</v>
      </c>
    </row>
    <row r="232" spans="1:9" x14ac:dyDescent="0.15">
      <c r="A232" s="67" t="s">
        <v>665</v>
      </c>
      <c r="B232" s="67" t="s">
        <v>666</v>
      </c>
      <c r="C232" s="67" t="s">
        <v>4707</v>
      </c>
      <c r="D232" s="67" t="s">
        <v>4708</v>
      </c>
      <c r="E232" s="67" t="s">
        <v>4709</v>
      </c>
      <c r="F232" s="67" t="s">
        <v>4336</v>
      </c>
      <c r="G232" s="67">
        <f t="shared" si="9"/>
        <v>1</v>
      </c>
      <c r="H232" s="67" t="str">
        <f t="shared" si="10"/>
        <v>000252唐兵毅</v>
      </c>
      <c r="I232" s="67" t="str">
        <f t="shared" si="11"/>
        <v>0269</v>
      </c>
    </row>
    <row r="233" spans="1:9" x14ac:dyDescent="0.15">
      <c r="A233" s="67" t="s">
        <v>4710</v>
      </c>
      <c r="B233" s="67" t="s">
        <v>4711</v>
      </c>
      <c r="C233" s="67" t="s">
        <v>4712</v>
      </c>
      <c r="D233" s="67" t="s">
        <v>4403</v>
      </c>
      <c r="E233" s="67" t="s">
        <v>4404</v>
      </c>
      <c r="F233" s="67" t="s">
        <v>4336</v>
      </c>
      <c r="G233" s="67">
        <f t="shared" si="9"/>
        <v>1</v>
      </c>
      <c r="H233" s="67" t="str">
        <f t="shared" si="10"/>
        <v>000555临时卡27</v>
      </c>
      <c r="I233" s="67" t="str">
        <f t="shared" si="11"/>
        <v>027</v>
      </c>
    </row>
    <row r="234" spans="1:9" x14ac:dyDescent="0.15">
      <c r="A234" s="67" t="s">
        <v>667</v>
      </c>
      <c r="B234" s="67" t="s">
        <v>668</v>
      </c>
      <c r="C234" s="67" t="s">
        <v>4713</v>
      </c>
      <c r="F234" s="67" t="s">
        <v>4409</v>
      </c>
      <c r="G234" s="67">
        <f t="shared" si="9"/>
        <v>1</v>
      </c>
      <c r="H234" s="67" t="str">
        <f t="shared" si="10"/>
        <v>000381邹方政</v>
      </c>
      <c r="I234" s="67" t="str">
        <f t="shared" si="11"/>
        <v>0270</v>
      </c>
    </row>
    <row r="235" spans="1:9" x14ac:dyDescent="0.15">
      <c r="A235" s="67" t="s">
        <v>669</v>
      </c>
      <c r="B235" s="67" t="s">
        <v>670</v>
      </c>
      <c r="C235" s="67" t="s">
        <v>4714</v>
      </c>
      <c r="F235" s="67" t="s">
        <v>4409</v>
      </c>
      <c r="G235" s="67">
        <f t="shared" si="9"/>
        <v>1</v>
      </c>
      <c r="H235" s="67" t="str">
        <f t="shared" si="10"/>
        <v>000320黄仕胜</v>
      </c>
      <c r="I235" s="67" t="str">
        <f t="shared" si="11"/>
        <v>0271</v>
      </c>
    </row>
    <row r="236" spans="1:9" x14ac:dyDescent="0.15">
      <c r="A236" s="67" t="s">
        <v>673</v>
      </c>
      <c r="B236" s="67" t="s">
        <v>674</v>
      </c>
      <c r="C236" s="67" t="s">
        <v>4715</v>
      </c>
      <c r="F236" s="67" t="s">
        <v>4409</v>
      </c>
      <c r="G236" s="67">
        <f t="shared" si="9"/>
        <v>1</v>
      </c>
      <c r="H236" s="67" t="str">
        <f t="shared" si="10"/>
        <v>000311段海水</v>
      </c>
      <c r="I236" s="67" t="str">
        <f t="shared" si="11"/>
        <v>0273</v>
      </c>
    </row>
    <row r="237" spans="1:9" x14ac:dyDescent="0.15">
      <c r="A237" s="67" t="s">
        <v>675</v>
      </c>
      <c r="B237" s="67" t="s">
        <v>676</v>
      </c>
      <c r="C237" s="67" t="s">
        <v>4716</v>
      </c>
      <c r="F237" s="67" t="s">
        <v>4409</v>
      </c>
      <c r="G237" s="67">
        <f t="shared" si="9"/>
        <v>1</v>
      </c>
      <c r="H237" s="67" t="str">
        <f t="shared" si="10"/>
        <v>000157翟向会</v>
      </c>
      <c r="I237" s="67" t="str">
        <f t="shared" si="11"/>
        <v>0274</v>
      </c>
    </row>
    <row r="238" spans="1:9" x14ac:dyDescent="0.15">
      <c r="A238" s="67" t="s">
        <v>679</v>
      </c>
      <c r="B238" s="67" t="s">
        <v>680</v>
      </c>
      <c r="C238" s="67" t="s">
        <v>4717</v>
      </c>
      <c r="D238" s="67" t="s">
        <v>4338</v>
      </c>
      <c r="E238" s="67" t="s">
        <v>4339</v>
      </c>
      <c r="F238" s="67" t="s">
        <v>4336</v>
      </c>
      <c r="G238" s="67">
        <f t="shared" si="9"/>
        <v>1</v>
      </c>
      <c r="H238" s="67" t="str">
        <f t="shared" si="10"/>
        <v>000168高辉松</v>
      </c>
      <c r="I238" s="67" t="str">
        <f t="shared" si="11"/>
        <v>0276</v>
      </c>
    </row>
    <row r="239" spans="1:9" x14ac:dyDescent="0.15">
      <c r="A239" s="67" t="s">
        <v>683</v>
      </c>
      <c r="B239" s="67" t="s">
        <v>684</v>
      </c>
      <c r="C239" s="67" t="s">
        <v>4718</v>
      </c>
      <c r="D239" s="67" t="s">
        <v>4338</v>
      </c>
      <c r="E239" s="67" t="s">
        <v>4339</v>
      </c>
      <c r="F239" s="67" t="s">
        <v>4336</v>
      </c>
      <c r="G239" s="67">
        <f t="shared" si="9"/>
        <v>1</v>
      </c>
      <c r="H239" s="67" t="str">
        <f t="shared" si="10"/>
        <v>000172何超</v>
      </c>
      <c r="I239" s="67" t="str">
        <f t="shared" si="11"/>
        <v>0278</v>
      </c>
    </row>
    <row r="240" spans="1:9" x14ac:dyDescent="0.15">
      <c r="A240" s="67" t="s">
        <v>685</v>
      </c>
      <c r="B240" s="67" t="s">
        <v>686</v>
      </c>
      <c r="C240" s="67" t="s">
        <v>4719</v>
      </c>
      <c r="D240" s="67" t="s">
        <v>4338</v>
      </c>
      <c r="E240" s="67" t="s">
        <v>4339</v>
      </c>
      <c r="F240" s="67" t="s">
        <v>4336</v>
      </c>
      <c r="G240" s="67">
        <f t="shared" si="9"/>
        <v>1</v>
      </c>
      <c r="H240" s="67" t="str">
        <f t="shared" si="10"/>
        <v>000198杨宏</v>
      </c>
      <c r="I240" s="67" t="str">
        <f t="shared" si="11"/>
        <v>0279</v>
      </c>
    </row>
    <row r="241" spans="1:9" x14ac:dyDescent="0.15">
      <c r="A241" s="67" t="s">
        <v>4720</v>
      </c>
      <c r="B241" s="67" t="s">
        <v>4721</v>
      </c>
      <c r="C241" s="67" t="s">
        <v>4722</v>
      </c>
      <c r="D241" s="67" t="s">
        <v>4723</v>
      </c>
      <c r="E241" s="67" t="s">
        <v>4724</v>
      </c>
      <c r="F241" s="67" t="s">
        <v>4336</v>
      </c>
      <c r="G241" s="67">
        <f t="shared" si="9"/>
        <v>1</v>
      </c>
      <c r="H241" s="67" t="str">
        <f t="shared" si="10"/>
        <v>000574临时工28</v>
      </c>
      <c r="I241" s="67" t="str">
        <f t="shared" si="11"/>
        <v>028</v>
      </c>
    </row>
    <row r="242" spans="1:9" x14ac:dyDescent="0.15">
      <c r="A242" s="67" t="s">
        <v>691</v>
      </c>
      <c r="B242" s="67" t="s">
        <v>692</v>
      </c>
      <c r="C242" s="67" t="s">
        <v>4725</v>
      </c>
      <c r="D242" s="67" t="s">
        <v>4338</v>
      </c>
      <c r="E242" s="67" t="s">
        <v>4339</v>
      </c>
      <c r="F242" s="67" t="s">
        <v>4336</v>
      </c>
      <c r="G242" s="67">
        <f t="shared" si="9"/>
        <v>1</v>
      </c>
      <c r="H242" s="67" t="str">
        <f t="shared" si="10"/>
        <v>000051柴利波</v>
      </c>
      <c r="I242" s="67" t="str">
        <f t="shared" si="11"/>
        <v>0282</v>
      </c>
    </row>
    <row r="243" spans="1:9" x14ac:dyDescent="0.15">
      <c r="A243" s="67" t="s">
        <v>4726</v>
      </c>
      <c r="B243" s="67" t="s">
        <v>4727</v>
      </c>
      <c r="C243" s="67" t="s">
        <v>4728</v>
      </c>
      <c r="D243" s="67" t="s">
        <v>4723</v>
      </c>
      <c r="E243" s="67" t="s">
        <v>4724</v>
      </c>
      <c r="F243" s="67" t="s">
        <v>4336</v>
      </c>
      <c r="G243" s="67">
        <f t="shared" si="9"/>
        <v>1</v>
      </c>
      <c r="H243" s="67" t="str">
        <f t="shared" si="10"/>
        <v>000575临时工29</v>
      </c>
      <c r="I243" s="67" t="str">
        <f t="shared" si="11"/>
        <v>029</v>
      </c>
    </row>
    <row r="244" spans="1:9" x14ac:dyDescent="0.15">
      <c r="A244" s="67" t="s">
        <v>713</v>
      </c>
      <c r="B244" s="67" t="s">
        <v>714</v>
      </c>
      <c r="C244" s="67" t="s">
        <v>4729</v>
      </c>
      <c r="D244" s="67" t="s">
        <v>4338</v>
      </c>
      <c r="E244" s="67" t="s">
        <v>4339</v>
      </c>
      <c r="F244" s="67" t="s">
        <v>4336</v>
      </c>
      <c r="G244" s="67">
        <f t="shared" si="9"/>
        <v>1</v>
      </c>
      <c r="H244" s="67" t="str">
        <f t="shared" si="10"/>
        <v>000132李应成</v>
      </c>
      <c r="I244" s="67" t="str">
        <f t="shared" si="11"/>
        <v>0293</v>
      </c>
    </row>
    <row r="245" spans="1:9" x14ac:dyDescent="0.15">
      <c r="A245" s="67" t="s">
        <v>717</v>
      </c>
      <c r="B245" s="67" t="s">
        <v>718</v>
      </c>
      <c r="C245" s="67" t="s">
        <v>4730</v>
      </c>
      <c r="D245" s="67" t="s">
        <v>4360</v>
      </c>
      <c r="E245" s="67" t="s">
        <v>4731</v>
      </c>
      <c r="F245" s="67" t="s">
        <v>4336</v>
      </c>
      <c r="G245" s="67">
        <f t="shared" si="9"/>
        <v>1</v>
      </c>
      <c r="H245" s="67" t="str">
        <f t="shared" si="10"/>
        <v>000227田金柱</v>
      </c>
      <c r="I245" s="67" t="str">
        <f t="shared" si="11"/>
        <v>0295</v>
      </c>
    </row>
    <row r="246" spans="1:9" x14ac:dyDescent="0.15">
      <c r="A246" s="67" t="s">
        <v>719</v>
      </c>
      <c r="B246" s="67" t="s">
        <v>720</v>
      </c>
      <c r="C246" s="67" t="s">
        <v>4732</v>
      </c>
      <c r="F246" s="67" t="s">
        <v>4409</v>
      </c>
      <c r="G246" s="67">
        <f t="shared" si="9"/>
        <v>1</v>
      </c>
      <c r="H246" s="67" t="str">
        <f t="shared" si="10"/>
        <v>000137罗兵兵</v>
      </c>
      <c r="I246" s="67" t="str">
        <f t="shared" si="11"/>
        <v>0296</v>
      </c>
    </row>
    <row r="247" spans="1:9" x14ac:dyDescent="0.15">
      <c r="A247" s="67" t="s">
        <v>723</v>
      </c>
      <c r="B247" s="67" t="s">
        <v>724</v>
      </c>
      <c r="C247" s="67" t="s">
        <v>4733</v>
      </c>
      <c r="D247" s="67" t="s">
        <v>4338</v>
      </c>
      <c r="E247" s="67" t="s">
        <v>4339</v>
      </c>
      <c r="F247" s="67" t="s">
        <v>4336</v>
      </c>
      <c r="G247" s="67">
        <f t="shared" si="9"/>
        <v>1</v>
      </c>
      <c r="H247" s="67" t="str">
        <f t="shared" si="10"/>
        <v>000173何双六</v>
      </c>
      <c r="I247" s="67" t="str">
        <f t="shared" si="11"/>
        <v>0298</v>
      </c>
    </row>
    <row r="248" spans="1:9" x14ac:dyDescent="0.15">
      <c r="A248" s="67" t="s">
        <v>4734</v>
      </c>
      <c r="B248" s="67" t="s">
        <v>4735</v>
      </c>
      <c r="C248" s="67" t="s">
        <v>4736</v>
      </c>
      <c r="D248" s="67" t="s">
        <v>4737</v>
      </c>
      <c r="E248" s="67" t="s">
        <v>4738</v>
      </c>
      <c r="F248" s="67" t="s">
        <v>4336</v>
      </c>
      <c r="G248" s="67">
        <f t="shared" si="9"/>
        <v>1</v>
      </c>
      <c r="H248" s="67" t="str">
        <f t="shared" si="10"/>
        <v>000580临时工30</v>
      </c>
      <c r="I248" s="67" t="str">
        <f t="shared" si="11"/>
        <v>030</v>
      </c>
    </row>
    <row r="249" spans="1:9" x14ac:dyDescent="0.15">
      <c r="A249" s="67" t="s">
        <v>727</v>
      </c>
      <c r="B249" s="67" t="s">
        <v>728</v>
      </c>
      <c r="C249" s="67" t="s">
        <v>4739</v>
      </c>
      <c r="F249" s="67" t="s">
        <v>4409</v>
      </c>
      <c r="G249" s="67">
        <f t="shared" si="9"/>
        <v>1</v>
      </c>
      <c r="H249" s="67" t="str">
        <f t="shared" si="10"/>
        <v>000099范凤花</v>
      </c>
      <c r="I249" s="67" t="str">
        <f t="shared" si="11"/>
        <v>0300</v>
      </c>
    </row>
    <row r="250" spans="1:9" x14ac:dyDescent="0.15">
      <c r="A250" s="67" t="s">
        <v>731</v>
      </c>
      <c r="B250" s="67" t="s">
        <v>732</v>
      </c>
      <c r="C250" s="67" t="s">
        <v>4740</v>
      </c>
      <c r="F250" s="67" t="s">
        <v>4409</v>
      </c>
      <c r="G250" s="67">
        <f t="shared" si="9"/>
        <v>1</v>
      </c>
      <c r="H250" s="67" t="str">
        <f t="shared" si="10"/>
        <v>000330梁三钢</v>
      </c>
      <c r="I250" s="67" t="str">
        <f t="shared" si="11"/>
        <v>0303</v>
      </c>
    </row>
    <row r="251" spans="1:9" x14ac:dyDescent="0.15">
      <c r="A251" s="67" t="s">
        <v>741</v>
      </c>
      <c r="B251" s="67" t="s">
        <v>742</v>
      </c>
      <c r="C251" s="67" t="s">
        <v>4741</v>
      </c>
      <c r="D251" s="67" t="s">
        <v>4334</v>
      </c>
      <c r="E251" s="67" t="s">
        <v>4335</v>
      </c>
      <c r="F251" s="67" t="s">
        <v>4336</v>
      </c>
      <c r="G251" s="67">
        <f t="shared" si="9"/>
        <v>1</v>
      </c>
      <c r="H251" s="67" t="str">
        <f t="shared" si="10"/>
        <v>000495何勇</v>
      </c>
      <c r="I251" s="67" t="str">
        <f t="shared" si="11"/>
        <v>0308</v>
      </c>
    </row>
    <row r="252" spans="1:9" x14ac:dyDescent="0.15">
      <c r="A252" s="67" t="s">
        <v>4742</v>
      </c>
      <c r="B252" s="67" t="s">
        <v>4743</v>
      </c>
      <c r="C252" s="67" t="s">
        <v>4744</v>
      </c>
      <c r="D252" s="67" t="s">
        <v>4737</v>
      </c>
      <c r="E252" s="67" t="s">
        <v>4738</v>
      </c>
      <c r="F252" s="67" t="s">
        <v>4336</v>
      </c>
      <c r="G252" s="67">
        <f t="shared" si="9"/>
        <v>1</v>
      </c>
      <c r="H252" s="67" t="str">
        <f t="shared" si="10"/>
        <v>000579临时工31</v>
      </c>
      <c r="I252" s="67" t="str">
        <f t="shared" si="11"/>
        <v>031</v>
      </c>
    </row>
    <row r="253" spans="1:9" x14ac:dyDescent="0.15">
      <c r="A253" s="67" t="s">
        <v>745</v>
      </c>
      <c r="B253" s="67" t="s">
        <v>746</v>
      </c>
      <c r="C253" s="67" t="s">
        <v>4745</v>
      </c>
      <c r="F253" s="67" t="s">
        <v>4409</v>
      </c>
      <c r="G253" s="67">
        <f t="shared" si="9"/>
        <v>1</v>
      </c>
      <c r="H253" s="67" t="str">
        <f t="shared" si="10"/>
        <v>000125何金祥</v>
      </c>
      <c r="I253" s="67" t="str">
        <f t="shared" si="11"/>
        <v>0310</v>
      </c>
    </row>
    <row r="254" spans="1:9" x14ac:dyDescent="0.15">
      <c r="A254" s="67" t="s">
        <v>749</v>
      </c>
      <c r="B254" s="67" t="s">
        <v>750</v>
      </c>
      <c r="C254" s="67" t="s">
        <v>4746</v>
      </c>
      <c r="F254" s="67" t="s">
        <v>4409</v>
      </c>
      <c r="G254" s="67">
        <f t="shared" si="9"/>
        <v>1</v>
      </c>
      <c r="H254" s="67" t="str">
        <f t="shared" si="10"/>
        <v>000139倪林庚</v>
      </c>
      <c r="I254" s="67" t="str">
        <f t="shared" si="11"/>
        <v>0312</v>
      </c>
    </row>
    <row r="255" spans="1:9" x14ac:dyDescent="0.15">
      <c r="A255" s="67" t="s">
        <v>751</v>
      </c>
      <c r="B255" s="67" t="s">
        <v>752</v>
      </c>
      <c r="C255" s="67" t="s">
        <v>4747</v>
      </c>
      <c r="D255" s="67" t="s">
        <v>4392</v>
      </c>
      <c r="E255" s="67" t="s">
        <v>4393</v>
      </c>
      <c r="F255" s="67" t="s">
        <v>4336</v>
      </c>
      <c r="G255" s="67">
        <f t="shared" si="9"/>
        <v>2</v>
      </c>
      <c r="H255" s="67" t="str">
        <f t="shared" si="10"/>
        <v>000158翟新波</v>
      </c>
      <c r="I255" s="67" t="str">
        <f t="shared" si="11"/>
        <v>0313</v>
      </c>
    </row>
    <row r="256" spans="1:9" x14ac:dyDescent="0.15">
      <c r="A256" s="67" t="s">
        <v>751</v>
      </c>
      <c r="B256" s="67" t="s">
        <v>752</v>
      </c>
      <c r="C256" s="67" t="s">
        <v>4748</v>
      </c>
      <c r="D256" s="67" t="s">
        <v>4392</v>
      </c>
      <c r="E256" s="67" t="s">
        <v>4393</v>
      </c>
      <c r="F256" s="67" t="s">
        <v>4336</v>
      </c>
      <c r="G256" s="67">
        <f t="shared" si="9"/>
        <v>2</v>
      </c>
      <c r="H256" s="67" t="str">
        <f t="shared" si="10"/>
        <v>000881翟新波</v>
      </c>
      <c r="I256" s="67" t="str">
        <f t="shared" si="11"/>
        <v>0313</v>
      </c>
    </row>
    <row r="257" spans="1:9" x14ac:dyDescent="0.15">
      <c r="A257" s="67" t="s">
        <v>753</v>
      </c>
      <c r="B257" s="67" t="s">
        <v>754</v>
      </c>
      <c r="C257" s="67" t="s">
        <v>4749</v>
      </c>
      <c r="F257" s="67" t="s">
        <v>4409</v>
      </c>
      <c r="G257" s="67">
        <f t="shared" si="9"/>
        <v>1</v>
      </c>
      <c r="H257" s="67" t="str">
        <f t="shared" si="10"/>
        <v>000212高俊成</v>
      </c>
      <c r="I257" s="67" t="str">
        <f t="shared" si="11"/>
        <v>0314</v>
      </c>
    </row>
    <row r="258" spans="1:9" x14ac:dyDescent="0.15">
      <c r="A258" s="67" t="s">
        <v>763</v>
      </c>
      <c r="B258" s="67" t="s">
        <v>764</v>
      </c>
      <c r="C258" s="67" t="s">
        <v>4750</v>
      </c>
      <c r="D258" s="67" t="s">
        <v>4518</v>
      </c>
      <c r="E258" s="67" t="s">
        <v>4519</v>
      </c>
      <c r="F258" s="67" t="s">
        <v>4336</v>
      </c>
      <c r="G258" s="67">
        <f t="shared" si="9"/>
        <v>1</v>
      </c>
      <c r="H258" s="67" t="str">
        <f t="shared" si="10"/>
        <v>000286杨小国</v>
      </c>
      <c r="I258" s="67" t="str">
        <f t="shared" si="11"/>
        <v>0319</v>
      </c>
    </row>
    <row r="259" spans="1:9" x14ac:dyDescent="0.15">
      <c r="A259" s="67" t="s">
        <v>4751</v>
      </c>
      <c r="B259" s="67" t="s">
        <v>4752</v>
      </c>
      <c r="C259" s="67" t="s">
        <v>4753</v>
      </c>
      <c r="D259" s="67" t="s">
        <v>4737</v>
      </c>
      <c r="E259" s="67" t="s">
        <v>4738</v>
      </c>
      <c r="F259" s="67" t="s">
        <v>4336</v>
      </c>
      <c r="G259" s="67">
        <f t="shared" ref="G259:G322" si="14">COUNTIFS(B:B,B259)</f>
        <v>1</v>
      </c>
      <c r="H259" s="67" t="str">
        <f t="shared" ref="H259:H322" si="15">C259&amp;B259</f>
        <v>000581临时工32</v>
      </c>
      <c r="I259" s="67" t="str">
        <f t="shared" ref="I259:I322" si="16">A259</f>
        <v>032</v>
      </c>
    </row>
    <row r="260" spans="1:9" x14ac:dyDescent="0.15">
      <c r="A260" s="67" t="s">
        <v>771</v>
      </c>
      <c r="B260" s="67" t="s">
        <v>772</v>
      </c>
      <c r="C260" s="67" t="s">
        <v>4754</v>
      </c>
      <c r="F260" s="67" t="s">
        <v>4409</v>
      </c>
      <c r="G260" s="67">
        <f t="shared" si="14"/>
        <v>1</v>
      </c>
      <c r="H260" s="67" t="str">
        <f t="shared" si="15"/>
        <v>000152熊兵</v>
      </c>
      <c r="I260" s="67" t="str">
        <f t="shared" si="16"/>
        <v>0323</v>
      </c>
    </row>
    <row r="261" spans="1:9" x14ac:dyDescent="0.15">
      <c r="A261" s="67" t="s">
        <v>775</v>
      </c>
      <c r="B261" s="67" t="s">
        <v>776</v>
      </c>
      <c r="C261" s="67" t="s">
        <v>4755</v>
      </c>
      <c r="F261" s="67" t="s">
        <v>4409</v>
      </c>
      <c r="G261" s="67">
        <f t="shared" si="14"/>
        <v>1</v>
      </c>
      <c r="H261" s="67" t="str">
        <f t="shared" si="15"/>
        <v>000358吴强</v>
      </c>
      <c r="I261" s="67" t="str">
        <f t="shared" si="16"/>
        <v>0325</v>
      </c>
    </row>
    <row r="262" spans="1:9" x14ac:dyDescent="0.15">
      <c r="A262" s="67" t="s">
        <v>779</v>
      </c>
      <c r="B262" s="67" t="s">
        <v>780</v>
      </c>
      <c r="C262" s="67" t="s">
        <v>4756</v>
      </c>
      <c r="F262" s="67" t="s">
        <v>4409</v>
      </c>
      <c r="G262" s="67">
        <f t="shared" si="14"/>
        <v>1</v>
      </c>
      <c r="H262" s="67" t="str">
        <f t="shared" si="15"/>
        <v>000356吴标</v>
      </c>
      <c r="I262" s="67" t="str">
        <f t="shared" si="16"/>
        <v>0327</v>
      </c>
    </row>
    <row r="263" spans="1:9" x14ac:dyDescent="0.15">
      <c r="A263" s="67" t="s">
        <v>781</v>
      </c>
      <c r="B263" s="67" t="s">
        <v>782</v>
      </c>
      <c r="C263" s="67" t="s">
        <v>4757</v>
      </c>
      <c r="F263" s="67" t="s">
        <v>4409</v>
      </c>
      <c r="G263" s="67">
        <f t="shared" si="14"/>
        <v>1</v>
      </c>
      <c r="H263" s="67" t="str">
        <f t="shared" si="15"/>
        <v>000364杨辉</v>
      </c>
      <c r="I263" s="67" t="str">
        <f t="shared" si="16"/>
        <v>0328</v>
      </c>
    </row>
    <row r="264" spans="1:9" x14ac:dyDescent="0.15">
      <c r="A264" s="67" t="s">
        <v>4758</v>
      </c>
      <c r="B264" s="67" t="s">
        <v>4759</v>
      </c>
      <c r="C264" s="67" t="s">
        <v>4760</v>
      </c>
      <c r="D264" s="67" t="s">
        <v>4761</v>
      </c>
      <c r="E264" s="67" t="s">
        <v>4762</v>
      </c>
      <c r="F264" s="67" t="s">
        <v>4336</v>
      </c>
      <c r="G264" s="67">
        <f t="shared" si="14"/>
        <v>2</v>
      </c>
      <c r="H264" s="67" t="str">
        <f t="shared" si="15"/>
        <v>000650临时工33</v>
      </c>
      <c r="I264" s="67" t="str">
        <f t="shared" si="16"/>
        <v>033</v>
      </c>
    </row>
    <row r="265" spans="1:9" x14ac:dyDescent="0.15">
      <c r="A265" s="67" t="s">
        <v>4758</v>
      </c>
      <c r="B265" s="67" t="s">
        <v>4759</v>
      </c>
      <c r="C265" s="67" t="s">
        <v>4763</v>
      </c>
      <c r="D265" s="67" t="s">
        <v>4761</v>
      </c>
      <c r="E265" s="67" t="s">
        <v>4762</v>
      </c>
      <c r="F265" s="67" t="s">
        <v>4336</v>
      </c>
      <c r="G265" s="67">
        <f t="shared" si="14"/>
        <v>2</v>
      </c>
      <c r="H265" s="67" t="str">
        <f t="shared" si="15"/>
        <v>000761临时工33</v>
      </c>
      <c r="I265" s="67" t="str">
        <f t="shared" si="16"/>
        <v>033</v>
      </c>
    </row>
    <row r="266" spans="1:9" x14ac:dyDescent="0.15">
      <c r="A266" s="67" t="s">
        <v>785</v>
      </c>
      <c r="B266" s="67" t="s">
        <v>786</v>
      </c>
      <c r="C266" s="67" t="s">
        <v>4764</v>
      </c>
      <c r="D266" s="67" t="s">
        <v>4765</v>
      </c>
      <c r="E266" s="67" t="s">
        <v>4766</v>
      </c>
      <c r="F266" s="67" t="s">
        <v>4336</v>
      </c>
      <c r="G266" s="67">
        <f t="shared" si="14"/>
        <v>2</v>
      </c>
      <c r="H266" s="67" t="str">
        <f t="shared" si="15"/>
        <v>000720彭火平</v>
      </c>
      <c r="I266" s="67" t="str">
        <f t="shared" si="16"/>
        <v>0330</v>
      </c>
    </row>
    <row r="267" spans="1:9" x14ac:dyDescent="0.15">
      <c r="A267" s="67" t="s">
        <v>785</v>
      </c>
      <c r="B267" s="67" t="s">
        <v>786</v>
      </c>
      <c r="C267" s="67" t="s">
        <v>4767</v>
      </c>
      <c r="D267" s="67" t="s">
        <v>4338</v>
      </c>
      <c r="E267" s="67" t="s">
        <v>4768</v>
      </c>
      <c r="F267" s="67" t="s">
        <v>4336</v>
      </c>
      <c r="G267" s="67">
        <f t="shared" si="14"/>
        <v>2</v>
      </c>
      <c r="H267" s="67" t="str">
        <f t="shared" si="15"/>
        <v>000338彭火平</v>
      </c>
      <c r="I267" s="67" t="str">
        <f t="shared" si="16"/>
        <v>0330</v>
      </c>
    </row>
    <row r="268" spans="1:9" x14ac:dyDescent="0.15">
      <c r="A268" s="67" t="s">
        <v>789</v>
      </c>
      <c r="B268" s="67" t="s">
        <v>790</v>
      </c>
      <c r="C268" s="67" t="s">
        <v>4769</v>
      </c>
      <c r="F268" s="67" t="s">
        <v>4409</v>
      </c>
      <c r="G268" s="67">
        <f t="shared" si="14"/>
        <v>1</v>
      </c>
      <c r="H268" s="67" t="str">
        <f t="shared" si="15"/>
        <v>000301孙红平</v>
      </c>
      <c r="I268" s="67" t="str">
        <f t="shared" si="16"/>
        <v>0332</v>
      </c>
    </row>
    <row r="269" spans="1:9" x14ac:dyDescent="0.15">
      <c r="A269" s="67" t="s">
        <v>791</v>
      </c>
      <c r="B269" s="67" t="s">
        <v>792</v>
      </c>
      <c r="C269" s="67" t="s">
        <v>4770</v>
      </c>
      <c r="D269" s="67" t="s">
        <v>4424</v>
      </c>
      <c r="E269" s="67" t="s">
        <v>4425</v>
      </c>
      <c r="F269" s="67" t="s">
        <v>4336</v>
      </c>
      <c r="G269" s="67">
        <f t="shared" si="14"/>
        <v>1</v>
      </c>
      <c r="H269" s="67" t="str">
        <f t="shared" si="15"/>
        <v>000300阮情方</v>
      </c>
      <c r="I269" s="67" t="str">
        <f t="shared" si="16"/>
        <v>0333</v>
      </c>
    </row>
    <row r="270" spans="1:9" x14ac:dyDescent="0.15">
      <c r="A270" s="67" t="s">
        <v>799</v>
      </c>
      <c r="B270" s="67" t="s">
        <v>800</v>
      </c>
      <c r="C270" s="67" t="s">
        <v>4771</v>
      </c>
      <c r="D270" s="67" t="s">
        <v>4338</v>
      </c>
      <c r="E270" s="67" t="s">
        <v>4772</v>
      </c>
      <c r="F270" s="67" t="s">
        <v>4336</v>
      </c>
      <c r="G270" s="67">
        <f t="shared" si="14"/>
        <v>1</v>
      </c>
      <c r="H270" s="67" t="str">
        <f t="shared" si="15"/>
        <v>000123郭泽端</v>
      </c>
      <c r="I270" s="67" t="str">
        <f t="shared" si="16"/>
        <v>0337</v>
      </c>
    </row>
    <row r="271" spans="1:9" x14ac:dyDescent="0.15">
      <c r="A271" s="67" t="s">
        <v>803</v>
      </c>
      <c r="B271" s="67" t="s">
        <v>804</v>
      </c>
      <c r="C271" s="67" t="s">
        <v>4773</v>
      </c>
      <c r="F271" s="67" t="s">
        <v>4409</v>
      </c>
      <c r="G271" s="67">
        <f t="shared" si="14"/>
        <v>1</v>
      </c>
      <c r="H271" s="67" t="str">
        <f t="shared" si="15"/>
        <v>000333刘其威</v>
      </c>
      <c r="I271" s="67" t="str">
        <f t="shared" si="16"/>
        <v>0339</v>
      </c>
    </row>
    <row r="272" spans="1:9" x14ac:dyDescent="0.15">
      <c r="A272" s="67" t="s">
        <v>4774</v>
      </c>
      <c r="B272" s="67" t="s">
        <v>4775</v>
      </c>
      <c r="C272" s="67" t="s">
        <v>4776</v>
      </c>
      <c r="D272" s="67" t="s">
        <v>4761</v>
      </c>
      <c r="E272" s="67" t="s">
        <v>4762</v>
      </c>
      <c r="F272" s="67" t="s">
        <v>4336</v>
      </c>
      <c r="G272" s="67">
        <f t="shared" si="14"/>
        <v>1</v>
      </c>
      <c r="H272" s="67" t="str">
        <f t="shared" si="15"/>
        <v>000651临时工34</v>
      </c>
      <c r="I272" s="67" t="str">
        <f t="shared" si="16"/>
        <v>034</v>
      </c>
    </row>
    <row r="273" spans="1:9" x14ac:dyDescent="0.15">
      <c r="A273" s="67" t="s">
        <v>805</v>
      </c>
      <c r="B273" s="67" t="s">
        <v>806</v>
      </c>
      <c r="C273" s="67" t="s">
        <v>4777</v>
      </c>
      <c r="F273" s="67" t="s">
        <v>4409</v>
      </c>
      <c r="G273" s="67">
        <f t="shared" si="14"/>
        <v>1</v>
      </c>
      <c r="H273" s="67" t="str">
        <f t="shared" si="15"/>
        <v>000347凃龙强</v>
      </c>
      <c r="I273" s="67" t="str">
        <f t="shared" si="16"/>
        <v>0340</v>
      </c>
    </row>
    <row r="274" spans="1:9" x14ac:dyDescent="0.15">
      <c r="A274" s="67" t="s">
        <v>807</v>
      </c>
      <c r="B274" s="67" t="s">
        <v>808</v>
      </c>
      <c r="C274" s="67" t="s">
        <v>4778</v>
      </c>
      <c r="F274" s="67" t="s">
        <v>4409</v>
      </c>
      <c r="G274" s="67">
        <f t="shared" si="14"/>
        <v>2</v>
      </c>
      <c r="H274" s="67" t="str">
        <f t="shared" si="15"/>
        <v>000377张志宏</v>
      </c>
      <c r="I274" s="67" t="str">
        <f t="shared" si="16"/>
        <v>0341</v>
      </c>
    </row>
    <row r="275" spans="1:9" x14ac:dyDescent="0.15">
      <c r="A275" s="67" t="s">
        <v>807</v>
      </c>
      <c r="B275" s="67" t="s">
        <v>808</v>
      </c>
      <c r="C275" s="67" t="s">
        <v>4779</v>
      </c>
      <c r="D275" s="67" t="s">
        <v>4357</v>
      </c>
      <c r="E275" s="67" t="s">
        <v>4358</v>
      </c>
      <c r="F275" s="67" t="s">
        <v>4336</v>
      </c>
      <c r="G275" s="67">
        <f t="shared" si="14"/>
        <v>2</v>
      </c>
      <c r="H275" s="67" t="str">
        <f t="shared" si="15"/>
        <v>000466张志宏</v>
      </c>
      <c r="I275" s="67" t="str">
        <f t="shared" si="16"/>
        <v>0341</v>
      </c>
    </row>
    <row r="276" spans="1:9" x14ac:dyDescent="0.15">
      <c r="A276" s="67" t="s">
        <v>809</v>
      </c>
      <c r="B276" s="67" t="s">
        <v>810</v>
      </c>
      <c r="C276" s="67" t="s">
        <v>4780</v>
      </c>
      <c r="D276" s="67" t="s">
        <v>4462</v>
      </c>
      <c r="E276" s="67" t="s">
        <v>4781</v>
      </c>
      <c r="F276" s="67" t="s">
        <v>4336</v>
      </c>
      <c r="G276" s="67">
        <f t="shared" si="14"/>
        <v>2</v>
      </c>
      <c r="H276" s="67" t="str">
        <f t="shared" si="15"/>
        <v>000255杨亮</v>
      </c>
      <c r="I276" s="67" t="str">
        <f t="shared" si="16"/>
        <v>0342</v>
      </c>
    </row>
    <row r="277" spans="1:9" x14ac:dyDescent="0.15">
      <c r="A277" s="67" t="s">
        <v>809</v>
      </c>
      <c r="B277" s="67" t="s">
        <v>810</v>
      </c>
      <c r="C277" s="67" t="s">
        <v>4782</v>
      </c>
      <c r="D277" s="67" t="s">
        <v>4783</v>
      </c>
      <c r="E277" s="67" t="s">
        <v>4784</v>
      </c>
      <c r="F277" s="67" t="s">
        <v>4336</v>
      </c>
      <c r="G277" s="67">
        <f t="shared" si="14"/>
        <v>2</v>
      </c>
      <c r="H277" s="67" t="str">
        <f t="shared" si="15"/>
        <v>000676杨亮</v>
      </c>
      <c r="I277" s="67" t="str">
        <f t="shared" si="16"/>
        <v>0342</v>
      </c>
    </row>
    <row r="278" spans="1:9" x14ac:dyDescent="0.15">
      <c r="A278" s="67" t="s">
        <v>811</v>
      </c>
      <c r="B278" s="67" t="s">
        <v>812</v>
      </c>
      <c r="C278" s="67" t="s">
        <v>4785</v>
      </c>
      <c r="D278" s="67" t="s">
        <v>4424</v>
      </c>
      <c r="E278" s="67" t="s">
        <v>4425</v>
      </c>
      <c r="F278" s="67" t="s">
        <v>4336</v>
      </c>
      <c r="G278" s="67">
        <f t="shared" si="14"/>
        <v>1</v>
      </c>
      <c r="H278" s="67" t="str">
        <f t="shared" si="15"/>
        <v>000272李亚</v>
      </c>
      <c r="I278" s="67" t="str">
        <f t="shared" si="16"/>
        <v>0343</v>
      </c>
    </row>
    <row r="279" spans="1:9" x14ac:dyDescent="0.15">
      <c r="A279" s="67" t="s">
        <v>814</v>
      </c>
      <c r="B279" s="67" t="s">
        <v>815</v>
      </c>
      <c r="C279" s="67" t="s">
        <v>4786</v>
      </c>
      <c r="F279" s="67" t="s">
        <v>4409</v>
      </c>
      <c r="G279" s="67">
        <f t="shared" si="14"/>
        <v>1</v>
      </c>
      <c r="H279" s="67" t="str">
        <f t="shared" si="15"/>
        <v>000150谢俊昆</v>
      </c>
      <c r="I279" s="67" t="str">
        <f t="shared" si="16"/>
        <v>0344</v>
      </c>
    </row>
    <row r="280" spans="1:9" x14ac:dyDescent="0.15">
      <c r="A280" s="67" t="s">
        <v>816</v>
      </c>
      <c r="B280" s="67" t="s">
        <v>817</v>
      </c>
      <c r="C280" s="67" t="s">
        <v>4787</v>
      </c>
      <c r="F280" s="67" t="s">
        <v>4409</v>
      </c>
      <c r="G280" s="67">
        <f t="shared" si="14"/>
        <v>1</v>
      </c>
      <c r="H280" s="67" t="str">
        <f t="shared" si="15"/>
        <v>000153徐祖祥</v>
      </c>
      <c r="I280" s="67" t="str">
        <f t="shared" si="16"/>
        <v>0345</v>
      </c>
    </row>
    <row r="281" spans="1:9" x14ac:dyDescent="0.15">
      <c r="A281" s="67" t="s">
        <v>818</v>
      </c>
      <c r="B281" s="67" t="s">
        <v>819</v>
      </c>
      <c r="C281" s="67" t="s">
        <v>4788</v>
      </c>
      <c r="D281" s="67" t="s">
        <v>4338</v>
      </c>
      <c r="E281" s="67" t="s">
        <v>4339</v>
      </c>
      <c r="F281" s="67" t="s">
        <v>4336</v>
      </c>
      <c r="G281" s="67">
        <f t="shared" si="14"/>
        <v>1</v>
      </c>
      <c r="H281" s="67" t="str">
        <f t="shared" si="15"/>
        <v>000128李红波</v>
      </c>
      <c r="I281" s="67" t="str">
        <f t="shared" si="16"/>
        <v>0346</v>
      </c>
    </row>
    <row r="282" spans="1:9" x14ac:dyDescent="0.15">
      <c r="A282" s="67" t="s">
        <v>820</v>
      </c>
      <c r="B282" s="67" t="s">
        <v>821</v>
      </c>
      <c r="C282" s="67" t="s">
        <v>4789</v>
      </c>
      <c r="D282" s="67" t="s">
        <v>4392</v>
      </c>
      <c r="E282" s="67" t="s">
        <v>4393</v>
      </c>
      <c r="F282" s="67" t="s">
        <v>4336</v>
      </c>
      <c r="G282" s="67">
        <f t="shared" si="14"/>
        <v>1</v>
      </c>
      <c r="H282" s="67" t="str">
        <f t="shared" si="15"/>
        <v>000253唐酽</v>
      </c>
      <c r="I282" s="67" t="str">
        <f t="shared" si="16"/>
        <v>0347</v>
      </c>
    </row>
    <row r="283" spans="1:9" x14ac:dyDescent="0.15">
      <c r="A283" s="67" t="s">
        <v>822</v>
      </c>
      <c r="B283" s="67" t="s">
        <v>823</v>
      </c>
      <c r="C283" s="67" t="s">
        <v>4790</v>
      </c>
      <c r="F283" s="67" t="s">
        <v>4409</v>
      </c>
      <c r="G283" s="67">
        <f t="shared" si="14"/>
        <v>1</v>
      </c>
      <c r="H283" s="67" t="str">
        <f t="shared" si="15"/>
        <v>000351王杰</v>
      </c>
      <c r="I283" s="67" t="str">
        <f t="shared" si="16"/>
        <v>0348</v>
      </c>
    </row>
    <row r="284" spans="1:9" x14ac:dyDescent="0.15">
      <c r="A284" s="67" t="s">
        <v>4791</v>
      </c>
      <c r="B284" s="67" t="s">
        <v>4792</v>
      </c>
      <c r="C284" s="67" t="s">
        <v>4793</v>
      </c>
      <c r="D284" s="67" t="s">
        <v>4761</v>
      </c>
      <c r="E284" s="67" t="s">
        <v>4762</v>
      </c>
      <c r="F284" s="67" t="s">
        <v>4336</v>
      </c>
      <c r="G284" s="67">
        <f t="shared" si="14"/>
        <v>1</v>
      </c>
      <c r="H284" s="67" t="str">
        <f t="shared" si="15"/>
        <v>000652临时工35</v>
      </c>
      <c r="I284" s="67" t="str">
        <f t="shared" si="16"/>
        <v>035</v>
      </c>
    </row>
    <row r="285" spans="1:9" x14ac:dyDescent="0.15">
      <c r="A285" s="67" t="s">
        <v>830</v>
      </c>
      <c r="B285" s="67" t="s">
        <v>831</v>
      </c>
      <c r="C285" s="67" t="s">
        <v>4794</v>
      </c>
      <c r="D285" s="67" t="s">
        <v>4795</v>
      </c>
      <c r="E285" s="67" t="s">
        <v>4796</v>
      </c>
      <c r="F285" s="67" t="s">
        <v>4336</v>
      </c>
      <c r="G285" s="67">
        <f t="shared" si="14"/>
        <v>1</v>
      </c>
      <c r="H285" s="67" t="str">
        <f t="shared" si="15"/>
        <v>000220刘群</v>
      </c>
      <c r="I285" s="67" t="str">
        <f t="shared" si="16"/>
        <v>0352</v>
      </c>
    </row>
    <row r="286" spans="1:9" x14ac:dyDescent="0.15">
      <c r="A286" s="67" t="s">
        <v>834</v>
      </c>
      <c r="B286" s="67" t="s">
        <v>835</v>
      </c>
      <c r="C286" s="67" t="s">
        <v>4797</v>
      </c>
      <c r="F286" s="67" t="s">
        <v>4409</v>
      </c>
      <c r="G286" s="67">
        <f t="shared" si="14"/>
        <v>1</v>
      </c>
      <c r="H286" s="67" t="str">
        <f t="shared" si="15"/>
        <v>000318韩玉</v>
      </c>
      <c r="I286" s="67" t="str">
        <f t="shared" si="16"/>
        <v>0354</v>
      </c>
    </row>
    <row r="287" spans="1:9" x14ac:dyDescent="0.15">
      <c r="A287" s="67" t="s">
        <v>838</v>
      </c>
      <c r="B287" s="67" t="s">
        <v>839</v>
      </c>
      <c r="C287" s="67" t="s">
        <v>4798</v>
      </c>
      <c r="D287" s="67" t="s">
        <v>4357</v>
      </c>
      <c r="E287" s="67" t="s">
        <v>4358</v>
      </c>
      <c r="F287" s="67" t="s">
        <v>4336</v>
      </c>
      <c r="G287" s="67">
        <f t="shared" si="14"/>
        <v>1</v>
      </c>
      <c r="H287" s="67" t="str">
        <f t="shared" si="15"/>
        <v>000321李建国</v>
      </c>
      <c r="I287" s="67" t="str">
        <f t="shared" si="16"/>
        <v>0356</v>
      </c>
    </row>
    <row r="288" spans="1:9" x14ac:dyDescent="0.15">
      <c r="A288" s="67" t="s">
        <v>4799</v>
      </c>
      <c r="B288" s="67" t="s">
        <v>4800</v>
      </c>
      <c r="C288" s="67" t="s">
        <v>4801</v>
      </c>
      <c r="D288" s="67" t="s">
        <v>4761</v>
      </c>
      <c r="E288" s="67" t="s">
        <v>4762</v>
      </c>
      <c r="F288" s="67" t="s">
        <v>4336</v>
      </c>
      <c r="G288" s="67">
        <f t="shared" si="14"/>
        <v>2</v>
      </c>
      <c r="H288" s="67" t="str">
        <f t="shared" si="15"/>
        <v>000653临时卡36</v>
      </c>
      <c r="I288" s="67" t="str">
        <f t="shared" si="16"/>
        <v>036</v>
      </c>
    </row>
    <row r="289" spans="1:9" x14ac:dyDescent="0.15">
      <c r="A289" s="67" t="s">
        <v>4799</v>
      </c>
      <c r="B289" s="67" t="s">
        <v>4800</v>
      </c>
      <c r="C289" s="67" t="s">
        <v>4802</v>
      </c>
      <c r="D289" s="67" t="s">
        <v>4761</v>
      </c>
      <c r="E289" s="67" t="s">
        <v>4762</v>
      </c>
      <c r="F289" s="67" t="s">
        <v>4336</v>
      </c>
      <c r="G289" s="67">
        <f t="shared" si="14"/>
        <v>2</v>
      </c>
      <c r="H289" s="67" t="str">
        <f t="shared" si="15"/>
        <v>000762临时卡36</v>
      </c>
      <c r="I289" s="67" t="str">
        <f t="shared" si="16"/>
        <v>036</v>
      </c>
    </row>
    <row r="290" spans="1:9" x14ac:dyDescent="0.15">
      <c r="A290" s="67" t="s">
        <v>846</v>
      </c>
      <c r="B290" s="67" t="s">
        <v>847</v>
      </c>
      <c r="C290" s="67" t="s">
        <v>4803</v>
      </c>
      <c r="D290" s="67" t="s">
        <v>4432</v>
      </c>
      <c r="E290" s="67" t="s">
        <v>4433</v>
      </c>
      <c r="F290" s="67" t="s">
        <v>4336</v>
      </c>
      <c r="G290" s="67">
        <f t="shared" si="14"/>
        <v>1</v>
      </c>
      <c r="H290" s="67" t="str">
        <f t="shared" si="15"/>
        <v>000353王刘峰</v>
      </c>
      <c r="I290" s="67" t="str">
        <f t="shared" si="16"/>
        <v>0360</v>
      </c>
    </row>
    <row r="291" spans="1:9" x14ac:dyDescent="0.15">
      <c r="A291" s="67" t="s">
        <v>848</v>
      </c>
      <c r="B291" s="67" t="s">
        <v>849</v>
      </c>
      <c r="C291" s="67" t="s">
        <v>4804</v>
      </c>
      <c r="D291" s="67" t="s">
        <v>4338</v>
      </c>
      <c r="E291" s="67" t="s">
        <v>4339</v>
      </c>
      <c r="F291" s="67" t="s">
        <v>4336</v>
      </c>
      <c r="G291" s="67">
        <f t="shared" si="14"/>
        <v>1</v>
      </c>
      <c r="H291" s="67" t="str">
        <f t="shared" si="15"/>
        <v>000146谭友法</v>
      </c>
      <c r="I291" s="67" t="str">
        <f t="shared" si="16"/>
        <v>0361</v>
      </c>
    </row>
    <row r="292" spans="1:9" x14ac:dyDescent="0.15">
      <c r="A292" s="67" t="s">
        <v>856</v>
      </c>
      <c r="B292" s="67" t="s">
        <v>857</v>
      </c>
      <c r="C292" s="67" t="s">
        <v>4805</v>
      </c>
      <c r="D292" s="67" t="s">
        <v>4424</v>
      </c>
      <c r="E292" s="67" t="s">
        <v>4425</v>
      </c>
      <c r="F292" s="67" t="s">
        <v>4336</v>
      </c>
      <c r="G292" s="67">
        <f t="shared" si="14"/>
        <v>1</v>
      </c>
      <c r="H292" s="67" t="str">
        <f t="shared" si="15"/>
        <v>000295高春艳</v>
      </c>
      <c r="I292" s="67" t="str">
        <f t="shared" si="16"/>
        <v>0365</v>
      </c>
    </row>
    <row r="293" spans="1:9" x14ac:dyDescent="0.15">
      <c r="A293" s="67" t="s">
        <v>858</v>
      </c>
      <c r="B293" s="67" t="s">
        <v>859</v>
      </c>
      <c r="C293" s="67" t="s">
        <v>4806</v>
      </c>
      <c r="D293" s="67" t="s">
        <v>4338</v>
      </c>
      <c r="E293" s="67" t="s">
        <v>4339</v>
      </c>
      <c r="F293" s="67" t="s">
        <v>4336</v>
      </c>
      <c r="G293" s="67">
        <f t="shared" si="14"/>
        <v>1</v>
      </c>
      <c r="H293" s="67" t="str">
        <f t="shared" si="15"/>
        <v>000151谢良文</v>
      </c>
      <c r="I293" s="67" t="str">
        <f t="shared" si="16"/>
        <v>0366</v>
      </c>
    </row>
    <row r="294" spans="1:9" x14ac:dyDescent="0.15">
      <c r="A294" s="67" t="s">
        <v>860</v>
      </c>
      <c r="B294" s="67" t="s">
        <v>861</v>
      </c>
      <c r="C294" s="67" t="s">
        <v>4807</v>
      </c>
      <c r="F294" s="67" t="s">
        <v>4409</v>
      </c>
      <c r="G294" s="67">
        <f t="shared" si="14"/>
        <v>2</v>
      </c>
      <c r="H294" s="67" t="str">
        <f t="shared" si="15"/>
        <v>000138母顺顺</v>
      </c>
      <c r="I294" s="67" t="str">
        <f t="shared" si="16"/>
        <v>0367</v>
      </c>
    </row>
    <row r="295" spans="1:9" x14ac:dyDescent="0.15">
      <c r="A295" s="67" t="s">
        <v>860</v>
      </c>
      <c r="B295" s="67" t="s">
        <v>861</v>
      </c>
      <c r="C295" s="67" t="s">
        <v>4808</v>
      </c>
      <c r="D295" s="67" t="s">
        <v>4671</v>
      </c>
      <c r="E295" s="67" t="s">
        <v>4672</v>
      </c>
      <c r="F295" s="67" t="s">
        <v>4336</v>
      </c>
      <c r="G295" s="67">
        <f t="shared" si="14"/>
        <v>2</v>
      </c>
      <c r="H295" s="67" t="str">
        <f t="shared" si="15"/>
        <v>000462母顺顺</v>
      </c>
      <c r="I295" s="67" t="str">
        <f t="shared" si="16"/>
        <v>0367</v>
      </c>
    </row>
    <row r="296" spans="1:9" x14ac:dyDescent="0.15">
      <c r="A296" s="67" t="s">
        <v>4809</v>
      </c>
      <c r="B296" s="67" t="s">
        <v>4810</v>
      </c>
      <c r="C296" s="67" t="s">
        <v>4811</v>
      </c>
      <c r="D296" s="67" t="s">
        <v>4812</v>
      </c>
      <c r="E296" s="67" t="s">
        <v>4813</v>
      </c>
      <c r="F296" s="67" t="s">
        <v>4336</v>
      </c>
      <c r="G296" s="67">
        <f t="shared" si="14"/>
        <v>1</v>
      </c>
      <c r="H296" s="67" t="str">
        <f t="shared" si="15"/>
        <v>000680临时工37</v>
      </c>
      <c r="I296" s="67" t="str">
        <f t="shared" si="16"/>
        <v>037</v>
      </c>
    </row>
    <row r="297" spans="1:9" x14ac:dyDescent="0.15">
      <c r="A297" s="67" t="s">
        <v>866</v>
      </c>
      <c r="B297" s="67" t="s">
        <v>867</v>
      </c>
      <c r="C297" s="67" t="s">
        <v>4814</v>
      </c>
      <c r="D297" s="67" t="s">
        <v>4424</v>
      </c>
      <c r="E297" s="67" t="s">
        <v>4425</v>
      </c>
      <c r="F297" s="67" t="s">
        <v>4336</v>
      </c>
      <c r="G297" s="67">
        <f t="shared" si="14"/>
        <v>1</v>
      </c>
      <c r="H297" s="67" t="str">
        <f t="shared" si="15"/>
        <v>000284薛帅帅</v>
      </c>
      <c r="I297" s="67" t="str">
        <f t="shared" si="16"/>
        <v>0370</v>
      </c>
    </row>
    <row r="298" spans="1:9" x14ac:dyDescent="0.15">
      <c r="A298" s="67" t="s">
        <v>870</v>
      </c>
      <c r="B298" s="67" t="s">
        <v>871</v>
      </c>
      <c r="C298" s="67" t="s">
        <v>4815</v>
      </c>
      <c r="D298" s="67" t="s">
        <v>4424</v>
      </c>
      <c r="E298" s="67" t="s">
        <v>4425</v>
      </c>
      <c r="F298" s="67" t="s">
        <v>4336</v>
      </c>
      <c r="G298" s="67">
        <f t="shared" si="14"/>
        <v>1</v>
      </c>
      <c r="H298" s="67" t="str">
        <f t="shared" si="15"/>
        <v>000185邱言浩</v>
      </c>
      <c r="I298" s="67" t="str">
        <f t="shared" si="16"/>
        <v>0372</v>
      </c>
    </row>
    <row r="299" spans="1:9" x14ac:dyDescent="0.15">
      <c r="A299" s="67" t="s">
        <v>872</v>
      </c>
      <c r="B299" s="67" t="s">
        <v>873</v>
      </c>
      <c r="C299" s="67" t="s">
        <v>4816</v>
      </c>
      <c r="D299" s="67" t="s">
        <v>4424</v>
      </c>
      <c r="E299" s="67" t="s">
        <v>4425</v>
      </c>
      <c r="F299" s="67" t="s">
        <v>4336</v>
      </c>
      <c r="G299" s="67">
        <f t="shared" si="14"/>
        <v>1</v>
      </c>
      <c r="H299" s="67" t="str">
        <f t="shared" si="15"/>
        <v>000196徐昭帆</v>
      </c>
      <c r="I299" s="67" t="str">
        <f t="shared" si="16"/>
        <v>0373</v>
      </c>
    </row>
    <row r="300" spans="1:9" x14ac:dyDescent="0.15">
      <c r="A300" s="67" t="s">
        <v>875</v>
      </c>
      <c r="B300" s="67" t="s">
        <v>876</v>
      </c>
      <c r="C300" s="67" t="s">
        <v>4817</v>
      </c>
      <c r="D300" s="67" t="s">
        <v>4338</v>
      </c>
      <c r="E300" s="67" t="s">
        <v>4339</v>
      </c>
      <c r="F300" s="67" t="s">
        <v>4336</v>
      </c>
      <c r="G300" s="67">
        <f t="shared" si="14"/>
        <v>1</v>
      </c>
      <c r="H300" s="67" t="str">
        <f t="shared" si="15"/>
        <v>000164陈少恒</v>
      </c>
      <c r="I300" s="67" t="str">
        <f t="shared" si="16"/>
        <v>0374</v>
      </c>
    </row>
    <row r="301" spans="1:9" x14ac:dyDescent="0.15">
      <c r="A301" s="67" t="s">
        <v>877</v>
      </c>
      <c r="B301" s="67" t="s">
        <v>878</v>
      </c>
      <c r="C301" s="67" t="s">
        <v>4818</v>
      </c>
      <c r="D301" s="67" t="s">
        <v>4424</v>
      </c>
      <c r="E301" s="67" t="s">
        <v>4425</v>
      </c>
      <c r="F301" s="67" t="s">
        <v>4336</v>
      </c>
      <c r="G301" s="67">
        <f t="shared" si="14"/>
        <v>1</v>
      </c>
      <c r="H301" s="67" t="str">
        <f t="shared" si="15"/>
        <v>000189陶祥季</v>
      </c>
      <c r="I301" s="67" t="str">
        <f t="shared" si="16"/>
        <v>0375</v>
      </c>
    </row>
    <row r="302" spans="1:9" x14ac:dyDescent="0.15">
      <c r="A302" s="67" t="s">
        <v>879</v>
      </c>
      <c r="B302" s="67" t="s">
        <v>880</v>
      </c>
      <c r="C302" s="67" t="s">
        <v>4819</v>
      </c>
      <c r="D302" s="67" t="s">
        <v>4820</v>
      </c>
      <c r="E302" s="67" t="s">
        <v>4821</v>
      </c>
      <c r="F302" s="67" t="s">
        <v>4336</v>
      </c>
      <c r="G302" s="67">
        <f t="shared" si="14"/>
        <v>1</v>
      </c>
      <c r="H302" s="67" t="str">
        <f t="shared" si="15"/>
        <v>000175李强</v>
      </c>
      <c r="I302" s="67" t="str">
        <f t="shared" si="16"/>
        <v>0376</v>
      </c>
    </row>
    <row r="303" spans="1:9" x14ac:dyDescent="0.15">
      <c r="A303" s="67" t="s">
        <v>885</v>
      </c>
      <c r="B303" s="67" t="s">
        <v>886</v>
      </c>
      <c r="C303" s="67" t="s">
        <v>4822</v>
      </c>
      <c r="D303" s="67" t="s">
        <v>4343</v>
      </c>
      <c r="E303" s="67" t="s">
        <v>4344</v>
      </c>
      <c r="F303" s="67" t="s">
        <v>4336</v>
      </c>
      <c r="G303" s="67">
        <f t="shared" si="14"/>
        <v>1</v>
      </c>
      <c r="H303" s="67" t="str">
        <f t="shared" si="15"/>
        <v>000245李翠红</v>
      </c>
      <c r="I303" s="67" t="str">
        <f t="shared" si="16"/>
        <v>0379</v>
      </c>
    </row>
    <row r="304" spans="1:9" x14ac:dyDescent="0.15">
      <c r="A304" s="67" t="s">
        <v>4823</v>
      </c>
      <c r="B304" s="67" t="s">
        <v>4824</v>
      </c>
      <c r="C304" s="67" t="s">
        <v>4825</v>
      </c>
      <c r="D304" s="67" t="s">
        <v>4812</v>
      </c>
      <c r="E304" s="67" t="s">
        <v>4813</v>
      </c>
      <c r="F304" s="67" t="s">
        <v>4336</v>
      </c>
      <c r="G304" s="67">
        <f t="shared" si="14"/>
        <v>1</v>
      </c>
      <c r="H304" s="67" t="str">
        <f t="shared" si="15"/>
        <v>000681临时工38</v>
      </c>
      <c r="I304" s="67" t="str">
        <f t="shared" si="16"/>
        <v>038</v>
      </c>
    </row>
    <row r="305" spans="1:9" x14ac:dyDescent="0.15">
      <c r="A305" s="67" t="s">
        <v>96</v>
      </c>
      <c r="B305" s="67" t="s">
        <v>98</v>
      </c>
      <c r="C305" s="67" t="s">
        <v>4826</v>
      </c>
      <c r="D305" s="67" t="s">
        <v>4827</v>
      </c>
      <c r="E305" s="67" t="s">
        <v>4828</v>
      </c>
      <c r="F305" s="67" t="s">
        <v>4336</v>
      </c>
      <c r="G305" s="67">
        <f t="shared" si="14"/>
        <v>1</v>
      </c>
      <c r="H305" s="67" t="str">
        <f t="shared" si="15"/>
        <v>000371张和平</v>
      </c>
      <c r="I305" s="67" t="str">
        <f t="shared" si="16"/>
        <v>0380</v>
      </c>
    </row>
    <row r="306" spans="1:9" x14ac:dyDescent="0.15">
      <c r="A306" s="67" t="s">
        <v>889</v>
      </c>
      <c r="B306" s="67" t="s">
        <v>890</v>
      </c>
      <c r="C306" s="67" t="s">
        <v>4829</v>
      </c>
      <c r="D306" s="67" t="s">
        <v>4338</v>
      </c>
      <c r="E306" s="67" t="s">
        <v>4830</v>
      </c>
      <c r="F306" s="67" t="s">
        <v>4336</v>
      </c>
      <c r="G306" s="67">
        <f t="shared" si="14"/>
        <v>1</v>
      </c>
      <c r="H306" s="67" t="str">
        <f t="shared" si="15"/>
        <v>000181罗瑞</v>
      </c>
      <c r="I306" s="67" t="str">
        <f t="shared" si="16"/>
        <v>0382</v>
      </c>
    </row>
    <row r="307" spans="1:9" x14ac:dyDescent="0.15">
      <c r="A307" s="67" t="s">
        <v>891</v>
      </c>
      <c r="B307" s="67" t="s">
        <v>892</v>
      </c>
      <c r="C307" s="67" t="s">
        <v>4831</v>
      </c>
      <c r="D307" s="67" t="s">
        <v>4338</v>
      </c>
      <c r="E307" s="67" t="s">
        <v>4339</v>
      </c>
      <c r="F307" s="67" t="s">
        <v>4336</v>
      </c>
      <c r="G307" s="67">
        <f t="shared" si="14"/>
        <v>1</v>
      </c>
      <c r="H307" s="67" t="str">
        <f t="shared" si="15"/>
        <v>000180禄旭园</v>
      </c>
      <c r="I307" s="67" t="str">
        <f t="shared" si="16"/>
        <v>0383</v>
      </c>
    </row>
    <row r="308" spans="1:9" x14ac:dyDescent="0.15">
      <c r="A308" s="67" t="s">
        <v>893</v>
      </c>
      <c r="B308" s="67" t="s">
        <v>894</v>
      </c>
      <c r="C308" s="67" t="s">
        <v>4832</v>
      </c>
      <c r="D308" s="67" t="s">
        <v>4338</v>
      </c>
      <c r="E308" s="67" t="s">
        <v>4339</v>
      </c>
      <c r="F308" s="67" t="s">
        <v>4336</v>
      </c>
      <c r="G308" s="67">
        <f t="shared" si="14"/>
        <v>1</v>
      </c>
      <c r="H308" s="67" t="str">
        <f t="shared" si="15"/>
        <v>000062梁京凯</v>
      </c>
      <c r="I308" s="67" t="str">
        <f t="shared" si="16"/>
        <v>0384</v>
      </c>
    </row>
    <row r="309" spans="1:9" x14ac:dyDescent="0.15">
      <c r="A309" s="67" t="s">
        <v>895</v>
      </c>
      <c r="B309" s="67" t="s">
        <v>896</v>
      </c>
      <c r="C309" s="67" t="s">
        <v>4833</v>
      </c>
      <c r="D309" s="67" t="s">
        <v>4338</v>
      </c>
      <c r="E309" s="67" t="s">
        <v>4339</v>
      </c>
      <c r="F309" s="67" t="s">
        <v>4336</v>
      </c>
      <c r="G309" s="67">
        <f t="shared" si="14"/>
        <v>1</v>
      </c>
      <c r="H309" s="67" t="str">
        <f t="shared" si="15"/>
        <v>000065陆亦斌</v>
      </c>
      <c r="I309" s="67" t="str">
        <f t="shared" si="16"/>
        <v>0385</v>
      </c>
    </row>
    <row r="310" spans="1:9" x14ac:dyDescent="0.15">
      <c r="A310" s="67" t="s">
        <v>897</v>
      </c>
      <c r="B310" s="67" t="s">
        <v>898</v>
      </c>
      <c r="C310" s="67" t="s">
        <v>4834</v>
      </c>
      <c r="D310" s="67" t="s">
        <v>4553</v>
      </c>
      <c r="E310" s="67" t="s">
        <v>4633</v>
      </c>
      <c r="F310" s="67" t="s">
        <v>4336</v>
      </c>
      <c r="G310" s="67">
        <f t="shared" si="14"/>
        <v>1</v>
      </c>
      <c r="H310" s="67" t="str">
        <f t="shared" si="15"/>
        <v>000077闫璐伟</v>
      </c>
      <c r="I310" s="67" t="str">
        <f t="shared" si="16"/>
        <v>0386</v>
      </c>
    </row>
    <row r="311" spans="1:9" x14ac:dyDescent="0.15">
      <c r="A311" s="67" t="s">
        <v>901</v>
      </c>
      <c r="B311" s="67" t="s">
        <v>902</v>
      </c>
      <c r="C311" s="67" t="s">
        <v>4835</v>
      </c>
      <c r="D311" s="67" t="s">
        <v>4338</v>
      </c>
      <c r="E311" s="67" t="s">
        <v>4339</v>
      </c>
      <c r="F311" s="67" t="s">
        <v>4336</v>
      </c>
      <c r="G311" s="67">
        <f t="shared" si="14"/>
        <v>1</v>
      </c>
      <c r="H311" s="67" t="str">
        <f t="shared" si="15"/>
        <v>000170郭慧</v>
      </c>
      <c r="I311" s="67" t="str">
        <f t="shared" si="16"/>
        <v>0388</v>
      </c>
    </row>
    <row r="312" spans="1:9" x14ac:dyDescent="0.15">
      <c r="A312" s="67" t="s">
        <v>903</v>
      </c>
      <c r="B312" s="67" t="s">
        <v>904</v>
      </c>
      <c r="C312" s="67" t="s">
        <v>4836</v>
      </c>
      <c r="D312" s="67" t="s">
        <v>4334</v>
      </c>
      <c r="E312" s="67" t="s">
        <v>4335</v>
      </c>
      <c r="F312" s="67" t="s">
        <v>4336</v>
      </c>
      <c r="G312" s="67">
        <f t="shared" si="14"/>
        <v>1</v>
      </c>
      <c r="H312" s="67" t="str">
        <f t="shared" si="15"/>
        <v>000494张艳丽</v>
      </c>
      <c r="I312" s="67" t="str">
        <f t="shared" si="16"/>
        <v>0389</v>
      </c>
    </row>
    <row r="313" spans="1:9" x14ac:dyDescent="0.15">
      <c r="A313" s="67" t="s">
        <v>4837</v>
      </c>
      <c r="B313" s="67" t="s">
        <v>4838</v>
      </c>
      <c r="C313" s="67" t="s">
        <v>4839</v>
      </c>
      <c r="D313" s="67" t="s">
        <v>4812</v>
      </c>
      <c r="E313" s="67" t="s">
        <v>4813</v>
      </c>
      <c r="F313" s="67" t="s">
        <v>4336</v>
      </c>
      <c r="G313" s="67">
        <f t="shared" si="14"/>
        <v>1</v>
      </c>
      <c r="H313" s="67" t="str">
        <f t="shared" si="15"/>
        <v>000682临时工39</v>
      </c>
      <c r="I313" s="67" t="str">
        <f t="shared" si="16"/>
        <v>039</v>
      </c>
    </row>
    <row r="314" spans="1:9" x14ac:dyDescent="0.15">
      <c r="A314" s="67" t="s">
        <v>905</v>
      </c>
      <c r="B314" s="67" t="s">
        <v>906</v>
      </c>
      <c r="C314" s="67" t="s">
        <v>4840</v>
      </c>
      <c r="D314" s="67" t="s">
        <v>4452</v>
      </c>
      <c r="E314" s="67" t="s">
        <v>4453</v>
      </c>
      <c r="F314" s="67" t="s">
        <v>4336</v>
      </c>
      <c r="G314" s="67">
        <f t="shared" si="14"/>
        <v>1</v>
      </c>
      <c r="H314" s="67" t="str">
        <f t="shared" si="15"/>
        <v>000335刘晓庆</v>
      </c>
      <c r="I314" s="67" t="str">
        <f t="shared" si="16"/>
        <v>0390</v>
      </c>
    </row>
    <row r="315" spans="1:9" x14ac:dyDescent="0.15">
      <c r="A315" s="67" t="s">
        <v>907</v>
      </c>
      <c r="B315" s="67" t="s">
        <v>908</v>
      </c>
      <c r="C315" s="67" t="s">
        <v>4841</v>
      </c>
      <c r="D315" s="67" t="s">
        <v>4338</v>
      </c>
      <c r="E315" s="67" t="s">
        <v>4339</v>
      </c>
      <c r="F315" s="67" t="s">
        <v>4336</v>
      </c>
      <c r="G315" s="67">
        <f t="shared" si="14"/>
        <v>1</v>
      </c>
      <c r="H315" s="67" t="str">
        <f t="shared" si="15"/>
        <v>000331刘刚</v>
      </c>
      <c r="I315" s="67" t="str">
        <f t="shared" si="16"/>
        <v>0391</v>
      </c>
    </row>
    <row r="316" spans="1:9" x14ac:dyDescent="0.15">
      <c r="A316" s="67" t="s">
        <v>915</v>
      </c>
      <c r="B316" s="67" t="s">
        <v>916</v>
      </c>
      <c r="C316" s="67" t="s">
        <v>4842</v>
      </c>
      <c r="D316" s="67" t="s">
        <v>4424</v>
      </c>
      <c r="E316" s="67" t="s">
        <v>4425</v>
      </c>
      <c r="F316" s="67" t="s">
        <v>4336</v>
      </c>
      <c r="G316" s="67">
        <f t="shared" si="14"/>
        <v>1</v>
      </c>
      <c r="H316" s="67" t="str">
        <f t="shared" si="15"/>
        <v>000269景海浪</v>
      </c>
      <c r="I316" s="67" t="str">
        <f t="shared" si="16"/>
        <v>0395</v>
      </c>
    </row>
    <row r="317" spans="1:9" x14ac:dyDescent="0.15">
      <c r="A317" s="67" t="s">
        <v>917</v>
      </c>
      <c r="B317" s="67" t="s">
        <v>918</v>
      </c>
      <c r="C317" s="67" t="s">
        <v>4843</v>
      </c>
      <c r="D317" s="67" t="s">
        <v>4338</v>
      </c>
      <c r="E317" s="67" t="s">
        <v>4339</v>
      </c>
      <c r="F317" s="67" t="s">
        <v>4336</v>
      </c>
      <c r="G317" s="67">
        <f t="shared" si="14"/>
        <v>1</v>
      </c>
      <c r="H317" s="67" t="str">
        <f t="shared" si="15"/>
        <v>000063林克华</v>
      </c>
      <c r="I317" s="67" t="str">
        <f t="shared" si="16"/>
        <v>0396</v>
      </c>
    </row>
    <row r="318" spans="1:9" x14ac:dyDescent="0.15">
      <c r="A318" s="67" t="s">
        <v>4844</v>
      </c>
      <c r="B318" s="67" t="s">
        <v>4845</v>
      </c>
      <c r="C318" s="67" t="s">
        <v>4846</v>
      </c>
      <c r="D318" s="67" t="s">
        <v>4847</v>
      </c>
      <c r="E318" s="67" t="s">
        <v>4848</v>
      </c>
      <c r="F318" s="67" t="s">
        <v>4336</v>
      </c>
      <c r="G318" s="67">
        <f t="shared" si="14"/>
        <v>1</v>
      </c>
      <c r="H318" s="67" t="str">
        <f t="shared" si="15"/>
        <v>000710临时工40</v>
      </c>
      <c r="I318" s="67" t="str">
        <f t="shared" si="16"/>
        <v>040</v>
      </c>
    </row>
    <row r="319" spans="1:9" x14ac:dyDescent="0.15">
      <c r="A319" s="67" t="s">
        <v>925</v>
      </c>
      <c r="B319" s="67" t="s">
        <v>926</v>
      </c>
      <c r="C319" s="67" t="s">
        <v>4849</v>
      </c>
      <c r="D319" s="67" t="s">
        <v>4338</v>
      </c>
      <c r="E319" s="67" t="s">
        <v>4339</v>
      </c>
      <c r="F319" s="67" t="s">
        <v>4336</v>
      </c>
      <c r="G319" s="67">
        <f t="shared" si="14"/>
        <v>1</v>
      </c>
      <c r="H319" s="67" t="str">
        <f t="shared" si="15"/>
        <v>000069王海旭</v>
      </c>
      <c r="I319" s="67" t="str">
        <f t="shared" si="16"/>
        <v>0400</v>
      </c>
    </row>
    <row r="320" spans="1:9" x14ac:dyDescent="0.15">
      <c r="A320" s="67" t="s">
        <v>927</v>
      </c>
      <c r="B320" s="67" t="s">
        <v>928</v>
      </c>
      <c r="C320" s="67" t="s">
        <v>4850</v>
      </c>
      <c r="F320" s="67" t="s">
        <v>4409</v>
      </c>
      <c r="G320" s="67">
        <f t="shared" si="14"/>
        <v>1</v>
      </c>
      <c r="H320" s="67" t="str">
        <f t="shared" si="15"/>
        <v>000339祁昌虎</v>
      </c>
      <c r="I320" s="67" t="str">
        <f t="shared" si="16"/>
        <v>0401</v>
      </c>
    </row>
    <row r="321" spans="1:9" x14ac:dyDescent="0.15">
      <c r="A321" s="67" t="s">
        <v>931</v>
      </c>
      <c r="B321" s="67" t="s">
        <v>932</v>
      </c>
      <c r="C321" s="67" t="s">
        <v>4851</v>
      </c>
      <c r="F321" s="67" t="s">
        <v>4409</v>
      </c>
      <c r="G321" s="67">
        <f t="shared" si="14"/>
        <v>1</v>
      </c>
      <c r="H321" s="67" t="str">
        <f t="shared" si="15"/>
        <v>000142屈爱国</v>
      </c>
      <c r="I321" s="67" t="str">
        <f t="shared" si="16"/>
        <v>0403</v>
      </c>
    </row>
    <row r="322" spans="1:9" x14ac:dyDescent="0.15">
      <c r="A322" s="67" t="s">
        <v>933</v>
      </c>
      <c r="B322" s="67" t="s">
        <v>934</v>
      </c>
      <c r="C322" s="67" t="s">
        <v>4852</v>
      </c>
      <c r="D322" s="67" t="s">
        <v>4338</v>
      </c>
      <c r="E322" s="67" t="s">
        <v>4339</v>
      </c>
      <c r="F322" s="67" t="s">
        <v>4336</v>
      </c>
      <c r="G322" s="67">
        <f t="shared" si="14"/>
        <v>1</v>
      </c>
      <c r="H322" s="67" t="str">
        <f t="shared" si="15"/>
        <v>000160朱井中</v>
      </c>
      <c r="I322" s="67" t="str">
        <f t="shared" si="16"/>
        <v>0404</v>
      </c>
    </row>
    <row r="323" spans="1:9" x14ac:dyDescent="0.15">
      <c r="A323" s="67" t="s">
        <v>935</v>
      </c>
      <c r="B323" s="67" t="s">
        <v>936</v>
      </c>
      <c r="C323" s="67" t="s">
        <v>4853</v>
      </c>
      <c r="D323" s="67" t="s">
        <v>4343</v>
      </c>
      <c r="E323" s="67" t="s">
        <v>4344</v>
      </c>
      <c r="F323" s="67" t="s">
        <v>4336</v>
      </c>
      <c r="G323" s="67">
        <f t="shared" ref="G323:G386" si="17">COUNTIFS(B:B,B323)</f>
        <v>1</v>
      </c>
      <c r="H323" s="67" t="str">
        <f t="shared" ref="H323:H386" si="18">C323&amp;B323</f>
        <v>000221刘宗国</v>
      </c>
      <c r="I323" s="67" t="str">
        <f t="shared" ref="I323:I386" si="19">A323</f>
        <v>0405</v>
      </c>
    </row>
    <row r="324" spans="1:9" x14ac:dyDescent="0.15">
      <c r="A324" s="67" t="s">
        <v>941</v>
      </c>
      <c r="B324" s="67" t="s">
        <v>942</v>
      </c>
      <c r="C324" s="67" t="s">
        <v>4854</v>
      </c>
      <c r="F324" s="67" t="s">
        <v>4409</v>
      </c>
      <c r="G324" s="67">
        <f t="shared" si="17"/>
        <v>1</v>
      </c>
      <c r="H324" s="67" t="str">
        <f t="shared" si="18"/>
        <v>000327李新强</v>
      </c>
      <c r="I324" s="67" t="str">
        <f t="shared" si="19"/>
        <v>0408</v>
      </c>
    </row>
    <row r="325" spans="1:9" x14ac:dyDescent="0.15">
      <c r="A325" s="67" t="s">
        <v>943</v>
      </c>
      <c r="B325" s="67" t="s">
        <v>944</v>
      </c>
      <c r="C325" s="67" t="s">
        <v>4855</v>
      </c>
      <c r="F325" s="67" t="s">
        <v>4409</v>
      </c>
      <c r="G325" s="67">
        <f t="shared" si="17"/>
        <v>1</v>
      </c>
      <c r="H325" s="67" t="str">
        <f t="shared" si="18"/>
        <v>000218刘国青</v>
      </c>
      <c r="I325" s="67" t="str">
        <f t="shared" si="19"/>
        <v>0409</v>
      </c>
    </row>
    <row r="326" spans="1:9" x14ac:dyDescent="0.15">
      <c r="A326" s="67" t="s">
        <v>4856</v>
      </c>
      <c r="B326" s="67" t="s">
        <v>4857</v>
      </c>
      <c r="C326" s="67" t="s">
        <v>4858</v>
      </c>
      <c r="D326" s="67" t="s">
        <v>4847</v>
      </c>
      <c r="E326" s="67" t="s">
        <v>4848</v>
      </c>
      <c r="F326" s="67" t="s">
        <v>4336</v>
      </c>
      <c r="G326" s="67">
        <f t="shared" si="17"/>
        <v>1</v>
      </c>
      <c r="H326" s="67" t="str">
        <f t="shared" si="18"/>
        <v>000711临时工41</v>
      </c>
      <c r="I326" s="67" t="str">
        <f t="shared" si="19"/>
        <v>041</v>
      </c>
    </row>
    <row r="327" spans="1:9" x14ac:dyDescent="0.15">
      <c r="A327" s="67" t="s">
        <v>945</v>
      </c>
      <c r="B327" s="67" t="s">
        <v>946</v>
      </c>
      <c r="C327" s="67" t="s">
        <v>4859</v>
      </c>
      <c r="D327" s="67" t="s">
        <v>4338</v>
      </c>
      <c r="E327" s="67" t="s">
        <v>4339</v>
      </c>
      <c r="F327" s="67" t="s">
        <v>4336</v>
      </c>
      <c r="G327" s="67">
        <f t="shared" si="17"/>
        <v>1</v>
      </c>
      <c r="H327" s="67" t="str">
        <f t="shared" si="18"/>
        <v>000325李响</v>
      </c>
      <c r="I327" s="67" t="str">
        <f t="shared" si="19"/>
        <v>0410</v>
      </c>
    </row>
    <row r="328" spans="1:9" x14ac:dyDescent="0.15">
      <c r="A328" s="67" t="s">
        <v>947</v>
      </c>
      <c r="B328" s="67" t="s">
        <v>948</v>
      </c>
      <c r="C328" s="67" t="s">
        <v>4860</v>
      </c>
      <c r="F328" s="67" t="s">
        <v>4409</v>
      </c>
      <c r="G328" s="67">
        <f t="shared" si="17"/>
        <v>1</v>
      </c>
      <c r="H328" s="67" t="str">
        <f t="shared" si="18"/>
        <v>000071温乃强</v>
      </c>
      <c r="I328" s="67" t="str">
        <f t="shared" si="19"/>
        <v>0411</v>
      </c>
    </row>
    <row r="329" spans="1:9" x14ac:dyDescent="0.15">
      <c r="A329" s="67" t="s">
        <v>949</v>
      </c>
      <c r="B329" s="67" t="s">
        <v>950</v>
      </c>
      <c r="C329" s="67" t="s">
        <v>4861</v>
      </c>
      <c r="D329" s="67" t="s">
        <v>4338</v>
      </c>
      <c r="E329" s="67" t="s">
        <v>4339</v>
      </c>
      <c r="F329" s="67" t="s">
        <v>4336</v>
      </c>
      <c r="G329" s="67">
        <f t="shared" si="17"/>
        <v>1</v>
      </c>
      <c r="H329" s="67" t="str">
        <f t="shared" si="18"/>
        <v>000049蔡鹏飞</v>
      </c>
      <c r="I329" s="67" t="str">
        <f t="shared" si="19"/>
        <v>0412</v>
      </c>
    </row>
    <row r="330" spans="1:9" x14ac:dyDescent="0.15">
      <c r="A330" s="67" t="s">
        <v>951</v>
      </c>
      <c r="B330" s="67" t="s">
        <v>952</v>
      </c>
      <c r="C330" s="67" t="s">
        <v>4862</v>
      </c>
      <c r="D330" s="67" t="s">
        <v>4338</v>
      </c>
      <c r="E330" s="67" t="s">
        <v>4339</v>
      </c>
      <c r="F330" s="67" t="s">
        <v>4336</v>
      </c>
      <c r="G330" s="67">
        <f t="shared" si="17"/>
        <v>1</v>
      </c>
      <c r="H330" s="67" t="str">
        <f t="shared" si="18"/>
        <v>000068孙梁宏</v>
      </c>
      <c r="I330" s="67" t="str">
        <f t="shared" si="19"/>
        <v>0413</v>
      </c>
    </row>
    <row r="331" spans="1:9" x14ac:dyDescent="0.15">
      <c r="A331" s="67" t="s">
        <v>953</v>
      </c>
      <c r="B331" s="67" t="s">
        <v>954</v>
      </c>
      <c r="C331" s="67" t="s">
        <v>4863</v>
      </c>
      <c r="D331" s="67" t="s">
        <v>4424</v>
      </c>
      <c r="E331" s="67" t="s">
        <v>4864</v>
      </c>
      <c r="F331" s="67" t="s">
        <v>4336</v>
      </c>
      <c r="G331" s="67">
        <f t="shared" si="17"/>
        <v>1</v>
      </c>
      <c r="H331" s="67" t="str">
        <f t="shared" si="18"/>
        <v>000296何文好</v>
      </c>
      <c r="I331" s="67" t="str">
        <f t="shared" si="19"/>
        <v>0414</v>
      </c>
    </row>
    <row r="332" spans="1:9" x14ac:dyDescent="0.15">
      <c r="A332" s="67" t="s">
        <v>955</v>
      </c>
      <c r="B332" s="67" t="s">
        <v>956</v>
      </c>
      <c r="C332" s="67" t="s">
        <v>4865</v>
      </c>
      <c r="D332" s="67" t="s">
        <v>4343</v>
      </c>
      <c r="E332" s="67" t="s">
        <v>4344</v>
      </c>
      <c r="F332" s="67" t="s">
        <v>4336</v>
      </c>
      <c r="G332" s="67">
        <f t="shared" si="17"/>
        <v>2</v>
      </c>
      <c r="H332" s="67" t="str">
        <f t="shared" si="18"/>
        <v>000391罗健华</v>
      </c>
      <c r="I332" s="67" t="str">
        <f t="shared" si="19"/>
        <v>0415</v>
      </c>
    </row>
    <row r="333" spans="1:9" x14ac:dyDescent="0.15">
      <c r="A333" s="67" t="s">
        <v>955</v>
      </c>
      <c r="B333" s="67" t="s">
        <v>956</v>
      </c>
      <c r="C333" s="67" t="s">
        <v>4866</v>
      </c>
      <c r="F333" s="67" t="s">
        <v>4409</v>
      </c>
      <c r="G333" s="67">
        <f t="shared" si="17"/>
        <v>2</v>
      </c>
      <c r="H333" s="67" t="str">
        <f t="shared" si="18"/>
        <v>000236罗健华</v>
      </c>
      <c r="I333" s="67" t="str">
        <f t="shared" si="19"/>
        <v>0415</v>
      </c>
    </row>
    <row r="334" spans="1:9" x14ac:dyDescent="0.15">
      <c r="A334" s="67" t="s">
        <v>959</v>
      </c>
      <c r="B334" s="67" t="s">
        <v>960</v>
      </c>
      <c r="C334" s="67" t="s">
        <v>4867</v>
      </c>
      <c r="F334" s="67" t="s">
        <v>4409</v>
      </c>
      <c r="G334" s="67">
        <f t="shared" si="17"/>
        <v>2</v>
      </c>
      <c r="H334" s="67" t="str">
        <f t="shared" si="18"/>
        <v>000336潘川</v>
      </c>
      <c r="I334" s="67" t="str">
        <f t="shared" si="19"/>
        <v>0417</v>
      </c>
    </row>
    <row r="335" spans="1:9" x14ac:dyDescent="0.15">
      <c r="A335" s="67" t="s">
        <v>959</v>
      </c>
      <c r="B335" s="67" t="s">
        <v>960</v>
      </c>
      <c r="C335" s="67" t="s">
        <v>4868</v>
      </c>
      <c r="D335" s="67" t="s">
        <v>4869</v>
      </c>
      <c r="E335" s="67" t="s">
        <v>4870</v>
      </c>
      <c r="F335" s="67" t="s">
        <v>4336</v>
      </c>
      <c r="G335" s="67">
        <f t="shared" si="17"/>
        <v>2</v>
      </c>
      <c r="H335" s="67" t="str">
        <f t="shared" si="18"/>
        <v>000596潘川</v>
      </c>
      <c r="I335" s="67" t="str">
        <f t="shared" si="19"/>
        <v>0417</v>
      </c>
    </row>
    <row r="336" spans="1:9" x14ac:dyDescent="0.15">
      <c r="A336" s="67" t="s">
        <v>961</v>
      </c>
      <c r="B336" s="67" t="s">
        <v>962</v>
      </c>
      <c r="C336" s="67" t="s">
        <v>4871</v>
      </c>
      <c r="D336" s="67" t="s">
        <v>4872</v>
      </c>
      <c r="E336" s="67" t="s">
        <v>4873</v>
      </c>
      <c r="F336" s="67" t="s">
        <v>4336</v>
      </c>
      <c r="G336" s="67">
        <f t="shared" si="17"/>
        <v>1</v>
      </c>
      <c r="H336" s="67" t="str">
        <f t="shared" si="18"/>
        <v>000359夏福章</v>
      </c>
      <c r="I336" s="67" t="str">
        <f t="shared" si="19"/>
        <v>0418</v>
      </c>
    </row>
    <row r="337" spans="1:9" x14ac:dyDescent="0.15">
      <c r="A337" s="67" t="s">
        <v>4874</v>
      </c>
      <c r="B337" s="67" t="s">
        <v>4875</v>
      </c>
      <c r="C337" s="67" t="s">
        <v>4876</v>
      </c>
      <c r="D337" s="67" t="s">
        <v>4847</v>
      </c>
      <c r="E337" s="67" t="s">
        <v>4848</v>
      </c>
      <c r="F337" s="67" t="s">
        <v>4336</v>
      </c>
      <c r="G337" s="67">
        <f t="shared" si="17"/>
        <v>1</v>
      </c>
      <c r="H337" s="67" t="str">
        <f t="shared" si="18"/>
        <v>000712临时工42</v>
      </c>
      <c r="I337" s="67" t="str">
        <f t="shared" si="19"/>
        <v>042</v>
      </c>
    </row>
    <row r="338" spans="1:9" x14ac:dyDescent="0.15">
      <c r="A338" s="67" t="s">
        <v>967</v>
      </c>
      <c r="B338" s="67" t="s">
        <v>968</v>
      </c>
      <c r="C338" s="67" t="s">
        <v>4877</v>
      </c>
      <c r="D338" s="67" t="s">
        <v>4338</v>
      </c>
      <c r="E338" s="67" t="s">
        <v>4339</v>
      </c>
      <c r="F338" s="67" t="s">
        <v>4336</v>
      </c>
      <c r="G338" s="67">
        <f t="shared" si="17"/>
        <v>1</v>
      </c>
      <c r="H338" s="67" t="str">
        <f t="shared" si="18"/>
        <v>000124郭遵行</v>
      </c>
      <c r="I338" s="67" t="str">
        <f t="shared" si="19"/>
        <v>0421</v>
      </c>
    </row>
    <row r="339" spans="1:9" x14ac:dyDescent="0.15">
      <c r="A339" s="67" t="s">
        <v>981</v>
      </c>
      <c r="B339" s="67" t="s">
        <v>982</v>
      </c>
      <c r="C339" s="67" t="s">
        <v>4878</v>
      </c>
      <c r="F339" s="67" t="s">
        <v>4409</v>
      </c>
      <c r="G339" s="67">
        <f t="shared" si="17"/>
        <v>1</v>
      </c>
      <c r="H339" s="67" t="str">
        <f t="shared" si="18"/>
        <v>000011王银华</v>
      </c>
      <c r="I339" s="67" t="str">
        <f t="shared" si="19"/>
        <v>0428</v>
      </c>
    </row>
    <row r="340" spans="1:9" x14ac:dyDescent="0.15">
      <c r="A340" s="67" t="s">
        <v>4879</v>
      </c>
      <c r="B340" s="67" t="s">
        <v>4880</v>
      </c>
      <c r="C340" s="67" t="s">
        <v>4881</v>
      </c>
      <c r="D340" s="67" t="s">
        <v>4882</v>
      </c>
      <c r="E340" s="67" t="s">
        <v>4883</v>
      </c>
      <c r="F340" s="67" t="s">
        <v>4336</v>
      </c>
      <c r="G340" s="67">
        <f t="shared" si="17"/>
        <v>1</v>
      </c>
      <c r="H340" s="67" t="str">
        <f t="shared" si="18"/>
        <v>000735临时工43</v>
      </c>
      <c r="I340" s="67" t="str">
        <f t="shared" si="19"/>
        <v>043</v>
      </c>
    </row>
    <row r="341" spans="1:9" x14ac:dyDescent="0.15">
      <c r="A341" s="67" t="s">
        <v>1003</v>
      </c>
      <c r="B341" s="67" t="s">
        <v>1004</v>
      </c>
      <c r="C341" s="67" t="s">
        <v>4884</v>
      </c>
      <c r="D341" s="67" t="s">
        <v>4338</v>
      </c>
      <c r="E341" s="67" t="s">
        <v>4339</v>
      </c>
      <c r="F341" s="67" t="s">
        <v>4336</v>
      </c>
      <c r="G341" s="67">
        <f t="shared" si="17"/>
        <v>1</v>
      </c>
      <c r="H341" s="67" t="str">
        <f t="shared" si="18"/>
        <v>000076许哲强</v>
      </c>
      <c r="I341" s="67" t="str">
        <f t="shared" si="19"/>
        <v>0439</v>
      </c>
    </row>
    <row r="342" spans="1:9" x14ac:dyDescent="0.15">
      <c r="A342" s="67" t="s">
        <v>4885</v>
      </c>
      <c r="B342" s="67" t="s">
        <v>4886</v>
      </c>
      <c r="C342" s="67" t="s">
        <v>4887</v>
      </c>
      <c r="D342" s="67" t="s">
        <v>4882</v>
      </c>
      <c r="E342" s="67" t="s">
        <v>4883</v>
      </c>
      <c r="F342" s="67" t="s">
        <v>4336</v>
      </c>
      <c r="G342" s="67">
        <f t="shared" si="17"/>
        <v>1</v>
      </c>
      <c r="H342" s="67" t="str">
        <f t="shared" si="18"/>
        <v>000736临时工44</v>
      </c>
      <c r="I342" s="67" t="str">
        <f t="shared" si="19"/>
        <v>044</v>
      </c>
    </row>
    <row r="343" spans="1:9" x14ac:dyDescent="0.15">
      <c r="A343" s="67" t="s">
        <v>1011</v>
      </c>
      <c r="B343" s="67" t="s">
        <v>1012</v>
      </c>
      <c r="C343" s="67" t="s">
        <v>4888</v>
      </c>
      <c r="F343" s="67" t="s">
        <v>4409</v>
      </c>
      <c r="G343" s="67">
        <f t="shared" si="17"/>
        <v>1</v>
      </c>
      <c r="H343" s="67" t="str">
        <f t="shared" si="18"/>
        <v>000319侯志辉</v>
      </c>
      <c r="I343" s="67" t="str">
        <f t="shared" si="19"/>
        <v>0443</v>
      </c>
    </row>
    <row r="344" spans="1:9" x14ac:dyDescent="0.15">
      <c r="A344" s="67" t="s">
        <v>1015</v>
      </c>
      <c r="B344" s="67" t="s">
        <v>1016</v>
      </c>
      <c r="C344" s="67" t="s">
        <v>4889</v>
      </c>
      <c r="F344" s="67" t="s">
        <v>4409</v>
      </c>
      <c r="G344" s="67">
        <f t="shared" si="17"/>
        <v>1</v>
      </c>
      <c r="H344" s="67" t="str">
        <f t="shared" si="18"/>
        <v>000110苏正书</v>
      </c>
      <c r="I344" s="67" t="str">
        <f t="shared" si="19"/>
        <v>0446</v>
      </c>
    </row>
    <row r="345" spans="1:9" x14ac:dyDescent="0.15">
      <c r="A345" s="67" t="s">
        <v>1017</v>
      </c>
      <c r="B345" s="67" t="s">
        <v>1018</v>
      </c>
      <c r="C345" s="67" t="s">
        <v>4890</v>
      </c>
      <c r="D345" s="67" t="s">
        <v>4343</v>
      </c>
      <c r="E345" s="67" t="s">
        <v>4344</v>
      </c>
      <c r="F345" s="67" t="s">
        <v>4336</v>
      </c>
      <c r="G345" s="67">
        <f t="shared" si="17"/>
        <v>1</v>
      </c>
      <c r="H345" s="67" t="str">
        <f t="shared" si="18"/>
        <v>000250宋爱芳</v>
      </c>
      <c r="I345" s="67" t="str">
        <f t="shared" si="19"/>
        <v>0447</v>
      </c>
    </row>
    <row r="346" spans="1:9" x14ac:dyDescent="0.15">
      <c r="A346" s="67" t="s">
        <v>1019</v>
      </c>
      <c r="B346" s="67" t="s">
        <v>1020</v>
      </c>
      <c r="C346" s="67" t="s">
        <v>4891</v>
      </c>
      <c r="F346" s="67" t="s">
        <v>4409</v>
      </c>
      <c r="G346" s="67">
        <f t="shared" si="17"/>
        <v>1</v>
      </c>
      <c r="H346" s="67" t="str">
        <f t="shared" si="18"/>
        <v>000343孙学奎</v>
      </c>
      <c r="I346" s="67" t="str">
        <f t="shared" si="19"/>
        <v>0448</v>
      </c>
    </row>
    <row r="347" spans="1:9" x14ac:dyDescent="0.15">
      <c r="A347" s="67" t="s">
        <v>4892</v>
      </c>
      <c r="B347" s="67" t="s">
        <v>4893</v>
      </c>
      <c r="C347" s="67" t="s">
        <v>4894</v>
      </c>
      <c r="D347" s="67" t="s">
        <v>4882</v>
      </c>
      <c r="E347" s="67" t="s">
        <v>4883</v>
      </c>
      <c r="F347" s="67" t="s">
        <v>4336</v>
      </c>
      <c r="G347" s="67">
        <f t="shared" si="17"/>
        <v>1</v>
      </c>
      <c r="H347" s="67" t="str">
        <f t="shared" si="18"/>
        <v>000737临时工45</v>
      </c>
      <c r="I347" s="67" t="str">
        <f t="shared" si="19"/>
        <v>045</v>
      </c>
    </row>
    <row r="348" spans="1:9" x14ac:dyDescent="0.15">
      <c r="A348" s="67" t="s">
        <v>1027</v>
      </c>
      <c r="B348" s="67" t="s">
        <v>1028</v>
      </c>
      <c r="C348" s="67" t="s">
        <v>4895</v>
      </c>
      <c r="F348" s="67" t="s">
        <v>4409</v>
      </c>
      <c r="G348" s="67">
        <f t="shared" si="17"/>
        <v>1</v>
      </c>
      <c r="H348" s="67" t="str">
        <f t="shared" si="18"/>
        <v>000385徐海英</v>
      </c>
      <c r="I348" s="67" t="str">
        <f t="shared" si="19"/>
        <v>0452</v>
      </c>
    </row>
    <row r="349" spans="1:9" x14ac:dyDescent="0.15">
      <c r="A349" s="67" t="s">
        <v>1029</v>
      </c>
      <c r="B349" s="67" t="s">
        <v>1030</v>
      </c>
      <c r="C349" s="67" t="s">
        <v>4896</v>
      </c>
      <c r="D349" s="67" t="s">
        <v>4338</v>
      </c>
      <c r="E349" s="67" t="s">
        <v>4339</v>
      </c>
      <c r="F349" s="67" t="s">
        <v>4336</v>
      </c>
      <c r="G349" s="67">
        <f t="shared" si="17"/>
        <v>1</v>
      </c>
      <c r="H349" s="67" t="str">
        <f t="shared" si="18"/>
        <v>000190田正轩</v>
      </c>
      <c r="I349" s="67" t="str">
        <f t="shared" si="19"/>
        <v>0453</v>
      </c>
    </row>
    <row r="350" spans="1:9" x14ac:dyDescent="0.15">
      <c r="A350" s="67" t="s">
        <v>1031</v>
      </c>
      <c r="B350" s="67" t="s">
        <v>1032</v>
      </c>
      <c r="C350" s="67" t="s">
        <v>4897</v>
      </c>
      <c r="D350" s="67" t="s">
        <v>4338</v>
      </c>
      <c r="E350" s="67" t="s">
        <v>4898</v>
      </c>
      <c r="F350" s="67" t="s">
        <v>4336</v>
      </c>
      <c r="G350" s="67">
        <f t="shared" si="17"/>
        <v>1</v>
      </c>
      <c r="H350" s="67" t="str">
        <f t="shared" si="18"/>
        <v>000130李雄</v>
      </c>
      <c r="I350" s="67" t="str">
        <f t="shared" si="19"/>
        <v>0454</v>
      </c>
    </row>
    <row r="351" spans="1:9" x14ac:dyDescent="0.15">
      <c r="A351" s="67" t="s">
        <v>1035</v>
      </c>
      <c r="B351" s="67" t="s">
        <v>1036</v>
      </c>
      <c r="C351" s="67" t="s">
        <v>4899</v>
      </c>
      <c r="D351" s="67" t="s">
        <v>4343</v>
      </c>
      <c r="E351" s="67" t="s">
        <v>4344</v>
      </c>
      <c r="F351" s="67" t="s">
        <v>4336</v>
      </c>
      <c r="G351" s="67">
        <f t="shared" si="17"/>
        <v>1</v>
      </c>
      <c r="H351" s="67" t="str">
        <f t="shared" si="18"/>
        <v>000254王梦波</v>
      </c>
      <c r="I351" s="67" t="str">
        <f t="shared" si="19"/>
        <v>0456</v>
      </c>
    </row>
    <row r="352" spans="1:9" x14ac:dyDescent="0.15">
      <c r="A352" s="67" t="s">
        <v>1039</v>
      </c>
      <c r="B352" s="67" t="s">
        <v>1040</v>
      </c>
      <c r="C352" s="67" t="s">
        <v>4900</v>
      </c>
      <c r="F352" s="67" t="s">
        <v>4409</v>
      </c>
      <c r="G352" s="67">
        <f t="shared" si="17"/>
        <v>1</v>
      </c>
      <c r="H352" s="67" t="str">
        <f t="shared" si="18"/>
        <v>000147王金智</v>
      </c>
      <c r="I352" s="67" t="str">
        <f t="shared" si="19"/>
        <v>0458</v>
      </c>
    </row>
    <row r="353" spans="1:9" x14ac:dyDescent="0.15">
      <c r="A353" s="67" t="s">
        <v>1041</v>
      </c>
      <c r="B353" s="67" t="s">
        <v>1042</v>
      </c>
      <c r="C353" s="67" t="s">
        <v>4901</v>
      </c>
      <c r="F353" s="67" t="s">
        <v>4409</v>
      </c>
      <c r="G353" s="67">
        <f t="shared" si="17"/>
        <v>1</v>
      </c>
      <c r="H353" s="67" t="str">
        <f t="shared" si="18"/>
        <v>000129李先羲</v>
      </c>
      <c r="I353" s="67" t="str">
        <f t="shared" si="19"/>
        <v>0459</v>
      </c>
    </row>
    <row r="354" spans="1:9" x14ac:dyDescent="0.15">
      <c r="A354" s="67" t="s">
        <v>4902</v>
      </c>
      <c r="B354" s="67" t="s">
        <v>4903</v>
      </c>
      <c r="C354" s="67" t="s">
        <v>4904</v>
      </c>
      <c r="D354" s="67" t="s">
        <v>4882</v>
      </c>
      <c r="E354" s="67" t="s">
        <v>4883</v>
      </c>
      <c r="F354" s="67" t="s">
        <v>4336</v>
      </c>
      <c r="G354" s="67">
        <f t="shared" si="17"/>
        <v>1</v>
      </c>
      <c r="H354" s="67" t="str">
        <f t="shared" si="18"/>
        <v>000738临时工46</v>
      </c>
      <c r="I354" s="67" t="str">
        <f t="shared" si="19"/>
        <v>046</v>
      </c>
    </row>
    <row r="355" spans="1:9" x14ac:dyDescent="0.15">
      <c r="A355" s="67" t="s">
        <v>1043</v>
      </c>
      <c r="B355" s="67" t="s">
        <v>1044</v>
      </c>
      <c r="C355" s="67" t="s">
        <v>4905</v>
      </c>
      <c r="F355" s="67" t="s">
        <v>4409</v>
      </c>
      <c r="G355" s="67">
        <f t="shared" si="17"/>
        <v>2</v>
      </c>
      <c r="H355" s="67" t="str">
        <f t="shared" si="18"/>
        <v>000126何新平</v>
      </c>
      <c r="I355" s="67" t="str">
        <f t="shared" si="19"/>
        <v>0460</v>
      </c>
    </row>
    <row r="356" spans="1:9" x14ac:dyDescent="0.15">
      <c r="A356" s="67" t="s">
        <v>1043</v>
      </c>
      <c r="B356" s="67" t="s">
        <v>1044</v>
      </c>
      <c r="C356" s="67" t="s">
        <v>4906</v>
      </c>
      <c r="D356" s="67" t="s">
        <v>4671</v>
      </c>
      <c r="E356" s="67" t="s">
        <v>4672</v>
      </c>
      <c r="F356" s="67" t="s">
        <v>4336</v>
      </c>
      <c r="G356" s="67">
        <f t="shared" si="17"/>
        <v>2</v>
      </c>
      <c r="H356" s="67" t="str">
        <f t="shared" si="18"/>
        <v>000463何新平</v>
      </c>
      <c r="I356" s="67" t="str">
        <f t="shared" si="19"/>
        <v>0460</v>
      </c>
    </row>
    <row r="357" spans="1:9" x14ac:dyDescent="0.15">
      <c r="A357" s="67" t="s">
        <v>1047</v>
      </c>
      <c r="B357" s="67" t="s">
        <v>1048</v>
      </c>
      <c r="C357" s="67" t="s">
        <v>4907</v>
      </c>
      <c r="D357" s="67" t="s">
        <v>4338</v>
      </c>
      <c r="E357" s="67" t="s">
        <v>4339</v>
      </c>
      <c r="F357" s="67" t="s">
        <v>4336</v>
      </c>
      <c r="G357" s="67">
        <f t="shared" si="17"/>
        <v>1</v>
      </c>
      <c r="H357" s="67" t="str">
        <f t="shared" si="18"/>
        <v>000079杨珍龙</v>
      </c>
      <c r="I357" s="67" t="str">
        <f t="shared" si="19"/>
        <v>0462</v>
      </c>
    </row>
    <row r="358" spans="1:9" x14ac:dyDescent="0.15">
      <c r="A358" s="67" t="s">
        <v>1055</v>
      </c>
      <c r="B358" s="67" t="s">
        <v>1056</v>
      </c>
      <c r="C358" s="67" t="s">
        <v>4908</v>
      </c>
      <c r="D358" s="67" t="s">
        <v>4338</v>
      </c>
      <c r="E358" s="67" t="s">
        <v>4339</v>
      </c>
      <c r="F358" s="67" t="s">
        <v>4336</v>
      </c>
      <c r="G358" s="67">
        <f t="shared" si="17"/>
        <v>1</v>
      </c>
      <c r="H358" s="67" t="str">
        <f t="shared" si="18"/>
        <v>000317郭芝中</v>
      </c>
      <c r="I358" s="67" t="str">
        <f t="shared" si="19"/>
        <v>0466</v>
      </c>
    </row>
    <row r="359" spans="1:9" x14ac:dyDescent="0.15">
      <c r="A359" s="67" t="s">
        <v>1057</v>
      </c>
      <c r="B359" s="67" t="s">
        <v>1058</v>
      </c>
      <c r="C359" s="67" t="s">
        <v>4909</v>
      </c>
      <c r="F359" s="67" t="s">
        <v>4409</v>
      </c>
      <c r="G359" s="67">
        <f t="shared" si="17"/>
        <v>2</v>
      </c>
      <c r="H359" s="67" t="str">
        <f t="shared" si="18"/>
        <v>000357吴超超</v>
      </c>
      <c r="I359" s="67" t="str">
        <f t="shared" si="19"/>
        <v>0467</v>
      </c>
    </row>
    <row r="360" spans="1:9" x14ac:dyDescent="0.15">
      <c r="A360" s="67" t="s">
        <v>1057</v>
      </c>
      <c r="B360" s="67" t="s">
        <v>1058</v>
      </c>
      <c r="C360" s="67" t="s">
        <v>4910</v>
      </c>
      <c r="D360" s="67" t="s">
        <v>4572</v>
      </c>
      <c r="E360" s="67" t="s">
        <v>4573</v>
      </c>
      <c r="F360" s="67" t="s">
        <v>4336</v>
      </c>
      <c r="G360" s="67">
        <f t="shared" si="17"/>
        <v>2</v>
      </c>
      <c r="H360" s="67" t="str">
        <f t="shared" si="18"/>
        <v>000566吴超超</v>
      </c>
      <c r="I360" s="67" t="str">
        <f t="shared" si="19"/>
        <v>0467</v>
      </c>
    </row>
    <row r="361" spans="1:9" x14ac:dyDescent="0.15">
      <c r="A361" s="67" t="s">
        <v>4911</v>
      </c>
      <c r="B361" s="67" t="s">
        <v>4912</v>
      </c>
      <c r="C361" s="67" t="s">
        <v>4913</v>
      </c>
      <c r="D361" s="67" t="s">
        <v>4882</v>
      </c>
      <c r="E361" s="67" t="s">
        <v>4883</v>
      </c>
      <c r="F361" s="67" t="s">
        <v>4336</v>
      </c>
      <c r="G361" s="67">
        <f t="shared" si="17"/>
        <v>1</v>
      </c>
      <c r="H361" s="67" t="str">
        <f t="shared" si="18"/>
        <v>000739临时工47</v>
      </c>
      <c r="I361" s="67" t="str">
        <f t="shared" si="19"/>
        <v>047</v>
      </c>
    </row>
    <row r="362" spans="1:9" x14ac:dyDescent="0.15">
      <c r="A362" s="67" t="s">
        <v>1063</v>
      </c>
      <c r="B362" s="67" t="s">
        <v>1064</v>
      </c>
      <c r="C362" s="67" t="s">
        <v>4914</v>
      </c>
      <c r="D362" s="67" t="s">
        <v>4338</v>
      </c>
      <c r="E362" s="67" t="s">
        <v>4339</v>
      </c>
      <c r="F362" s="67" t="s">
        <v>4336</v>
      </c>
      <c r="G362" s="67">
        <f t="shared" si="17"/>
        <v>1</v>
      </c>
      <c r="H362" s="67" t="str">
        <f t="shared" si="18"/>
        <v>000080杨志勇</v>
      </c>
      <c r="I362" s="67" t="str">
        <f t="shared" si="19"/>
        <v>0470</v>
      </c>
    </row>
    <row r="363" spans="1:9" x14ac:dyDescent="0.15">
      <c r="A363" s="67" t="s">
        <v>1065</v>
      </c>
      <c r="B363" s="67" t="s">
        <v>1066</v>
      </c>
      <c r="C363" s="67" t="s">
        <v>4915</v>
      </c>
      <c r="D363" s="67" t="s">
        <v>4338</v>
      </c>
      <c r="E363" s="67" t="s">
        <v>4339</v>
      </c>
      <c r="F363" s="67" t="s">
        <v>4336</v>
      </c>
      <c r="G363" s="67">
        <f t="shared" si="17"/>
        <v>1</v>
      </c>
      <c r="H363" s="67" t="str">
        <f t="shared" si="18"/>
        <v>000186时洪波</v>
      </c>
      <c r="I363" s="67" t="str">
        <f t="shared" si="19"/>
        <v>0471</v>
      </c>
    </row>
    <row r="364" spans="1:9" x14ac:dyDescent="0.15">
      <c r="A364" s="67" t="s">
        <v>1067</v>
      </c>
      <c r="B364" s="67" t="s">
        <v>1068</v>
      </c>
      <c r="C364" s="67" t="s">
        <v>4916</v>
      </c>
      <c r="D364" s="67" t="s">
        <v>4338</v>
      </c>
      <c r="E364" s="67" t="s">
        <v>4917</v>
      </c>
      <c r="F364" s="67" t="s">
        <v>4336</v>
      </c>
      <c r="G364" s="67">
        <f t="shared" si="17"/>
        <v>1</v>
      </c>
      <c r="H364" s="67" t="str">
        <f t="shared" si="18"/>
        <v>000067乔中朋</v>
      </c>
      <c r="I364" s="67" t="str">
        <f t="shared" si="19"/>
        <v>0472</v>
      </c>
    </row>
    <row r="365" spans="1:9" x14ac:dyDescent="0.15">
      <c r="A365" s="67" t="s">
        <v>1069</v>
      </c>
      <c r="B365" s="67" t="s">
        <v>1070</v>
      </c>
      <c r="C365" s="67" t="s">
        <v>4918</v>
      </c>
      <c r="D365" s="67" t="s">
        <v>4338</v>
      </c>
      <c r="E365" s="67" t="s">
        <v>4339</v>
      </c>
      <c r="F365" s="67" t="s">
        <v>4336</v>
      </c>
      <c r="G365" s="67">
        <f t="shared" si="17"/>
        <v>1</v>
      </c>
      <c r="H365" s="67" t="str">
        <f t="shared" si="18"/>
        <v>000345田俊领</v>
      </c>
      <c r="I365" s="67" t="str">
        <f t="shared" si="19"/>
        <v>0473</v>
      </c>
    </row>
    <row r="366" spans="1:9" x14ac:dyDescent="0.15">
      <c r="A366" s="67" t="s">
        <v>1071</v>
      </c>
      <c r="B366" s="67" t="s">
        <v>1072</v>
      </c>
      <c r="C366" s="67" t="s">
        <v>4919</v>
      </c>
      <c r="D366" s="67" t="s">
        <v>4553</v>
      </c>
      <c r="E366" s="67" t="s">
        <v>4633</v>
      </c>
      <c r="F366" s="67" t="s">
        <v>4336</v>
      </c>
      <c r="G366" s="67">
        <f t="shared" si="17"/>
        <v>1</v>
      </c>
      <c r="H366" s="67" t="str">
        <f t="shared" si="18"/>
        <v>000058李漫辉</v>
      </c>
      <c r="I366" s="67" t="str">
        <f t="shared" si="19"/>
        <v>0474</v>
      </c>
    </row>
    <row r="367" spans="1:9" x14ac:dyDescent="0.15">
      <c r="A367" s="67" t="s">
        <v>1073</v>
      </c>
      <c r="B367" s="67" t="s">
        <v>1074</v>
      </c>
      <c r="C367" s="67" t="s">
        <v>4920</v>
      </c>
      <c r="D367" s="67" t="s">
        <v>4424</v>
      </c>
      <c r="E367" s="67" t="s">
        <v>4425</v>
      </c>
      <c r="F367" s="67" t="s">
        <v>4336</v>
      </c>
      <c r="G367" s="67">
        <f t="shared" si="17"/>
        <v>1</v>
      </c>
      <c r="H367" s="67" t="str">
        <f t="shared" si="18"/>
        <v>000302涂春</v>
      </c>
      <c r="I367" s="67" t="str">
        <f t="shared" si="19"/>
        <v>0475</v>
      </c>
    </row>
    <row r="368" spans="1:9" x14ac:dyDescent="0.15">
      <c r="A368" s="67" t="s">
        <v>1075</v>
      </c>
      <c r="B368" s="67" t="s">
        <v>1076</v>
      </c>
      <c r="C368" s="67" t="s">
        <v>4921</v>
      </c>
      <c r="D368" s="67" t="s">
        <v>4338</v>
      </c>
      <c r="E368" s="67" t="s">
        <v>4339</v>
      </c>
      <c r="F368" s="67" t="s">
        <v>4336</v>
      </c>
      <c r="G368" s="67">
        <f t="shared" si="17"/>
        <v>1</v>
      </c>
      <c r="H368" s="67" t="str">
        <f t="shared" si="18"/>
        <v>000370张昊</v>
      </c>
      <c r="I368" s="67" t="str">
        <f t="shared" si="19"/>
        <v>0476</v>
      </c>
    </row>
    <row r="369" spans="1:9" x14ac:dyDescent="0.15">
      <c r="A369" s="67" t="s">
        <v>1077</v>
      </c>
      <c r="B369" s="67" t="s">
        <v>1078</v>
      </c>
      <c r="C369" s="67" t="s">
        <v>4922</v>
      </c>
      <c r="D369" s="67" t="s">
        <v>4338</v>
      </c>
      <c r="E369" s="67" t="s">
        <v>4339</v>
      </c>
      <c r="F369" s="67" t="s">
        <v>4336</v>
      </c>
      <c r="G369" s="67">
        <f t="shared" si="17"/>
        <v>1</v>
      </c>
      <c r="H369" s="67" t="str">
        <f t="shared" si="18"/>
        <v>000074吴明山</v>
      </c>
      <c r="I369" s="67" t="str">
        <f t="shared" si="19"/>
        <v>0477</v>
      </c>
    </row>
    <row r="370" spans="1:9" x14ac:dyDescent="0.15">
      <c r="A370" s="67" t="s">
        <v>1079</v>
      </c>
      <c r="B370" s="67" t="s">
        <v>1080</v>
      </c>
      <c r="C370" s="67" t="s">
        <v>4923</v>
      </c>
      <c r="D370" s="67" t="s">
        <v>4338</v>
      </c>
      <c r="E370" s="67" t="s">
        <v>4339</v>
      </c>
      <c r="F370" s="67" t="s">
        <v>4336</v>
      </c>
      <c r="G370" s="67">
        <f t="shared" si="17"/>
        <v>1</v>
      </c>
      <c r="H370" s="67" t="str">
        <f t="shared" si="18"/>
        <v>000057李富胜</v>
      </c>
      <c r="I370" s="67" t="str">
        <f t="shared" si="19"/>
        <v>0478</v>
      </c>
    </row>
    <row r="371" spans="1:9" x14ac:dyDescent="0.15">
      <c r="A371" s="67" t="s">
        <v>4924</v>
      </c>
      <c r="B371" s="67" t="s">
        <v>4925</v>
      </c>
      <c r="C371" s="67" t="s">
        <v>4926</v>
      </c>
      <c r="D371" s="67" t="s">
        <v>4882</v>
      </c>
      <c r="E371" s="67" t="s">
        <v>4883</v>
      </c>
      <c r="F371" s="67" t="s">
        <v>4336</v>
      </c>
      <c r="G371" s="67">
        <f t="shared" si="17"/>
        <v>1</v>
      </c>
      <c r="H371" s="67" t="str">
        <f t="shared" si="18"/>
        <v>000740临时工48</v>
      </c>
      <c r="I371" s="67" t="str">
        <f t="shared" si="19"/>
        <v>048</v>
      </c>
    </row>
    <row r="372" spans="1:9" x14ac:dyDescent="0.15">
      <c r="A372" s="67" t="s">
        <v>1083</v>
      </c>
      <c r="B372" s="67" t="s">
        <v>1084</v>
      </c>
      <c r="C372" s="67" t="s">
        <v>4927</v>
      </c>
      <c r="D372" s="67" t="s">
        <v>4338</v>
      </c>
      <c r="E372" s="67" t="s">
        <v>4339</v>
      </c>
      <c r="F372" s="67" t="s">
        <v>4336</v>
      </c>
      <c r="G372" s="67">
        <f t="shared" si="17"/>
        <v>1</v>
      </c>
      <c r="H372" s="67" t="str">
        <f t="shared" si="18"/>
        <v>000041张培民</v>
      </c>
      <c r="I372" s="67" t="str">
        <f t="shared" si="19"/>
        <v>0483</v>
      </c>
    </row>
    <row r="373" spans="1:9" x14ac:dyDescent="0.15">
      <c r="A373" s="67" t="s">
        <v>1087</v>
      </c>
      <c r="B373" s="67" t="s">
        <v>1088</v>
      </c>
      <c r="C373" s="67" t="s">
        <v>4928</v>
      </c>
      <c r="F373" s="67" t="s">
        <v>4409</v>
      </c>
      <c r="G373" s="67">
        <f t="shared" si="17"/>
        <v>1</v>
      </c>
      <c r="H373" s="67" t="str">
        <f t="shared" si="18"/>
        <v>000363闫俊生</v>
      </c>
      <c r="I373" s="67" t="str">
        <f t="shared" si="19"/>
        <v>0485</v>
      </c>
    </row>
    <row r="374" spans="1:9" x14ac:dyDescent="0.15">
      <c r="A374" s="67" t="s">
        <v>1089</v>
      </c>
      <c r="B374" s="67" t="s">
        <v>1090</v>
      </c>
      <c r="C374" s="67" t="s">
        <v>4929</v>
      </c>
      <c r="F374" s="67" t="s">
        <v>4409</v>
      </c>
      <c r="G374" s="67">
        <f t="shared" si="17"/>
        <v>1</v>
      </c>
      <c r="H374" s="67" t="str">
        <f t="shared" si="18"/>
        <v>000367游文博</v>
      </c>
      <c r="I374" s="67" t="str">
        <f t="shared" si="19"/>
        <v>0486</v>
      </c>
    </row>
    <row r="375" spans="1:9" x14ac:dyDescent="0.15">
      <c r="A375" s="67" t="s">
        <v>1091</v>
      </c>
      <c r="B375" s="67" t="s">
        <v>1092</v>
      </c>
      <c r="C375" s="67" t="s">
        <v>4930</v>
      </c>
      <c r="D375" s="67" t="s">
        <v>4931</v>
      </c>
      <c r="E375" s="67" t="s">
        <v>4932</v>
      </c>
      <c r="F375" s="67" t="s">
        <v>4336</v>
      </c>
      <c r="G375" s="67">
        <f t="shared" si="17"/>
        <v>1</v>
      </c>
      <c r="H375" s="67" t="str">
        <f t="shared" si="18"/>
        <v>000322李老三</v>
      </c>
      <c r="I375" s="67" t="str">
        <f t="shared" si="19"/>
        <v>0487</v>
      </c>
    </row>
    <row r="376" spans="1:9" x14ac:dyDescent="0.15">
      <c r="A376" s="67" t="s">
        <v>1095</v>
      </c>
      <c r="B376" s="67" t="s">
        <v>1096</v>
      </c>
      <c r="C376" s="67" t="s">
        <v>4933</v>
      </c>
      <c r="D376" s="67" t="s">
        <v>4338</v>
      </c>
      <c r="E376" s="67" t="s">
        <v>4339</v>
      </c>
      <c r="F376" s="67" t="s">
        <v>4336</v>
      </c>
      <c r="G376" s="67">
        <f t="shared" si="17"/>
        <v>1</v>
      </c>
      <c r="H376" s="67" t="str">
        <f t="shared" si="18"/>
        <v>000113曹佳佳</v>
      </c>
      <c r="I376" s="67" t="str">
        <f t="shared" si="19"/>
        <v>0489</v>
      </c>
    </row>
    <row r="377" spans="1:9" x14ac:dyDescent="0.15">
      <c r="A377" s="67" t="s">
        <v>4934</v>
      </c>
      <c r="B377" s="67" t="s">
        <v>4935</v>
      </c>
      <c r="C377" s="67" t="s">
        <v>4936</v>
      </c>
      <c r="D377" s="67" t="s">
        <v>4882</v>
      </c>
      <c r="E377" s="67" t="s">
        <v>4883</v>
      </c>
      <c r="F377" s="67" t="s">
        <v>4336</v>
      </c>
      <c r="G377" s="67">
        <f t="shared" si="17"/>
        <v>1</v>
      </c>
      <c r="H377" s="67" t="str">
        <f t="shared" si="18"/>
        <v>000741临时卡49</v>
      </c>
      <c r="I377" s="67" t="str">
        <f t="shared" si="19"/>
        <v>049</v>
      </c>
    </row>
    <row r="378" spans="1:9" x14ac:dyDescent="0.15">
      <c r="A378" s="67" t="s">
        <v>1097</v>
      </c>
      <c r="B378" s="67" t="s">
        <v>1098</v>
      </c>
      <c r="C378" s="67" t="s">
        <v>4937</v>
      </c>
      <c r="D378" s="67" t="s">
        <v>4343</v>
      </c>
      <c r="E378" s="67" t="s">
        <v>4344</v>
      </c>
      <c r="F378" s="67" t="s">
        <v>4336</v>
      </c>
      <c r="G378" s="67">
        <f t="shared" si="17"/>
        <v>1</v>
      </c>
      <c r="H378" s="67" t="str">
        <f t="shared" si="18"/>
        <v>000219刘国云</v>
      </c>
      <c r="I378" s="67" t="str">
        <f t="shared" si="19"/>
        <v>0490</v>
      </c>
    </row>
    <row r="379" spans="1:9" x14ac:dyDescent="0.15">
      <c r="A379" s="67" t="s">
        <v>1101</v>
      </c>
      <c r="B379" s="67" t="s">
        <v>1102</v>
      </c>
      <c r="C379" s="67" t="s">
        <v>4938</v>
      </c>
      <c r="D379" s="67" t="s">
        <v>4820</v>
      </c>
      <c r="E379" s="67" t="s">
        <v>4821</v>
      </c>
      <c r="F379" s="67" t="s">
        <v>4336</v>
      </c>
      <c r="G379" s="67">
        <f t="shared" si="17"/>
        <v>1</v>
      </c>
      <c r="H379" s="67" t="str">
        <f t="shared" si="18"/>
        <v>000278王贺炳</v>
      </c>
      <c r="I379" s="67" t="str">
        <f t="shared" si="19"/>
        <v>0492</v>
      </c>
    </row>
    <row r="380" spans="1:9" x14ac:dyDescent="0.15">
      <c r="A380" s="67" t="s">
        <v>1103</v>
      </c>
      <c r="B380" s="67" t="s">
        <v>1104</v>
      </c>
      <c r="C380" s="67" t="s">
        <v>4939</v>
      </c>
      <c r="D380" s="67" t="s">
        <v>4338</v>
      </c>
      <c r="E380" s="67" t="s">
        <v>4339</v>
      </c>
      <c r="F380" s="67" t="s">
        <v>4336</v>
      </c>
      <c r="G380" s="67">
        <f t="shared" si="17"/>
        <v>2</v>
      </c>
      <c r="H380" s="67" t="str">
        <f t="shared" si="18"/>
        <v>000055贾双鹏</v>
      </c>
      <c r="I380" s="67" t="str">
        <f t="shared" si="19"/>
        <v>0493</v>
      </c>
    </row>
    <row r="381" spans="1:9" x14ac:dyDescent="0.15">
      <c r="A381" s="67" t="s">
        <v>1103</v>
      </c>
      <c r="B381" s="67" t="s">
        <v>1104</v>
      </c>
      <c r="C381" s="67" t="s">
        <v>4940</v>
      </c>
      <c r="D381" s="67" t="s">
        <v>4338</v>
      </c>
      <c r="E381" s="67" t="s">
        <v>4339</v>
      </c>
      <c r="F381" s="67" t="s">
        <v>4336</v>
      </c>
      <c r="G381" s="67">
        <f t="shared" si="17"/>
        <v>2</v>
      </c>
      <c r="H381" s="67" t="str">
        <f t="shared" si="18"/>
        <v>000886贾双鹏</v>
      </c>
      <c r="I381" s="67" t="str">
        <f t="shared" si="19"/>
        <v>0493</v>
      </c>
    </row>
    <row r="382" spans="1:9" x14ac:dyDescent="0.15">
      <c r="A382" s="67" t="s">
        <v>1105</v>
      </c>
      <c r="B382" s="67" t="s">
        <v>1106</v>
      </c>
      <c r="C382" s="67" t="s">
        <v>4941</v>
      </c>
      <c r="D382" s="67" t="s">
        <v>4338</v>
      </c>
      <c r="E382" s="67" t="s">
        <v>4942</v>
      </c>
      <c r="F382" s="67" t="s">
        <v>4336</v>
      </c>
      <c r="G382" s="67">
        <f t="shared" si="17"/>
        <v>1</v>
      </c>
      <c r="H382" s="67" t="str">
        <f t="shared" si="18"/>
        <v>000029刘强</v>
      </c>
      <c r="I382" s="67" t="str">
        <f t="shared" si="19"/>
        <v>0494</v>
      </c>
    </row>
    <row r="383" spans="1:9" x14ac:dyDescent="0.15">
      <c r="A383" s="67" t="s">
        <v>1107</v>
      </c>
      <c r="B383" s="67" t="s">
        <v>1108</v>
      </c>
      <c r="C383" s="67" t="s">
        <v>4943</v>
      </c>
      <c r="F383" s="67" t="s">
        <v>4409</v>
      </c>
      <c r="G383" s="67">
        <f t="shared" si="17"/>
        <v>2</v>
      </c>
      <c r="H383" s="67" t="str">
        <f t="shared" si="18"/>
        <v>000206蔡生勤</v>
      </c>
      <c r="I383" s="67" t="str">
        <f t="shared" si="19"/>
        <v>0495</v>
      </c>
    </row>
    <row r="384" spans="1:9" x14ac:dyDescent="0.15">
      <c r="A384" s="67" t="s">
        <v>1107</v>
      </c>
      <c r="B384" s="67" t="s">
        <v>1108</v>
      </c>
      <c r="C384" s="67" t="s">
        <v>4944</v>
      </c>
      <c r="D384" s="67" t="s">
        <v>4553</v>
      </c>
      <c r="E384" s="67" t="s">
        <v>4633</v>
      </c>
      <c r="F384" s="67" t="s">
        <v>4336</v>
      </c>
      <c r="G384" s="67">
        <f t="shared" si="17"/>
        <v>2</v>
      </c>
      <c r="H384" s="67" t="str">
        <f t="shared" si="18"/>
        <v>000427蔡生勤</v>
      </c>
      <c r="I384" s="67" t="str">
        <f t="shared" si="19"/>
        <v>0495</v>
      </c>
    </row>
    <row r="385" spans="1:9" x14ac:dyDescent="0.15">
      <c r="A385" s="67" t="s">
        <v>1109</v>
      </c>
      <c r="B385" s="67" t="s">
        <v>1110</v>
      </c>
      <c r="C385" s="67" t="s">
        <v>4945</v>
      </c>
      <c r="D385" s="67" t="s">
        <v>4553</v>
      </c>
      <c r="E385" s="67" t="s">
        <v>4633</v>
      </c>
      <c r="F385" s="67" t="s">
        <v>4336</v>
      </c>
      <c r="G385" s="67">
        <f t="shared" si="17"/>
        <v>1</v>
      </c>
      <c r="H385" s="67" t="str">
        <f t="shared" si="18"/>
        <v>000060李洋</v>
      </c>
      <c r="I385" s="67" t="str">
        <f t="shared" si="19"/>
        <v>0496</v>
      </c>
    </row>
    <row r="386" spans="1:9" x14ac:dyDescent="0.15">
      <c r="A386" s="67" t="s">
        <v>1111</v>
      </c>
      <c r="B386" s="67" t="s">
        <v>1112</v>
      </c>
      <c r="C386" s="67" t="s">
        <v>4946</v>
      </c>
      <c r="D386" s="67" t="s">
        <v>4553</v>
      </c>
      <c r="E386" s="67" t="s">
        <v>4633</v>
      </c>
      <c r="F386" s="67" t="s">
        <v>4336</v>
      </c>
      <c r="G386" s="67">
        <f t="shared" si="17"/>
        <v>1</v>
      </c>
      <c r="H386" s="67" t="str">
        <f t="shared" si="18"/>
        <v>000187孙振明</v>
      </c>
      <c r="I386" s="67" t="str">
        <f t="shared" si="19"/>
        <v>0497</v>
      </c>
    </row>
    <row r="387" spans="1:9" x14ac:dyDescent="0.15">
      <c r="A387" s="67" t="s">
        <v>1113</v>
      </c>
      <c r="B387" s="67" t="s">
        <v>1114</v>
      </c>
      <c r="C387" s="67" t="s">
        <v>4947</v>
      </c>
      <c r="D387" s="67" t="s">
        <v>4338</v>
      </c>
      <c r="E387" s="67" t="s">
        <v>4948</v>
      </c>
      <c r="F387" s="67" t="s">
        <v>4336</v>
      </c>
      <c r="G387" s="67">
        <f t="shared" ref="G387:G450" si="20">COUNTIFS(B:B,B387)</f>
        <v>1</v>
      </c>
      <c r="H387" s="67" t="str">
        <f t="shared" ref="H387:H450" si="21">C387&amp;B387</f>
        <v>000070王志刚</v>
      </c>
      <c r="I387" s="67" t="str">
        <f t="shared" ref="I387:I450" si="22">A387</f>
        <v>0498</v>
      </c>
    </row>
    <row r="388" spans="1:9" x14ac:dyDescent="0.15">
      <c r="A388" s="67" t="s">
        <v>1115</v>
      </c>
      <c r="B388" s="67" t="s">
        <v>1116</v>
      </c>
      <c r="C388" s="67" t="s">
        <v>4949</v>
      </c>
      <c r="F388" s="67" t="s">
        <v>4409</v>
      </c>
      <c r="G388" s="67">
        <f t="shared" si="20"/>
        <v>1</v>
      </c>
      <c r="H388" s="67" t="str">
        <f t="shared" si="21"/>
        <v>000361徐成香</v>
      </c>
      <c r="I388" s="67" t="str">
        <f t="shared" si="22"/>
        <v>0499</v>
      </c>
    </row>
    <row r="389" spans="1:9" x14ac:dyDescent="0.15">
      <c r="A389" s="67" t="s">
        <v>4950</v>
      </c>
      <c r="B389" s="67" t="s">
        <v>4951</v>
      </c>
      <c r="C389" s="67" t="s">
        <v>4952</v>
      </c>
      <c r="D389" s="67" t="s">
        <v>4882</v>
      </c>
      <c r="E389" s="67" t="s">
        <v>4883</v>
      </c>
      <c r="F389" s="67" t="s">
        <v>4336</v>
      </c>
      <c r="G389" s="67">
        <f t="shared" si="20"/>
        <v>1</v>
      </c>
      <c r="H389" s="67" t="str">
        <f t="shared" si="21"/>
        <v>000742临时工50</v>
      </c>
      <c r="I389" s="67" t="str">
        <f t="shared" si="22"/>
        <v>050</v>
      </c>
    </row>
    <row r="390" spans="1:9" x14ac:dyDescent="0.15">
      <c r="A390" s="67" t="s">
        <v>1121</v>
      </c>
      <c r="B390" s="67" t="s">
        <v>1122</v>
      </c>
      <c r="C390" s="67" t="s">
        <v>4953</v>
      </c>
      <c r="D390" s="67" t="s">
        <v>4338</v>
      </c>
      <c r="E390" s="67" t="s">
        <v>4339</v>
      </c>
      <c r="F390" s="67" t="s">
        <v>4336</v>
      </c>
      <c r="G390" s="67">
        <f t="shared" si="20"/>
        <v>1</v>
      </c>
      <c r="H390" s="67" t="str">
        <f t="shared" si="21"/>
        <v>000075吴鹏</v>
      </c>
      <c r="I390" s="67" t="str">
        <f t="shared" si="22"/>
        <v>0502</v>
      </c>
    </row>
    <row r="391" spans="1:9" x14ac:dyDescent="0.15">
      <c r="A391" s="67" t="s">
        <v>1123</v>
      </c>
      <c r="B391" s="67" t="s">
        <v>1124</v>
      </c>
      <c r="C391" s="67" t="s">
        <v>4954</v>
      </c>
      <c r="F391" s="67" t="s">
        <v>4409</v>
      </c>
      <c r="G391" s="67">
        <f t="shared" si="20"/>
        <v>1</v>
      </c>
      <c r="H391" s="67" t="str">
        <f t="shared" si="21"/>
        <v>000309崔帅军</v>
      </c>
      <c r="I391" s="67" t="str">
        <f t="shared" si="22"/>
        <v>0503</v>
      </c>
    </row>
    <row r="392" spans="1:9" x14ac:dyDescent="0.15">
      <c r="A392" s="67" t="s">
        <v>1125</v>
      </c>
      <c r="B392" s="67" t="s">
        <v>1126</v>
      </c>
      <c r="C392" s="67" t="s">
        <v>4955</v>
      </c>
      <c r="D392" s="67" t="s">
        <v>4338</v>
      </c>
      <c r="E392" s="67" t="s">
        <v>4339</v>
      </c>
      <c r="F392" s="67" t="s">
        <v>4336</v>
      </c>
      <c r="G392" s="67">
        <f t="shared" si="20"/>
        <v>1</v>
      </c>
      <c r="H392" s="67" t="str">
        <f t="shared" si="21"/>
        <v>000163陈巧荣</v>
      </c>
      <c r="I392" s="67" t="str">
        <f t="shared" si="22"/>
        <v>0504</v>
      </c>
    </row>
    <row r="393" spans="1:9" x14ac:dyDescent="0.15">
      <c r="A393" s="67" t="s">
        <v>1127</v>
      </c>
      <c r="B393" s="67" t="s">
        <v>1128</v>
      </c>
      <c r="C393" s="67" t="s">
        <v>4956</v>
      </c>
      <c r="D393" s="67" t="s">
        <v>4424</v>
      </c>
      <c r="E393" s="67" t="s">
        <v>4957</v>
      </c>
      <c r="F393" s="67" t="s">
        <v>4336</v>
      </c>
      <c r="G393" s="67">
        <f t="shared" si="20"/>
        <v>1</v>
      </c>
      <c r="H393" s="67" t="str">
        <f t="shared" si="21"/>
        <v>000178刘红俊</v>
      </c>
      <c r="I393" s="67" t="str">
        <f t="shared" si="22"/>
        <v>0505</v>
      </c>
    </row>
    <row r="394" spans="1:9" x14ac:dyDescent="0.15">
      <c r="A394" s="67" t="s">
        <v>1129</v>
      </c>
      <c r="B394" s="67" t="s">
        <v>1130</v>
      </c>
      <c r="C394" s="67" t="s">
        <v>4958</v>
      </c>
      <c r="D394" s="67" t="s">
        <v>4553</v>
      </c>
      <c r="E394" s="67" t="s">
        <v>4633</v>
      </c>
      <c r="F394" s="67" t="s">
        <v>4336</v>
      </c>
      <c r="G394" s="67">
        <f t="shared" si="20"/>
        <v>1</v>
      </c>
      <c r="H394" s="67" t="str">
        <f t="shared" si="21"/>
        <v>000177刘昌帆</v>
      </c>
      <c r="I394" s="67" t="str">
        <f t="shared" si="22"/>
        <v>0506</v>
      </c>
    </row>
    <row r="395" spans="1:9" x14ac:dyDescent="0.15">
      <c r="A395" s="67" t="s">
        <v>4959</v>
      </c>
      <c r="B395" s="67" t="s">
        <v>4960</v>
      </c>
      <c r="C395" s="67" t="s">
        <v>4961</v>
      </c>
      <c r="D395" s="67" t="s">
        <v>4882</v>
      </c>
      <c r="E395" s="67" t="s">
        <v>4883</v>
      </c>
      <c r="F395" s="67" t="s">
        <v>4336</v>
      </c>
      <c r="G395" s="67">
        <f t="shared" si="20"/>
        <v>1</v>
      </c>
      <c r="H395" s="67" t="str">
        <f t="shared" si="21"/>
        <v>000743临时工51</v>
      </c>
      <c r="I395" s="67" t="str">
        <f t="shared" si="22"/>
        <v>051</v>
      </c>
    </row>
    <row r="396" spans="1:9" x14ac:dyDescent="0.15">
      <c r="A396" s="67" t="s">
        <v>1137</v>
      </c>
      <c r="B396" s="67" t="s">
        <v>1138</v>
      </c>
      <c r="C396" s="67" t="s">
        <v>4962</v>
      </c>
      <c r="D396" s="67" t="s">
        <v>4812</v>
      </c>
      <c r="E396" s="67" t="s">
        <v>4813</v>
      </c>
      <c r="F396" s="67" t="s">
        <v>4336</v>
      </c>
      <c r="G396" s="67">
        <f t="shared" si="20"/>
        <v>1</v>
      </c>
      <c r="H396" s="67" t="str">
        <f t="shared" si="21"/>
        <v>000323李宁宁</v>
      </c>
      <c r="I396" s="67" t="str">
        <f t="shared" si="22"/>
        <v>0510</v>
      </c>
    </row>
    <row r="397" spans="1:9" x14ac:dyDescent="0.15">
      <c r="A397" s="67" t="s">
        <v>1139</v>
      </c>
      <c r="B397" s="67" t="s">
        <v>1140</v>
      </c>
      <c r="C397" s="67" t="s">
        <v>4963</v>
      </c>
      <c r="D397" s="67" t="s">
        <v>4708</v>
      </c>
      <c r="E397" s="67" t="s">
        <v>4709</v>
      </c>
      <c r="F397" s="67" t="s">
        <v>4336</v>
      </c>
      <c r="G397" s="67">
        <f t="shared" si="20"/>
        <v>1</v>
      </c>
      <c r="H397" s="67" t="str">
        <f t="shared" si="21"/>
        <v>000366叶冬冬</v>
      </c>
      <c r="I397" s="67" t="str">
        <f t="shared" si="22"/>
        <v>0511</v>
      </c>
    </row>
    <row r="398" spans="1:9" x14ac:dyDescent="0.15">
      <c r="A398" s="67" t="s">
        <v>1141</v>
      </c>
      <c r="B398" s="67" t="s">
        <v>1142</v>
      </c>
      <c r="C398" s="67" t="s">
        <v>4964</v>
      </c>
      <c r="F398" s="67" t="s">
        <v>4409</v>
      </c>
      <c r="G398" s="67">
        <f t="shared" si="20"/>
        <v>1</v>
      </c>
      <c r="H398" s="67" t="str">
        <f t="shared" si="21"/>
        <v>000014褚玲玲</v>
      </c>
      <c r="I398" s="67" t="str">
        <f t="shared" si="22"/>
        <v>0512</v>
      </c>
    </row>
    <row r="399" spans="1:9" x14ac:dyDescent="0.15">
      <c r="A399" s="67" t="s">
        <v>1145</v>
      </c>
      <c r="B399" s="67" t="s">
        <v>1146</v>
      </c>
      <c r="C399" s="67" t="s">
        <v>4965</v>
      </c>
      <c r="D399" s="67" t="s">
        <v>4338</v>
      </c>
      <c r="E399" s="67" t="s">
        <v>4966</v>
      </c>
      <c r="F399" s="67" t="s">
        <v>4336</v>
      </c>
      <c r="G399" s="67">
        <f t="shared" si="20"/>
        <v>1</v>
      </c>
      <c r="H399" s="67" t="str">
        <f t="shared" si="21"/>
        <v>000373张磊</v>
      </c>
      <c r="I399" s="67" t="str">
        <f t="shared" si="22"/>
        <v>0514</v>
      </c>
    </row>
    <row r="400" spans="1:9" x14ac:dyDescent="0.15">
      <c r="A400" s="67" t="s">
        <v>1147</v>
      </c>
      <c r="B400" s="67" t="s">
        <v>1148</v>
      </c>
      <c r="C400" s="67" t="s">
        <v>4967</v>
      </c>
      <c r="D400" s="67" t="s">
        <v>4343</v>
      </c>
      <c r="E400" s="67" t="s">
        <v>4344</v>
      </c>
      <c r="F400" s="67" t="s">
        <v>4336</v>
      </c>
      <c r="G400" s="67">
        <f t="shared" si="20"/>
        <v>1</v>
      </c>
      <c r="H400" s="67" t="str">
        <f t="shared" si="21"/>
        <v>000013姚丽莹</v>
      </c>
      <c r="I400" s="67" t="str">
        <f t="shared" si="22"/>
        <v>0515</v>
      </c>
    </row>
    <row r="401" spans="1:9" x14ac:dyDescent="0.15">
      <c r="A401" s="67" t="s">
        <v>1151</v>
      </c>
      <c r="B401" s="67" t="s">
        <v>1152</v>
      </c>
      <c r="C401" s="67" t="s">
        <v>4968</v>
      </c>
      <c r="D401" s="67" t="s">
        <v>4518</v>
      </c>
      <c r="E401" s="67" t="s">
        <v>4519</v>
      </c>
      <c r="F401" s="67" t="s">
        <v>4336</v>
      </c>
      <c r="G401" s="67">
        <f t="shared" si="20"/>
        <v>1</v>
      </c>
      <c r="H401" s="67" t="str">
        <f t="shared" si="21"/>
        <v>000210樊华兴</v>
      </c>
      <c r="I401" s="67" t="str">
        <f t="shared" si="22"/>
        <v>0517</v>
      </c>
    </row>
    <row r="402" spans="1:9" x14ac:dyDescent="0.15">
      <c r="A402" s="67" t="s">
        <v>1153</v>
      </c>
      <c r="B402" s="67" t="s">
        <v>1154</v>
      </c>
      <c r="C402" s="67" t="s">
        <v>4969</v>
      </c>
      <c r="D402" s="67" t="s">
        <v>4338</v>
      </c>
      <c r="E402" s="67" t="s">
        <v>4339</v>
      </c>
      <c r="F402" s="67" t="s">
        <v>4336</v>
      </c>
      <c r="G402" s="67">
        <f t="shared" si="20"/>
        <v>2</v>
      </c>
      <c r="H402" s="67" t="str">
        <f t="shared" si="21"/>
        <v>000028刘航</v>
      </c>
      <c r="I402" s="67" t="str">
        <f t="shared" si="22"/>
        <v>0518</v>
      </c>
    </row>
    <row r="403" spans="1:9" x14ac:dyDescent="0.15">
      <c r="A403" s="67" t="s">
        <v>1153</v>
      </c>
      <c r="B403" s="67" t="s">
        <v>1154</v>
      </c>
      <c r="C403" s="67" t="s">
        <v>4970</v>
      </c>
      <c r="D403" s="67" t="s">
        <v>4338</v>
      </c>
      <c r="E403" s="67" t="s">
        <v>4339</v>
      </c>
      <c r="F403" s="67" t="s">
        <v>4336</v>
      </c>
      <c r="G403" s="67">
        <f t="shared" si="20"/>
        <v>2</v>
      </c>
      <c r="H403" s="67" t="str">
        <f t="shared" si="21"/>
        <v>000649刘航</v>
      </c>
      <c r="I403" s="67" t="str">
        <f t="shared" si="22"/>
        <v>0518</v>
      </c>
    </row>
    <row r="404" spans="1:9" x14ac:dyDescent="0.15">
      <c r="A404" s="67" t="s">
        <v>1155</v>
      </c>
      <c r="B404" s="67" t="s">
        <v>1156</v>
      </c>
      <c r="C404" s="67" t="s">
        <v>4971</v>
      </c>
      <c r="F404" s="67" t="s">
        <v>4409</v>
      </c>
      <c r="G404" s="67">
        <f t="shared" si="20"/>
        <v>1</v>
      </c>
      <c r="H404" s="67" t="str">
        <f t="shared" si="21"/>
        <v>000018陶振</v>
      </c>
      <c r="I404" s="67" t="str">
        <f t="shared" si="22"/>
        <v>0519</v>
      </c>
    </row>
    <row r="405" spans="1:9" x14ac:dyDescent="0.15">
      <c r="A405" s="67" t="s">
        <v>4972</v>
      </c>
      <c r="B405" s="67" t="s">
        <v>4973</v>
      </c>
      <c r="C405" s="67" t="s">
        <v>4974</v>
      </c>
      <c r="D405" s="67" t="s">
        <v>4882</v>
      </c>
      <c r="E405" s="67" t="s">
        <v>4883</v>
      </c>
      <c r="F405" s="67" t="s">
        <v>4336</v>
      </c>
      <c r="G405" s="67">
        <f t="shared" si="20"/>
        <v>1</v>
      </c>
      <c r="H405" s="67" t="str">
        <f t="shared" si="21"/>
        <v>000744临时工52</v>
      </c>
      <c r="I405" s="67" t="str">
        <f t="shared" si="22"/>
        <v>052</v>
      </c>
    </row>
    <row r="406" spans="1:9" x14ac:dyDescent="0.15">
      <c r="A406" s="67" t="s">
        <v>1157</v>
      </c>
      <c r="B406" s="67" t="s">
        <v>1158</v>
      </c>
      <c r="C406" s="67" t="s">
        <v>4975</v>
      </c>
      <c r="D406" s="67" t="s">
        <v>4338</v>
      </c>
      <c r="E406" s="67" t="s">
        <v>4339</v>
      </c>
      <c r="F406" s="67" t="s">
        <v>4336</v>
      </c>
      <c r="G406" s="67">
        <f t="shared" si="20"/>
        <v>1</v>
      </c>
      <c r="H406" s="67" t="str">
        <f t="shared" si="21"/>
        <v>000346田艳飞</v>
      </c>
      <c r="I406" s="67" t="str">
        <f t="shared" si="22"/>
        <v>0520</v>
      </c>
    </row>
    <row r="407" spans="1:9" x14ac:dyDescent="0.15">
      <c r="A407" s="67" t="s">
        <v>1161</v>
      </c>
      <c r="B407" s="67" t="s">
        <v>1162</v>
      </c>
      <c r="C407" s="67" t="s">
        <v>4976</v>
      </c>
      <c r="D407" s="67" t="s">
        <v>4343</v>
      </c>
      <c r="E407" s="67" t="s">
        <v>4344</v>
      </c>
      <c r="F407" s="67" t="s">
        <v>4336</v>
      </c>
      <c r="G407" s="67">
        <f t="shared" si="20"/>
        <v>1</v>
      </c>
      <c r="H407" s="67" t="str">
        <f t="shared" si="21"/>
        <v>000087顾林林</v>
      </c>
      <c r="I407" s="67" t="str">
        <f t="shared" si="22"/>
        <v>0522</v>
      </c>
    </row>
    <row r="408" spans="1:9" x14ac:dyDescent="0.15">
      <c r="A408" s="67" t="s">
        <v>1163</v>
      </c>
      <c r="B408" s="67" t="s">
        <v>1164</v>
      </c>
      <c r="C408" s="67" t="s">
        <v>4977</v>
      </c>
      <c r="D408" s="67" t="s">
        <v>4338</v>
      </c>
      <c r="E408" s="67" t="s">
        <v>4978</v>
      </c>
      <c r="F408" s="67" t="s">
        <v>4336</v>
      </c>
      <c r="G408" s="67">
        <f t="shared" si="20"/>
        <v>1</v>
      </c>
      <c r="H408" s="67" t="str">
        <f t="shared" si="21"/>
        <v>000059李燕菲</v>
      </c>
      <c r="I408" s="67" t="str">
        <f t="shared" si="22"/>
        <v>0523</v>
      </c>
    </row>
    <row r="409" spans="1:9" x14ac:dyDescent="0.15">
      <c r="A409" s="67" t="s">
        <v>1165</v>
      </c>
      <c r="B409" s="67" t="s">
        <v>1166</v>
      </c>
      <c r="C409" s="67" t="s">
        <v>4979</v>
      </c>
      <c r="D409" s="67" t="s">
        <v>4338</v>
      </c>
      <c r="E409" s="67" t="s">
        <v>4980</v>
      </c>
      <c r="F409" s="67" t="s">
        <v>4336</v>
      </c>
      <c r="G409" s="67">
        <f t="shared" si="20"/>
        <v>1</v>
      </c>
      <c r="H409" s="67" t="str">
        <f t="shared" si="21"/>
        <v>000084张语晴</v>
      </c>
      <c r="I409" s="67" t="str">
        <f t="shared" si="22"/>
        <v>0524</v>
      </c>
    </row>
    <row r="410" spans="1:9" x14ac:dyDescent="0.15">
      <c r="A410" s="67" t="s">
        <v>1167</v>
      </c>
      <c r="B410" s="67" t="s">
        <v>1168</v>
      </c>
      <c r="C410" s="67" t="s">
        <v>4981</v>
      </c>
      <c r="D410" s="67" t="s">
        <v>4338</v>
      </c>
      <c r="E410" s="67" t="s">
        <v>4339</v>
      </c>
      <c r="F410" s="67" t="s">
        <v>4336</v>
      </c>
      <c r="G410" s="67">
        <f t="shared" si="20"/>
        <v>1</v>
      </c>
      <c r="H410" s="67" t="str">
        <f t="shared" si="21"/>
        <v>000169顾晨</v>
      </c>
      <c r="I410" s="67" t="str">
        <f t="shared" si="22"/>
        <v>0525</v>
      </c>
    </row>
    <row r="411" spans="1:9" x14ac:dyDescent="0.15">
      <c r="A411" s="67" t="s">
        <v>1169</v>
      </c>
      <c r="B411" s="67" t="s">
        <v>1170</v>
      </c>
      <c r="C411" s="67" t="s">
        <v>4982</v>
      </c>
      <c r="D411" s="67" t="s">
        <v>4518</v>
      </c>
      <c r="E411" s="67" t="s">
        <v>4519</v>
      </c>
      <c r="F411" s="67" t="s">
        <v>4336</v>
      </c>
      <c r="G411" s="67">
        <f t="shared" si="20"/>
        <v>1</v>
      </c>
      <c r="H411" s="67" t="str">
        <f t="shared" si="21"/>
        <v>000292周季</v>
      </c>
      <c r="I411" s="67" t="str">
        <f t="shared" si="22"/>
        <v>0526</v>
      </c>
    </row>
    <row r="412" spans="1:9" x14ac:dyDescent="0.15">
      <c r="A412" s="67" t="s">
        <v>1174</v>
      </c>
      <c r="B412" s="67" t="s">
        <v>1175</v>
      </c>
      <c r="C412" s="67" t="s">
        <v>4983</v>
      </c>
      <c r="D412" s="67" t="s">
        <v>4984</v>
      </c>
      <c r="E412" s="67" t="s">
        <v>4985</v>
      </c>
      <c r="F412" s="67" t="s">
        <v>4336</v>
      </c>
      <c r="G412" s="67">
        <f t="shared" si="20"/>
        <v>1</v>
      </c>
      <c r="H412" s="67" t="str">
        <f t="shared" si="21"/>
        <v>000360熊雷</v>
      </c>
      <c r="I412" s="67" t="str">
        <f t="shared" si="22"/>
        <v>0529</v>
      </c>
    </row>
    <row r="413" spans="1:9" x14ac:dyDescent="0.15">
      <c r="A413" s="67" t="s">
        <v>4986</v>
      </c>
      <c r="B413" s="67" t="s">
        <v>4987</v>
      </c>
      <c r="C413" s="67" t="s">
        <v>4988</v>
      </c>
      <c r="D413" s="67" t="s">
        <v>4882</v>
      </c>
      <c r="E413" s="67" t="s">
        <v>4883</v>
      </c>
      <c r="F413" s="67" t="s">
        <v>4336</v>
      </c>
      <c r="G413" s="67">
        <f t="shared" si="20"/>
        <v>1</v>
      </c>
      <c r="H413" s="67" t="str">
        <f t="shared" si="21"/>
        <v>000745临时工53</v>
      </c>
      <c r="I413" s="67" t="str">
        <f t="shared" si="22"/>
        <v>053</v>
      </c>
    </row>
    <row r="414" spans="1:9" x14ac:dyDescent="0.15">
      <c r="A414" s="67" t="s">
        <v>1178</v>
      </c>
      <c r="B414" s="67" t="s">
        <v>1179</v>
      </c>
      <c r="C414" s="67" t="s">
        <v>4989</v>
      </c>
      <c r="D414" s="67" t="s">
        <v>4424</v>
      </c>
      <c r="E414" s="67" t="s">
        <v>4425</v>
      </c>
      <c r="F414" s="67" t="s">
        <v>4336</v>
      </c>
      <c r="G414" s="67">
        <f t="shared" si="20"/>
        <v>1</v>
      </c>
      <c r="H414" s="67" t="str">
        <f t="shared" si="21"/>
        <v>000264顾峰</v>
      </c>
      <c r="I414" s="67" t="str">
        <f t="shared" si="22"/>
        <v>0531</v>
      </c>
    </row>
    <row r="415" spans="1:9" x14ac:dyDescent="0.15">
      <c r="A415" s="67" t="s">
        <v>1186</v>
      </c>
      <c r="B415" s="67" t="s">
        <v>1187</v>
      </c>
      <c r="C415" s="67" t="s">
        <v>4990</v>
      </c>
      <c r="D415" s="67" t="s">
        <v>4338</v>
      </c>
      <c r="E415" s="67" t="s">
        <v>4991</v>
      </c>
      <c r="F415" s="67" t="s">
        <v>4336</v>
      </c>
      <c r="G415" s="67">
        <f t="shared" si="20"/>
        <v>2</v>
      </c>
      <c r="H415" s="67" t="str">
        <f t="shared" si="21"/>
        <v>000073吴成龙</v>
      </c>
      <c r="I415" s="67" t="str">
        <f t="shared" si="22"/>
        <v>0535</v>
      </c>
    </row>
    <row r="416" spans="1:9" x14ac:dyDescent="0.15">
      <c r="A416" s="67" t="s">
        <v>1186</v>
      </c>
      <c r="B416" s="67" t="s">
        <v>1187</v>
      </c>
      <c r="C416" s="67" t="s">
        <v>4992</v>
      </c>
      <c r="D416" s="67" t="s">
        <v>4993</v>
      </c>
      <c r="E416" s="67" t="s">
        <v>4994</v>
      </c>
      <c r="F416" s="67" t="s">
        <v>4336</v>
      </c>
      <c r="G416" s="67">
        <f t="shared" si="20"/>
        <v>2</v>
      </c>
      <c r="H416" s="67" t="str">
        <f t="shared" si="21"/>
        <v>000843吴成龙</v>
      </c>
      <c r="I416" s="67" t="str">
        <f t="shared" si="22"/>
        <v>0535</v>
      </c>
    </row>
    <row r="417" spans="1:9" x14ac:dyDescent="0.15">
      <c r="A417" s="67" t="s">
        <v>1188</v>
      </c>
      <c r="B417" s="67" t="s">
        <v>1189</v>
      </c>
      <c r="C417" s="67" t="s">
        <v>4995</v>
      </c>
      <c r="D417" s="67" t="s">
        <v>4424</v>
      </c>
      <c r="E417" s="67" t="s">
        <v>4425</v>
      </c>
      <c r="F417" s="67" t="s">
        <v>4336</v>
      </c>
      <c r="G417" s="67">
        <f t="shared" si="20"/>
        <v>1</v>
      </c>
      <c r="H417" s="67" t="str">
        <f t="shared" si="21"/>
        <v>000195吴华兵</v>
      </c>
      <c r="I417" s="67" t="str">
        <f t="shared" si="22"/>
        <v>0536</v>
      </c>
    </row>
    <row r="418" spans="1:9" x14ac:dyDescent="0.15">
      <c r="A418" s="67" t="s">
        <v>1190</v>
      </c>
      <c r="B418" s="67" t="s">
        <v>1191</v>
      </c>
      <c r="C418" s="67" t="s">
        <v>4996</v>
      </c>
      <c r="D418" s="67" t="s">
        <v>4338</v>
      </c>
      <c r="E418" s="67" t="s">
        <v>4997</v>
      </c>
      <c r="F418" s="67" t="s">
        <v>4336</v>
      </c>
      <c r="G418" s="67">
        <f t="shared" si="20"/>
        <v>1</v>
      </c>
      <c r="H418" s="67" t="str">
        <f t="shared" si="21"/>
        <v>000200于常龙</v>
      </c>
      <c r="I418" s="67" t="str">
        <f t="shared" si="22"/>
        <v>0537</v>
      </c>
    </row>
    <row r="419" spans="1:9" x14ac:dyDescent="0.15">
      <c r="A419" s="67" t="s">
        <v>1192</v>
      </c>
      <c r="B419" s="67" t="s">
        <v>1193</v>
      </c>
      <c r="C419" s="67" t="s">
        <v>4998</v>
      </c>
      <c r="D419" s="67" t="s">
        <v>4424</v>
      </c>
      <c r="E419" s="67" t="s">
        <v>4425</v>
      </c>
      <c r="F419" s="67" t="s">
        <v>4336</v>
      </c>
      <c r="G419" s="67">
        <f t="shared" si="20"/>
        <v>1</v>
      </c>
      <c r="H419" s="67" t="str">
        <f t="shared" si="21"/>
        <v>000183倪振</v>
      </c>
      <c r="I419" s="67" t="str">
        <f t="shared" si="22"/>
        <v>0538</v>
      </c>
    </row>
    <row r="420" spans="1:9" x14ac:dyDescent="0.15">
      <c r="A420" s="67" t="s">
        <v>4999</v>
      </c>
      <c r="B420" s="67" t="s">
        <v>5000</v>
      </c>
      <c r="C420" s="67" t="s">
        <v>5001</v>
      </c>
      <c r="D420" s="67" t="s">
        <v>4882</v>
      </c>
      <c r="E420" s="67" t="s">
        <v>4883</v>
      </c>
      <c r="F420" s="67" t="s">
        <v>4336</v>
      </c>
      <c r="G420" s="67">
        <f t="shared" si="20"/>
        <v>1</v>
      </c>
      <c r="H420" s="67" t="str">
        <f t="shared" si="21"/>
        <v>000746临时工54</v>
      </c>
      <c r="I420" s="67" t="str">
        <f t="shared" si="22"/>
        <v>054</v>
      </c>
    </row>
    <row r="421" spans="1:9" x14ac:dyDescent="0.15">
      <c r="A421" s="67" t="s">
        <v>1196</v>
      </c>
      <c r="B421" s="67" t="s">
        <v>1197</v>
      </c>
      <c r="C421" s="67" t="s">
        <v>5002</v>
      </c>
      <c r="D421" s="67" t="s">
        <v>4338</v>
      </c>
      <c r="E421" s="67" t="s">
        <v>4339</v>
      </c>
      <c r="F421" s="67" t="s">
        <v>4336</v>
      </c>
      <c r="G421" s="67">
        <f t="shared" si="20"/>
        <v>1</v>
      </c>
      <c r="H421" s="67" t="str">
        <f t="shared" si="21"/>
        <v>000162曹龙飞</v>
      </c>
      <c r="I421" s="67" t="str">
        <f t="shared" si="22"/>
        <v>0540</v>
      </c>
    </row>
    <row r="422" spans="1:9" x14ac:dyDescent="0.15">
      <c r="A422" s="67" t="s">
        <v>1198</v>
      </c>
      <c r="B422" s="67" t="s">
        <v>1199</v>
      </c>
      <c r="C422" s="67" t="s">
        <v>5003</v>
      </c>
      <c r="D422" s="67" t="s">
        <v>4338</v>
      </c>
      <c r="E422" s="67" t="s">
        <v>4339</v>
      </c>
      <c r="F422" s="67" t="s">
        <v>4336</v>
      </c>
      <c r="G422" s="67">
        <f t="shared" si="20"/>
        <v>1</v>
      </c>
      <c r="H422" s="67" t="str">
        <f t="shared" si="21"/>
        <v>000348涂魁</v>
      </c>
      <c r="I422" s="67" t="str">
        <f t="shared" si="22"/>
        <v>0541</v>
      </c>
    </row>
    <row r="423" spans="1:9" x14ac:dyDescent="0.15">
      <c r="A423" s="67" t="s">
        <v>1200</v>
      </c>
      <c r="B423" s="67" t="s">
        <v>1201</v>
      </c>
      <c r="C423" s="67" t="s">
        <v>5004</v>
      </c>
      <c r="D423" s="67" t="s">
        <v>4343</v>
      </c>
      <c r="E423" s="67" t="s">
        <v>4344</v>
      </c>
      <c r="F423" s="67" t="s">
        <v>4336</v>
      </c>
      <c r="G423" s="67">
        <f t="shared" si="20"/>
        <v>1</v>
      </c>
      <c r="H423" s="67" t="str">
        <f t="shared" si="21"/>
        <v>000217黄武平</v>
      </c>
      <c r="I423" s="67" t="str">
        <f t="shared" si="22"/>
        <v>0542</v>
      </c>
    </row>
    <row r="424" spans="1:9" x14ac:dyDescent="0.15">
      <c r="A424" s="67" t="s">
        <v>1208</v>
      </c>
      <c r="B424" s="67" t="s">
        <v>1209</v>
      </c>
      <c r="C424" s="67" t="s">
        <v>5005</v>
      </c>
      <c r="D424" s="67" t="s">
        <v>4820</v>
      </c>
      <c r="E424" s="67" t="s">
        <v>5006</v>
      </c>
      <c r="F424" s="67" t="s">
        <v>4336</v>
      </c>
      <c r="G424" s="67">
        <f t="shared" si="20"/>
        <v>1</v>
      </c>
      <c r="H424" s="67" t="str">
        <f t="shared" si="21"/>
        <v>000267黄凯晨</v>
      </c>
      <c r="I424" s="67" t="str">
        <f t="shared" si="22"/>
        <v>0546</v>
      </c>
    </row>
    <row r="425" spans="1:9" x14ac:dyDescent="0.15">
      <c r="A425" s="67" t="s">
        <v>1210</v>
      </c>
      <c r="B425" s="67" t="s">
        <v>1211</v>
      </c>
      <c r="C425" s="67" t="s">
        <v>5007</v>
      </c>
      <c r="D425" s="67" t="s">
        <v>4338</v>
      </c>
      <c r="E425" s="67" t="s">
        <v>5008</v>
      </c>
      <c r="F425" s="67" t="s">
        <v>4336</v>
      </c>
      <c r="G425" s="67">
        <f t="shared" si="20"/>
        <v>1</v>
      </c>
      <c r="H425" s="67" t="str">
        <f t="shared" si="21"/>
        <v>000086朱平</v>
      </c>
      <c r="I425" s="67" t="str">
        <f t="shared" si="22"/>
        <v>0547</v>
      </c>
    </row>
    <row r="426" spans="1:9" x14ac:dyDescent="0.15">
      <c r="A426" s="67" t="s">
        <v>1212</v>
      </c>
      <c r="B426" s="67" t="s">
        <v>1213</v>
      </c>
      <c r="C426" s="67" t="s">
        <v>5009</v>
      </c>
      <c r="D426" s="67" t="s">
        <v>4338</v>
      </c>
      <c r="E426" s="67" t="s">
        <v>4339</v>
      </c>
      <c r="F426" s="67" t="s">
        <v>4336</v>
      </c>
      <c r="G426" s="67">
        <f t="shared" si="20"/>
        <v>1</v>
      </c>
      <c r="H426" s="67" t="str">
        <f t="shared" si="21"/>
        <v>000171韩帆</v>
      </c>
      <c r="I426" s="67" t="str">
        <f t="shared" si="22"/>
        <v>0548</v>
      </c>
    </row>
    <row r="427" spans="1:9" x14ac:dyDescent="0.15">
      <c r="A427" s="67" t="s">
        <v>1214</v>
      </c>
      <c r="B427" s="67" t="s">
        <v>1215</v>
      </c>
      <c r="C427" s="67" t="s">
        <v>5010</v>
      </c>
      <c r="D427" s="67" t="s">
        <v>4338</v>
      </c>
      <c r="E427" s="67" t="s">
        <v>4339</v>
      </c>
      <c r="F427" s="67" t="s">
        <v>4336</v>
      </c>
      <c r="G427" s="67">
        <f t="shared" si="20"/>
        <v>2</v>
      </c>
      <c r="H427" s="67" t="str">
        <f t="shared" si="21"/>
        <v>000064刘志鹏</v>
      </c>
      <c r="I427" s="67" t="str">
        <f t="shared" si="22"/>
        <v>0549</v>
      </c>
    </row>
    <row r="428" spans="1:9" x14ac:dyDescent="0.15">
      <c r="A428" s="67" t="s">
        <v>1214</v>
      </c>
      <c r="B428" s="67" t="s">
        <v>1215</v>
      </c>
      <c r="C428" s="67" t="s">
        <v>5011</v>
      </c>
      <c r="D428" s="67" t="s">
        <v>4338</v>
      </c>
      <c r="E428" s="67" t="s">
        <v>5012</v>
      </c>
      <c r="F428" s="67" t="s">
        <v>4336</v>
      </c>
      <c r="G428" s="67">
        <f t="shared" si="20"/>
        <v>2</v>
      </c>
      <c r="H428" s="67" t="str">
        <f t="shared" si="21"/>
        <v>000483刘志鹏</v>
      </c>
      <c r="I428" s="67" t="str">
        <f t="shared" si="22"/>
        <v>0549</v>
      </c>
    </row>
    <row r="429" spans="1:9" x14ac:dyDescent="0.15">
      <c r="A429" s="67" t="s">
        <v>5013</v>
      </c>
      <c r="B429" s="67" t="s">
        <v>5014</v>
      </c>
      <c r="C429" s="67" t="s">
        <v>5015</v>
      </c>
      <c r="D429" s="67" t="s">
        <v>4882</v>
      </c>
      <c r="E429" s="67" t="s">
        <v>4883</v>
      </c>
      <c r="F429" s="67" t="s">
        <v>4336</v>
      </c>
      <c r="G429" s="67">
        <f t="shared" si="20"/>
        <v>1</v>
      </c>
      <c r="H429" s="67" t="str">
        <f t="shared" si="21"/>
        <v>000747临时工55</v>
      </c>
      <c r="I429" s="67" t="str">
        <f t="shared" si="22"/>
        <v>055</v>
      </c>
    </row>
    <row r="430" spans="1:9" x14ac:dyDescent="0.15">
      <c r="A430" s="67" t="s">
        <v>1216</v>
      </c>
      <c r="B430" s="67" t="s">
        <v>1217</v>
      </c>
      <c r="C430" s="67" t="s">
        <v>5016</v>
      </c>
      <c r="D430" s="67" t="s">
        <v>4424</v>
      </c>
      <c r="E430" s="67" t="s">
        <v>4425</v>
      </c>
      <c r="F430" s="67" t="s">
        <v>4336</v>
      </c>
      <c r="G430" s="67">
        <f t="shared" si="20"/>
        <v>1</v>
      </c>
      <c r="H430" s="67" t="str">
        <f t="shared" si="21"/>
        <v>000279王洪武</v>
      </c>
      <c r="I430" s="67" t="str">
        <f t="shared" si="22"/>
        <v>0550</v>
      </c>
    </row>
    <row r="431" spans="1:9" x14ac:dyDescent="0.15">
      <c r="A431" s="67" t="s">
        <v>1218</v>
      </c>
      <c r="B431" s="67" t="s">
        <v>1219</v>
      </c>
      <c r="C431" s="67" t="s">
        <v>5017</v>
      </c>
      <c r="D431" s="67" t="s">
        <v>4338</v>
      </c>
      <c r="E431" s="67" t="s">
        <v>4339</v>
      </c>
      <c r="F431" s="67" t="s">
        <v>4336</v>
      </c>
      <c r="G431" s="67">
        <f t="shared" si="20"/>
        <v>1</v>
      </c>
      <c r="H431" s="67" t="str">
        <f t="shared" si="21"/>
        <v>000167封静轩</v>
      </c>
      <c r="I431" s="67" t="str">
        <f t="shared" si="22"/>
        <v>0551</v>
      </c>
    </row>
    <row r="432" spans="1:9" x14ac:dyDescent="0.15">
      <c r="A432" s="67" t="s">
        <v>1222</v>
      </c>
      <c r="B432" s="67" t="s">
        <v>1223</v>
      </c>
      <c r="C432" s="67" t="s">
        <v>5018</v>
      </c>
      <c r="D432" s="67" t="s">
        <v>4820</v>
      </c>
      <c r="E432" s="67" t="s">
        <v>4821</v>
      </c>
      <c r="F432" s="67" t="s">
        <v>4336</v>
      </c>
      <c r="G432" s="67">
        <f t="shared" si="20"/>
        <v>1</v>
      </c>
      <c r="H432" s="67" t="str">
        <f t="shared" si="21"/>
        <v>000261曹进</v>
      </c>
      <c r="I432" s="67" t="str">
        <f t="shared" si="22"/>
        <v>0553</v>
      </c>
    </row>
    <row r="433" spans="1:9" x14ac:dyDescent="0.15">
      <c r="A433" s="67" t="s">
        <v>1224</v>
      </c>
      <c r="B433" s="67" t="s">
        <v>1225</v>
      </c>
      <c r="C433" s="67" t="s">
        <v>5019</v>
      </c>
      <c r="D433" s="67" t="s">
        <v>4338</v>
      </c>
      <c r="E433" s="67" t="s">
        <v>4339</v>
      </c>
      <c r="F433" s="67" t="s">
        <v>4336</v>
      </c>
      <c r="G433" s="67">
        <f t="shared" si="20"/>
        <v>1</v>
      </c>
      <c r="H433" s="67" t="str">
        <f t="shared" si="21"/>
        <v>000082余雅丽</v>
      </c>
      <c r="I433" s="67" t="str">
        <f t="shared" si="22"/>
        <v>0554</v>
      </c>
    </row>
    <row r="434" spans="1:9" x14ac:dyDescent="0.15">
      <c r="A434" s="67" t="s">
        <v>1230</v>
      </c>
      <c r="B434" s="67" t="s">
        <v>1231</v>
      </c>
      <c r="C434" s="67" t="s">
        <v>5020</v>
      </c>
      <c r="F434" s="67" t="s">
        <v>4409</v>
      </c>
      <c r="G434" s="67">
        <f t="shared" si="20"/>
        <v>1</v>
      </c>
      <c r="H434" s="67" t="str">
        <f t="shared" si="21"/>
        <v>000362许兴</v>
      </c>
      <c r="I434" s="67" t="str">
        <f t="shared" si="22"/>
        <v>0557</v>
      </c>
    </row>
    <row r="435" spans="1:9" x14ac:dyDescent="0.15">
      <c r="A435" s="67" t="s">
        <v>1232</v>
      </c>
      <c r="B435" s="67" t="s">
        <v>1233</v>
      </c>
      <c r="C435" s="67" t="s">
        <v>5021</v>
      </c>
      <c r="F435" s="67" t="s">
        <v>4409</v>
      </c>
      <c r="G435" s="67">
        <f t="shared" si="20"/>
        <v>1</v>
      </c>
      <c r="H435" s="67" t="str">
        <f t="shared" si="21"/>
        <v>000316郭峰</v>
      </c>
      <c r="I435" s="67" t="str">
        <f t="shared" si="22"/>
        <v>0558</v>
      </c>
    </row>
    <row r="436" spans="1:9" x14ac:dyDescent="0.15">
      <c r="A436" s="67" t="s">
        <v>1234</v>
      </c>
      <c r="B436" s="67" t="s">
        <v>1235</v>
      </c>
      <c r="C436" s="67" t="s">
        <v>5022</v>
      </c>
      <c r="F436" s="67" t="s">
        <v>4409</v>
      </c>
      <c r="G436" s="67">
        <f t="shared" si="20"/>
        <v>1</v>
      </c>
      <c r="H436" s="67" t="str">
        <f t="shared" si="21"/>
        <v>000315勾湃</v>
      </c>
      <c r="I436" s="67" t="str">
        <f t="shared" si="22"/>
        <v>0559</v>
      </c>
    </row>
    <row r="437" spans="1:9" x14ac:dyDescent="0.15">
      <c r="A437" s="67" t="s">
        <v>5023</v>
      </c>
      <c r="B437" s="67" t="s">
        <v>5024</v>
      </c>
      <c r="C437" s="67" t="s">
        <v>5025</v>
      </c>
      <c r="D437" s="67" t="s">
        <v>4882</v>
      </c>
      <c r="E437" s="67" t="s">
        <v>4883</v>
      </c>
      <c r="F437" s="67" t="s">
        <v>4336</v>
      </c>
      <c r="G437" s="67">
        <f t="shared" si="20"/>
        <v>1</v>
      </c>
      <c r="H437" s="67" t="str">
        <f t="shared" si="21"/>
        <v>000748临时工56</v>
      </c>
      <c r="I437" s="67" t="str">
        <f t="shared" si="22"/>
        <v>056</v>
      </c>
    </row>
    <row r="438" spans="1:9" x14ac:dyDescent="0.15">
      <c r="A438" s="67" t="s">
        <v>1238</v>
      </c>
      <c r="B438" s="67" t="s">
        <v>1239</v>
      </c>
      <c r="C438" s="67" t="s">
        <v>5026</v>
      </c>
      <c r="D438" s="67" t="s">
        <v>4820</v>
      </c>
      <c r="E438" s="67" t="s">
        <v>4821</v>
      </c>
      <c r="F438" s="67" t="s">
        <v>4336</v>
      </c>
      <c r="G438" s="67">
        <f t="shared" si="20"/>
        <v>1</v>
      </c>
      <c r="H438" s="67" t="str">
        <f t="shared" si="21"/>
        <v>000262陈科</v>
      </c>
      <c r="I438" s="67" t="str">
        <f t="shared" si="22"/>
        <v>0561</v>
      </c>
    </row>
    <row r="439" spans="1:9" x14ac:dyDescent="0.15">
      <c r="A439" s="67" t="s">
        <v>1240</v>
      </c>
      <c r="B439" s="67" t="s">
        <v>1241</v>
      </c>
      <c r="C439" s="67" t="s">
        <v>5027</v>
      </c>
      <c r="D439" s="67" t="s">
        <v>4553</v>
      </c>
      <c r="E439" s="67" t="s">
        <v>4633</v>
      </c>
      <c r="F439" s="67" t="s">
        <v>4336</v>
      </c>
      <c r="G439" s="67">
        <f t="shared" si="20"/>
        <v>1</v>
      </c>
      <c r="H439" s="67" t="str">
        <f t="shared" si="21"/>
        <v>000165邓桂红</v>
      </c>
      <c r="I439" s="67" t="str">
        <f t="shared" si="22"/>
        <v>0562</v>
      </c>
    </row>
    <row r="440" spans="1:9" x14ac:dyDescent="0.15">
      <c r="A440" s="67" t="s">
        <v>1242</v>
      </c>
      <c r="B440" s="67" t="s">
        <v>1243</v>
      </c>
      <c r="C440" s="67" t="s">
        <v>5028</v>
      </c>
      <c r="F440" s="67" t="s">
        <v>4409</v>
      </c>
      <c r="G440" s="67">
        <f t="shared" si="20"/>
        <v>1</v>
      </c>
      <c r="H440" s="67" t="str">
        <f t="shared" si="21"/>
        <v>000122郭化民</v>
      </c>
      <c r="I440" s="67" t="str">
        <f t="shared" si="22"/>
        <v>0563</v>
      </c>
    </row>
    <row r="441" spans="1:9" x14ac:dyDescent="0.15">
      <c r="A441" s="67" t="s">
        <v>1248</v>
      </c>
      <c r="B441" s="67" t="s">
        <v>1249</v>
      </c>
      <c r="C441" s="67" t="s">
        <v>5029</v>
      </c>
      <c r="D441" s="67" t="s">
        <v>4518</v>
      </c>
      <c r="E441" s="67" t="s">
        <v>4519</v>
      </c>
      <c r="F441" s="67" t="s">
        <v>4336</v>
      </c>
      <c r="G441" s="67">
        <f t="shared" si="20"/>
        <v>1</v>
      </c>
      <c r="H441" s="67" t="str">
        <f t="shared" si="21"/>
        <v>000274刘高洋</v>
      </c>
      <c r="I441" s="67" t="str">
        <f t="shared" si="22"/>
        <v>0566</v>
      </c>
    </row>
    <row r="442" spans="1:9" x14ac:dyDescent="0.15">
      <c r="A442" s="67" t="s">
        <v>1250</v>
      </c>
      <c r="B442" s="67" t="s">
        <v>1251</v>
      </c>
      <c r="C442" s="67" t="s">
        <v>5030</v>
      </c>
      <c r="D442" s="67" t="s">
        <v>4518</v>
      </c>
      <c r="E442" s="67" t="s">
        <v>4519</v>
      </c>
      <c r="F442" s="67" t="s">
        <v>4336</v>
      </c>
      <c r="G442" s="67">
        <f t="shared" si="20"/>
        <v>1</v>
      </c>
      <c r="H442" s="67" t="str">
        <f t="shared" si="21"/>
        <v>000281王修稳</v>
      </c>
      <c r="I442" s="67" t="str">
        <f t="shared" si="22"/>
        <v>0567</v>
      </c>
    </row>
    <row r="443" spans="1:9" x14ac:dyDescent="0.15">
      <c r="A443" s="67" t="s">
        <v>1252</v>
      </c>
      <c r="B443" s="67" t="s">
        <v>1253</v>
      </c>
      <c r="C443" s="67" t="s">
        <v>5031</v>
      </c>
      <c r="D443" s="67" t="s">
        <v>4338</v>
      </c>
      <c r="E443" s="67" t="s">
        <v>4339</v>
      </c>
      <c r="F443" s="67" t="s">
        <v>4336</v>
      </c>
      <c r="G443" s="67">
        <f t="shared" si="20"/>
        <v>1</v>
      </c>
      <c r="H443" s="67" t="str">
        <f t="shared" si="21"/>
        <v>000053杜大刚</v>
      </c>
      <c r="I443" s="67" t="str">
        <f t="shared" si="22"/>
        <v>0568</v>
      </c>
    </row>
    <row r="444" spans="1:9" x14ac:dyDescent="0.15">
      <c r="A444" s="67" t="s">
        <v>1254</v>
      </c>
      <c r="B444" s="67" t="s">
        <v>1255</v>
      </c>
      <c r="C444" s="67" t="s">
        <v>5032</v>
      </c>
      <c r="D444" s="67" t="s">
        <v>4338</v>
      </c>
      <c r="E444" s="67" t="s">
        <v>4339</v>
      </c>
      <c r="F444" s="67" t="s">
        <v>4336</v>
      </c>
      <c r="G444" s="67">
        <f t="shared" si="20"/>
        <v>2</v>
      </c>
      <c r="H444" s="67" t="str">
        <f t="shared" si="21"/>
        <v>000066彭小恩</v>
      </c>
      <c r="I444" s="67" t="str">
        <f t="shared" si="22"/>
        <v>0569</v>
      </c>
    </row>
    <row r="445" spans="1:9" x14ac:dyDescent="0.15">
      <c r="A445" s="67" t="s">
        <v>1254</v>
      </c>
      <c r="B445" s="67" t="s">
        <v>1255</v>
      </c>
      <c r="C445" s="67" t="s">
        <v>5033</v>
      </c>
      <c r="D445" s="67" t="s">
        <v>4338</v>
      </c>
      <c r="E445" s="67" t="s">
        <v>4339</v>
      </c>
      <c r="F445" s="67" t="s">
        <v>4336</v>
      </c>
      <c r="G445" s="67">
        <f t="shared" si="20"/>
        <v>2</v>
      </c>
      <c r="H445" s="67" t="str">
        <f t="shared" si="21"/>
        <v>000703彭小恩</v>
      </c>
      <c r="I445" s="67" t="str">
        <f t="shared" si="22"/>
        <v>0569</v>
      </c>
    </row>
    <row r="446" spans="1:9" x14ac:dyDescent="0.15">
      <c r="A446" s="67" t="s">
        <v>5034</v>
      </c>
      <c r="B446" s="67" t="s">
        <v>5035</v>
      </c>
      <c r="C446" s="67" t="s">
        <v>5036</v>
      </c>
      <c r="D446" s="67" t="s">
        <v>4882</v>
      </c>
      <c r="E446" s="67" t="s">
        <v>4883</v>
      </c>
      <c r="F446" s="67" t="s">
        <v>4336</v>
      </c>
      <c r="G446" s="67">
        <f t="shared" si="20"/>
        <v>1</v>
      </c>
      <c r="H446" s="67" t="str">
        <f t="shared" si="21"/>
        <v>000749临时工57</v>
      </c>
      <c r="I446" s="67" t="str">
        <f t="shared" si="22"/>
        <v>057</v>
      </c>
    </row>
    <row r="447" spans="1:9" x14ac:dyDescent="0.15">
      <c r="A447" s="67" t="s">
        <v>1256</v>
      </c>
      <c r="B447" s="67" t="s">
        <v>1257</v>
      </c>
      <c r="C447" s="67" t="s">
        <v>5037</v>
      </c>
      <c r="D447" s="67" t="s">
        <v>4338</v>
      </c>
      <c r="E447" s="67" t="s">
        <v>4339</v>
      </c>
      <c r="F447" s="67" t="s">
        <v>4336</v>
      </c>
      <c r="G447" s="67">
        <f t="shared" si="20"/>
        <v>1</v>
      </c>
      <c r="H447" s="67" t="str">
        <f t="shared" si="21"/>
        <v>000054龚攀攀</v>
      </c>
      <c r="I447" s="67" t="str">
        <f t="shared" si="22"/>
        <v>0570</v>
      </c>
    </row>
    <row r="448" spans="1:9" x14ac:dyDescent="0.15">
      <c r="A448" s="67" t="s">
        <v>1258</v>
      </c>
      <c r="B448" s="67" t="s">
        <v>1259</v>
      </c>
      <c r="C448" s="67" t="s">
        <v>5038</v>
      </c>
      <c r="D448" s="67" t="s">
        <v>4424</v>
      </c>
      <c r="E448" s="67" t="s">
        <v>4425</v>
      </c>
      <c r="F448" s="67" t="s">
        <v>4336</v>
      </c>
      <c r="G448" s="67">
        <f t="shared" si="20"/>
        <v>1</v>
      </c>
      <c r="H448" s="67" t="str">
        <f t="shared" si="21"/>
        <v>000268黄腾</v>
      </c>
      <c r="I448" s="67" t="str">
        <f t="shared" si="22"/>
        <v>0571</v>
      </c>
    </row>
    <row r="449" spans="1:9" x14ac:dyDescent="0.15">
      <c r="A449" s="67" t="s">
        <v>1260</v>
      </c>
      <c r="B449" s="67" t="s">
        <v>1261</v>
      </c>
      <c r="C449" s="67" t="s">
        <v>5039</v>
      </c>
      <c r="D449" s="67" t="s">
        <v>4424</v>
      </c>
      <c r="E449" s="67" t="s">
        <v>5040</v>
      </c>
      <c r="F449" s="67" t="s">
        <v>4336</v>
      </c>
      <c r="G449" s="67">
        <f t="shared" si="20"/>
        <v>1</v>
      </c>
      <c r="H449" s="67" t="str">
        <f t="shared" si="21"/>
        <v>000004邹双</v>
      </c>
      <c r="I449" s="67" t="str">
        <f t="shared" si="22"/>
        <v>0572</v>
      </c>
    </row>
    <row r="450" spans="1:9" x14ac:dyDescent="0.15">
      <c r="A450" s="67" t="s">
        <v>1268</v>
      </c>
      <c r="B450" s="67" t="s">
        <v>1269</v>
      </c>
      <c r="C450" s="67" t="s">
        <v>5041</v>
      </c>
      <c r="D450" s="67" t="s">
        <v>4338</v>
      </c>
      <c r="E450" s="67" t="s">
        <v>5042</v>
      </c>
      <c r="F450" s="67" t="s">
        <v>4336</v>
      </c>
      <c r="G450" s="67">
        <f t="shared" si="20"/>
        <v>1</v>
      </c>
      <c r="H450" s="67" t="str">
        <f t="shared" si="21"/>
        <v>000312冯晨晨</v>
      </c>
      <c r="I450" s="67" t="str">
        <f t="shared" si="22"/>
        <v>0576</v>
      </c>
    </row>
    <row r="451" spans="1:9" x14ac:dyDescent="0.15">
      <c r="A451" s="67" t="s">
        <v>1274</v>
      </c>
      <c r="B451" s="67" t="s">
        <v>1275</v>
      </c>
      <c r="C451" s="67" t="s">
        <v>5043</v>
      </c>
      <c r="D451" s="67" t="s">
        <v>4338</v>
      </c>
      <c r="E451" s="67" t="s">
        <v>5044</v>
      </c>
      <c r="F451" s="67" t="s">
        <v>4336</v>
      </c>
      <c r="G451" s="67">
        <f t="shared" ref="G451:G514" si="23">COUNTIFS(B:B,B451)</f>
        <v>1</v>
      </c>
      <c r="H451" s="67" t="str">
        <f t="shared" ref="H451:H514" si="24">C451&amp;B451</f>
        <v>000037王永成</v>
      </c>
      <c r="I451" s="67" t="str">
        <f t="shared" ref="I451:I514" si="25">A451</f>
        <v>0579</v>
      </c>
    </row>
    <row r="452" spans="1:9" x14ac:dyDescent="0.15">
      <c r="A452" s="67" t="s">
        <v>5045</v>
      </c>
      <c r="B452" s="67" t="s">
        <v>5046</v>
      </c>
      <c r="C452" s="67" t="s">
        <v>5047</v>
      </c>
      <c r="D452" s="67" t="s">
        <v>4882</v>
      </c>
      <c r="E452" s="67" t="s">
        <v>4883</v>
      </c>
      <c r="F452" s="67" t="s">
        <v>4336</v>
      </c>
      <c r="G452" s="67">
        <f t="shared" si="23"/>
        <v>1</v>
      </c>
      <c r="H452" s="67" t="str">
        <f t="shared" si="24"/>
        <v>000750临时工58</v>
      </c>
      <c r="I452" s="67" t="str">
        <f t="shared" si="25"/>
        <v>058</v>
      </c>
    </row>
    <row r="453" spans="1:9" x14ac:dyDescent="0.15">
      <c r="A453" s="67" t="s">
        <v>1276</v>
      </c>
      <c r="B453" s="67" t="s">
        <v>1277</v>
      </c>
      <c r="C453" s="67" t="s">
        <v>5048</v>
      </c>
      <c r="D453" s="67" t="s">
        <v>4820</v>
      </c>
      <c r="E453" s="67" t="s">
        <v>4821</v>
      </c>
      <c r="F453" s="67" t="s">
        <v>4336</v>
      </c>
      <c r="G453" s="67">
        <f t="shared" si="23"/>
        <v>1</v>
      </c>
      <c r="H453" s="67" t="str">
        <f t="shared" si="24"/>
        <v>000270李华霖</v>
      </c>
      <c r="I453" s="67" t="str">
        <f t="shared" si="25"/>
        <v>0580</v>
      </c>
    </row>
    <row r="454" spans="1:9" x14ac:dyDescent="0.15">
      <c r="A454" s="67" t="s">
        <v>1278</v>
      </c>
      <c r="B454" s="67" t="s">
        <v>1279</v>
      </c>
      <c r="C454" s="67" t="s">
        <v>5049</v>
      </c>
      <c r="F454" s="67" t="s">
        <v>4409</v>
      </c>
      <c r="G454" s="67">
        <f t="shared" si="23"/>
        <v>1</v>
      </c>
      <c r="H454" s="67" t="str">
        <f t="shared" si="24"/>
        <v>000263方清</v>
      </c>
      <c r="I454" s="67" t="str">
        <f t="shared" si="25"/>
        <v>0581</v>
      </c>
    </row>
    <row r="455" spans="1:9" x14ac:dyDescent="0.15">
      <c r="A455" s="67" t="s">
        <v>1282</v>
      </c>
      <c r="B455" s="67" t="s">
        <v>1283</v>
      </c>
      <c r="C455" s="67" t="s">
        <v>5050</v>
      </c>
      <c r="D455" s="67" t="s">
        <v>5051</v>
      </c>
      <c r="E455" s="67" t="s">
        <v>5052</v>
      </c>
      <c r="F455" s="67" t="s">
        <v>4336</v>
      </c>
      <c r="G455" s="67">
        <f t="shared" si="23"/>
        <v>1</v>
      </c>
      <c r="H455" s="67" t="str">
        <f t="shared" si="24"/>
        <v>000340商宠</v>
      </c>
      <c r="I455" s="67" t="str">
        <f t="shared" si="25"/>
        <v>0583</v>
      </c>
    </row>
    <row r="456" spans="1:9" x14ac:dyDescent="0.15">
      <c r="A456" s="67" t="s">
        <v>1284</v>
      </c>
      <c r="B456" s="67" t="s">
        <v>1285</v>
      </c>
      <c r="C456" s="67" t="s">
        <v>5053</v>
      </c>
      <c r="D456" s="67" t="s">
        <v>4334</v>
      </c>
      <c r="E456" s="67" t="s">
        <v>5054</v>
      </c>
      <c r="F456" s="67" t="s">
        <v>4336</v>
      </c>
      <c r="G456" s="67">
        <f t="shared" si="23"/>
        <v>2</v>
      </c>
      <c r="H456" s="67" t="str">
        <f t="shared" si="24"/>
        <v>000496赵军</v>
      </c>
      <c r="I456" s="67" t="str">
        <f t="shared" si="25"/>
        <v>0584</v>
      </c>
    </row>
    <row r="457" spans="1:9" x14ac:dyDescent="0.15">
      <c r="A457" s="67" t="s">
        <v>1284</v>
      </c>
      <c r="B457" s="67" t="s">
        <v>1285</v>
      </c>
      <c r="C457" s="67" t="s">
        <v>5055</v>
      </c>
      <c r="F457" s="67" t="s">
        <v>4409</v>
      </c>
      <c r="G457" s="67">
        <f t="shared" si="23"/>
        <v>2</v>
      </c>
      <c r="H457" s="67" t="str">
        <f t="shared" si="24"/>
        <v>000143赵军</v>
      </c>
      <c r="I457" s="67" t="str">
        <f t="shared" si="25"/>
        <v>0584</v>
      </c>
    </row>
    <row r="458" spans="1:9" x14ac:dyDescent="0.15">
      <c r="A458" s="67" t="s">
        <v>1290</v>
      </c>
      <c r="B458" s="67" t="s">
        <v>1291</v>
      </c>
      <c r="C458" s="67" t="s">
        <v>5056</v>
      </c>
      <c r="D458" s="67" t="s">
        <v>4338</v>
      </c>
      <c r="E458" s="67" t="s">
        <v>4339</v>
      </c>
      <c r="F458" s="67" t="s">
        <v>4336</v>
      </c>
      <c r="G458" s="67">
        <f t="shared" si="23"/>
        <v>1</v>
      </c>
      <c r="H458" s="67" t="str">
        <f t="shared" si="24"/>
        <v>000035王强</v>
      </c>
      <c r="I458" s="67" t="str">
        <f t="shared" si="25"/>
        <v>0587</v>
      </c>
    </row>
    <row r="459" spans="1:9" x14ac:dyDescent="0.15">
      <c r="A459" s="67" t="s">
        <v>1292</v>
      </c>
      <c r="B459" s="67" t="s">
        <v>1293</v>
      </c>
      <c r="C459" s="67" t="s">
        <v>5057</v>
      </c>
      <c r="D459" s="67" t="s">
        <v>4338</v>
      </c>
      <c r="E459" s="67" t="s">
        <v>5058</v>
      </c>
      <c r="F459" s="67" t="s">
        <v>4336</v>
      </c>
      <c r="G459" s="67">
        <f t="shared" si="23"/>
        <v>1</v>
      </c>
      <c r="H459" s="67" t="str">
        <f t="shared" si="24"/>
        <v>000023高祥</v>
      </c>
      <c r="I459" s="67" t="str">
        <f t="shared" si="25"/>
        <v>0588</v>
      </c>
    </row>
    <row r="460" spans="1:9" x14ac:dyDescent="0.15">
      <c r="A460" s="67" t="s">
        <v>1294</v>
      </c>
      <c r="B460" s="67" t="s">
        <v>1295</v>
      </c>
      <c r="C460" s="67" t="s">
        <v>5059</v>
      </c>
      <c r="D460" s="67" t="s">
        <v>4338</v>
      </c>
      <c r="E460" s="67" t="s">
        <v>4339</v>
      </c>
      <c r="F460" s="67" t="s">
        <v>4336</v>
      </c>
      <c r="G460" s="67">
        <f t="shared" si="23"/>
        <v>1</v>
      </c>
      <c r="H460" s="67" t="str">
        <f t="shared" si="24"/>
        <v>000030卢伟</v>
      </c>
      <c r="I460" s="67" t="str">
        <f t="shared" si="25"/>
        <v>0589</v>
      </c>
    </row>
    <row r="461" spans="1:9" x14ac:dyDescent="0.15">
      <c r="A461" s="67" t="s">
        <v>5060</v>
      </c>
      <c r="B461" s="67" t="s">
        <v>5061</v>
      </c>
      <c r="C461" s="67" t="s">
        <v>5062</v>
      </c>
      <c r="D461" s="67" t="s">
        <v>4882</v>
      </c>
      <c r="E461" s="67" t="s">
        <v>4883</v>
      </c>
      <c r="F461" s="67" t="s">
        <v>4336</v>
      </c>
      <c r="G461" s="67">
        <f t="shared" si="23"/>
        <v>1</v>
      </c>
      <c r="H461" s="67" t="str">
        <f t="shared" si="24"/>
        <v>000751临时工59</v>
      </c>
      <c r="I461" s="67" t="str">
        <f t="shared" si="25"/>
        <v>059</v>
      </c>
    </row>
    <row r="462" spans="1:9" x14ac:dyDescent="0.15">
      <c r="A462" s="67" t="s">
        <v>1296</v>
      </c>
      <c r="B462" s="67" t="s">
        <v>1297</v>
      </c>
      <c r="C462" s="67" t="s">
        <v>5063</v>
      </c>
      <c r="D462" s="67" t="s">
        <v>4424</v>
      </c>
      <c r="E462" s="67" t="s">
        <v>4425</v>
      </c>
      <c r="F462" s="67" t="s">
        <v>4336</v>
      </c>
      <c r="G462" s="67">
        <f t="shared" si="23"/>
        <v>1</v>
      </c>
      <c r="H462" s="67" t="str">
        <f t="shared" si="24"/>
        <v>000188唐权</v>
      </c>
      <c r="I462" s="67" t="str">
        <f t="shared" si="25"/>
        <v>0590</v>
      </c>
    </row>
    <row r="463" spans="1:9" x14ac:dyDescent="0.15">
      <c r="A463" s="67" t="s">
        <v>1300</v>
      </c>
      <c r="B463" s="67" t="s">
        <v>1301</v>
      </c>
      <c r="C463" s="67" t="s">
        <v>5064</v>
      </c>
      <c r="D463" s="67" t="s">
        <v>4338</v>
      </c>
      <c r="E463" s="67" t="s">
        <v>4339</v>
      </c>
      <c r="F463" s="67" t="s">
        <v>4336</v>
      </c>
      <c r="G463" s="67">
        <f t="shared" si="23"/>
        <v>1</v>
      </c>
      <c r="H463" s="67" t="str">
        <f t="shared" si="24"/>
        <v>000032沈显庆</v>
      </c>
      <c r="I463" s="67" t="str">
        <f t="shared" si="25"/>
        <v>0592</v>
      </c>
    </row>
    <row r="464" spans="1:9" x14ac:dyDescent="0.15">
      <c r="A464" s="67" t="s">
        <v>1302</v>
      </c>
      <c r="B464" s="67" t="s">
        <v>1303</v>
      </c>
      <c r="C464" s="67" t="s">
        <v>5065</v>
      </c>
      <c r="D464" s="67" t="s">
        <v>4343</v>
      </c>
      <c r="E464" s="67" t="s">
        <v>4344</v>
      </c>
      <c r="F464" s="67" t="s">
        <v>4336</v>
      </c>
      <c r="G464" s="67">
        <f t="shared" si="23"/>
        <v>1</v>
      </c>
      <c r="H464" s="67" t="str">
        <f t="shared" si="24"/>
        <v>000012杨涵</v>
      </c>
      <c r="I464" s="67" t="str">
        <f t="shared" si="25"/>
        <v>0593</v>
      </c>
    </row>
    <row r="465" spans="1:9" x14ac:dyDescent="0.15">
      <c r="A465" s="67" t="s">
        <v>1304</v>
      </c>
      <c r="B465" s="67" t="s">
        <v>1305</v>
      </c>
      <c r="C465" s="67" t="s">
        <v>5066</v>
      </c>
      <c r="D465" s="67" t="s">
        <v>4338</v>
      </c>
      <c r="E465" s="67" t="s">
        <v>4339</v>
      </c>
      <c r="F465" s="67" t="s">
        <v>4336</v>
      </c>
      <c r="G465" s="67">
        <f t="shared" si="23"/>
        <v>1</v>
      </c>
      <c r="H465" s="67" t="str">
        <f t="shared" si="24"/>
        <v>000031侣沙平</v>
      </c>
      <c r="I465" s="67" t="str">
        <f t="shared" si="25"/>
        <v>0594</v>
      </c>
    </row>
    <row r="466" spans="1:9" x14ac:dyDescent="0.15">
      <c r="A466" s="67" t="s">
        <v>1306</v>
      </c>
      <c r="B466" s="67" t="s">
        <v>1307</v>
      </c>
      <c r="C466" s="67" t="s">
        <v>5067</v>
      </c>
      <c r="D466" s="67" t="s">
        <v>4343</v>
      </c>
      <c r="E466" s="67" t="s">
        <v>4344</v>
      </c>
      <c r="F466" s="67" t="s">
        <v>4336</v>
      </c>
      <c r="G466" s="67">
        <f t="shared" si="23"/>
        <v>1</v>
      </c>
      <c r="H466" s="67" t="str">
        <f t="shared" si="24"/>
        <v>000209杜华奇</v>
      </c>
      <c r="I466" s="67" t="str">
        <f t="shared" si="25"/>
        <v>0595</v>
      </c>
    </row>
    <row r="467" spans="1:9" x14ac:dyDescent="0.15">
      <c r="A467" s="67" t="s">
        <v>1308</v>
      </c>
      <c r="B467" s="67" t="s">
        <v>1309</v>
      </c>
      <c r="C467" s="67" t="s">
        <v>5068</v>
      </c>
      <c r="D467" s="67" t="s">
        <v>4343</v>
      </c>
      <c r="E467" s="67" t="s">
        <v>4344</v>
      </c>
      <c r="F467" s="67" t="s">
        <v>4336</v>
      </c>
      <c r="G467" s="67">
        <f t="shared" si="23"/>
        <v>1</v>
      </c>
      <c r="H467" s="67" t="str">
        <f t="shared" si="24"/>
        <v>000392刘艳</v>
      </c>
      <c r="I467" s="67" t="str">
        <f t="shared" si="25"/>
        <v>0596</v>
      </c>
    </row>
    <row r="468" spans="1:9" x14ac:dyDescent="0.15">
      <c r="A468" s="67" t="s">
        <v>1310</v>
      </c>
      <c r="B468" s="67" t="s">
        <v>1311</v>
      </c>
      <c r="C468" s="67" t="s">
        <v>5069</v>
      </c>
      <c r="D468" s="67" t="s">
        <v>4343</v>
      </c>
      <c r="E468" s="67" t="s">
        <v>4344</v>
      </c>
      <c r="F468" s="67" t="s">
        <v>4336</v>
      </c>
      <c r="G468" s="67">
        <f t="shared" si="23"/>
        <v>1</v>
      </c>
      <c r="H468" s="67" t="str">
        <f t="shared" si="24"/>
        <v>000005夏少芸</v>
      </c>
      <c r="I468" s="67" t="str">
        <f t="shared" si="25"/>
        <v>0597</v>
      </c>
    </row>
    <row r="469" spans="1:9" x14ac:dyDescent="0.15">
      <c r="A469" s="67" t="s">
        <v>1312</v>
      </c>
      <c r="B469" s="67" t="s">
        <v>1313</v>
      </c>
      <c r="C469" s="67" t="s">
        <v>5070</v>
      </c>
      <c r="D469" s="67" t="s">
        <v>4338</v>
      </c>
      <c r="E469" s="67" t="s">
        <v>5071</v>
      </c>
      <c r="F469" s="67" t="s">
        <v>4336</v>
      </c>
      <c r="G469" s="67">
        <f t="shared" si="23"/>
        <v>1</v>
      </c>
      <c r="H469" s="67" t="str">
        <f t="shared" si="24"/>
        <v>000022程小斌</v>
      </c>
      <c r="I469" s="67" t="str">
        <f t="shared" si="25"/>
        <v>0598</v>
      </c>
    </row>
    <row r="470" spans="1:9" x14ac:dyDescent="0.15">
      <c r="A470" s="67" t="s">
        <v>1314</v>
      </c>
      <c r="B470" s="67" t="s">
        <v>1315</v>
      </c>
      <c r="C470" s="67" t="s">
        <v>5072</v>
      </c>
      <c r="D470" s="67" t="s">
        <v>4424</v>
      </c>
      <c r="E470" s="67" t="s">
        <v>4425</v>
      </c>
      <c r="F470" s="67" t="s">
        <v>4336</v>
      </c>
      <c r="G470" s="67">
        <f t="shared" si="23"/>
        <v>1</v>
      </c>
      <c r="H470" s="67" t="str">
        <f t="shared" si="24"/>
        <v>000280王建锋</v>
      </c>
      <c r="I470" s="67" t="str">
        <f t="shared" si="25"/>
        <v>0599</v>
      </c>
    </row>
    <row r="471" spans="1:9" x14ac:dyDescent="0.15">
      <c r="A471" s="67" t="s">
        <v>5073</v>
      </c>
      <c r="B471" s="67" t="s">
        <v>5074</v>
      </c>
      <c r="C471" s="67" t="s">
        <v>5075</v>
      </c>
      <c r="D471" s="67" t="s">
        <v>4882</v>
      </c>
      <c r="E471" s="67" t="s">
        <v>4883</v>
      </c>
      <c r="F471" s="67" t="s">
        <v>4336</v>
      </c>
      <c r="G471" s="67">
        <f t="shared" si="23"/>
        <v>1</v>
      </c>
      <c r="H471" s="67" t="str">
        <f t="shared" si="24"/>
        <v>000752临时工60</v>
      </c>
      <c r="I471" s="67" t="str">
        <f t="shared" si="25"/>
        <v>060</v>
      </c>
    </row>
    <row r="472" spans="1:9" x14ac:dyDescent="0.15">
      <c r="A472" s="67" t="s">
        <v>1316</v>
      </c>
      <c r="B472" s="67" t="s">
        <v>1317</v>
      </c>
      <c r="C472" s="67" t="s">
        <v>5076</v>
      </c>
      <c r="F472" s="67" t="s">
        <v>4409</v>
      </c>
      <c r="G472" s="67">
        <f t="shared" si="23"/>
        <v>1</v>
      </c>
      <c r="H472" s="67" t="str">
        <f t="shared" si="24"/>
        <v>000378赵朋飞</v>
      </c>
      <c r="I472" s="67" t="str">
        <f t="shared" si="25"/>
        <v>0600</v>
      </c>
    </row>
    <row r="473" spans="1:9" x14ac:dyDescent="0.15">
      <c r="A473" s="67" t="s">
        <v>1318</v>
      </c>
      <c r="B473" s="67" t="s">
        <v>1319</v>
      </c>
      <c r="C473" s="67" t="s">
        <v>5077</v>
      </c>
      <c r="F473" s="67" t="s">
        <v>4409</v>
      </c>
      <c r="G473" s="67">
        <f t="shared" si="23"/>
        <v>1</v>
      </c>
      <c r="H473" s="67" t="str">
        <f t="shared" si="24"/>
        <v>000282徐晓琳</v>
      </c>
      <c r="I473" s="67" t="str">
        <f t="shared" si="25"/>
        <v>0601</v>
      </c>
    </row>
    <row r="474" spans="1:9" x14ac:dyDescent="0.15">
      <c r="A474" s="67" t="s">
        <v>1322</v>
      </c>
      <c r="B474" s="67" t="s">
        <v>1323</v>
      </c>
      <c r="C474" s="67" t="s">
        <v>5078</v>
      </c>
      <c r="D474" s="67" t="s">
        <v>4338</v>
      </c>
      <c r="E474" s="67" t="s">
        <v>5079</v>
      </c>
      <c r="F474" s="67" t="s">
        <v>4336</v>
      </c>
      <c r="G474" s="67">
        <f t="shared" si="23"/>
        <v>1</v>
      </c>
      <c r="H474" s="67" t="str">
        <f t="shared" si="24"/>
        <v>000025李雷</v>
      </c>
      <c r="I474" s="67" t="str">
        <f t="shared" si="25"/>
        <v>0603</v>
      </c>
    </row>
    <row r="475" spans="1:9" x14ac:dyDescent="0.15">
      <c r="A475" s="67" t="s">
        <v>1324</v>
      </c>
      <c r="B475" s="67" t="s">
        <v>1325</v>
      </c>
      <c r="C475" s="67" t="s">
        <v>5080</v>
      </c>
      <c r="D475" s="67" t="s">
        <v>4338</v>
      </c>
      <c r="E475" s="67" t="s">
        <v>5081</v>
      </c>
      <c r="F475" s="67" t="s">
        <v>4336</v>
      </c>
      <c r="G475" s="67">
        <f t="shared" si="23"/>
        <v>1</v>
      </c>
      <c r="H475" s="67" t="str">
        <f t="shared" si="24"/>
        <v>000021陈献光</v>
      </c>
      <c r="I475" s="67" t="str">
        <f t="shared" si="25"/>
        <v>0604</v>
      </c>
    </row>
    <row r="476" spans="1:9" x14ac:dyDescent="0.15">
      <c r="A476" s="67" t="s">
        <v>1326</v>
      </c>
      <c r="B476" s="67" t="s">
        <v>1327</v>
      </c>
      <c r="C476" s="67" t="s">
        <v>5082</v>
      </c>
      <c r="D476" s="67" t="s">
        <v>4338</v>
      </c>
      <c r="E476" s="67" t="s">
        <v>4339</v>
      </c>
      <c r="F476" s="67" t="s">
        <v>4336</v>
      </c>
      <c r="G476" s="67">
        <f t="shared" si="23"/>
        <v>1</v>
      </c>
      <c r="H476" s="67" t="str">
        <f t="shared" si="24"/>
        <v>000026李映鸿</v>
      </c>
      <c r="I476" s="67" t="str">
        <f t="shared" si="25"/>
        <v>0605</v>
      </c>
    </row>
    <row r="477" spans="1:9" x14ac:dyDescent="0.15">
      <c r="A477" s="67" t="s">
        <v>1328</v>
      </c>
      <c r="B477" s="67" t="s">
        <v>1329</v>
      </c>
      <c r="C477" s="67" t="s">
        <v>5083</v>
      </c>
      <c r="D477" s="67" t="s">
        <v>4338</v>
      </c>
      <c r="E477" s="67" t="s">
        <v>4339</v>
      </c>
      <c r="F477" s="67" t="s">
        <v>4336</v>
      </c>
      <c r="G477" s="67">
        <f t="shared" si="23"/>
        <v>2</v>
      </c>
      <c r="H477" s="67" t="str">
        <f t="shared" si="24"/>
        <v>000020陈昊佑</v>
      </c>
      <c r="I477" s="67" t="str">
        <f t="shared" si="25"/>
        <v>0606</v>
      </c>
    </row>
    <row r="478" spans="1:9" x14ac:dyDescent="0.15">
      <c r="A478" s="67" t="s">
        <v>1328</v>
      </c>
      <c r="B478" s="67" t="s">
        <v>1329</v>
      </c>
      <c r="C478" s="67" t="s">
        <v>5084</v>
      </c>
      <c r="D478" s="67" t="s">
        <v>4338</v>
      </c>
      <c r="E478" s="67" t="s">
        <v>4339</v>
      </c>
      <c r="F478" s="67" t="s">
        <v>4336</v>
      </c>
      <c r="G478" s="67">
        <f t="shared" si="23"/>
        <v>2</v>
      </c>
      <c r="H478" s="67" t="str">
        <f t="shared" si="24"/>
        <v>000878陈昊佑</v>
      </c>
      <c r="I478" s="67" t="str">
        <f t="shared" si="25"/>
        <v>0606</v>
      </c>
    </row>
    <row r="479" spans="1:9" x14ac:dyDescent="0.15">
      <c r="A479" s="67" t="s">
        <v>1330</v>
      </c>
      <c r="B479" s="67" t="s">
        <v>1331</v>
      </c>
      <c r="C479" s="67" t="s">
        <v>5085</v>
      </c>
      <c r="D479" s="67" t="s">
        <v>4872</v>
      </c>
      <c r="E479" s="67" t="s">
        <v>4873</v>
      </c>
      <c r="F479" s="67" t="s">
        <v>4336</v>
      </c>
      <c r="G479" s="67">
        <f t="shared" si="23"/>
        <v>1</v>
      </c>
      <c r="H479" s="67" t="str">
        <f t="shared" si="24"/>
        <v>000324李少宾</v>
      </c>
      <c r="I479" s="67" t="str">
        <f t="shared" si="25"/>
        <v>0607</v>
      </c>
    </row>
    <row r="480" spans="1:9" x14ac:dyDescent="0.15">
      <c r="A480" s="67" t="s">
        <v>1332</v>
      </c>
      <c r="B480" s="67" t="s">
        <v>1333</v>
      </c>
      <c r="C480" s="67" t="s">
        <v>5086</v>
      </c>
      <c r="D480" s="67" t="s">
        <v>4338</v>
      </c>
      <c r="E480" s="67" t="s">
        <v>5087</v>
      </c>
      <c r="F480" s="67" t="s">
        <v>4336</v>
      </c>
      <c r="G480" s="67">
        <f t="shared" si="23"/>
        <v>1</v>
      </c>
      <c r="H480" s="67" t="str">
        <f t="shared" si="24"/>
        <v>000039谢明锋</v>
      </c>
      <c r="I480" s="67" t="str">
        <f t="shared" si="25"/>
        <v>0608</v>
      </c>
    </row>
    <row r="481" spans="1:9" x14ac:dyDescent="0.15">
      <c r="A481" s="67" t="s">
        <v>1334</v>
      </c>
      <c r="B481" s="67" t="s">
        <v>1335</v>
      </c>
      <c r="C481" s="67" t="s">
        <v>5088</v>
      </c>
      <c r="D481" s="67" t="s">
        <v>4338</v>
      </c>
      <c r="E481" s="67" t="s">
        <v>4339</v>
      </c>
      <c r="F481" s="67" t="s">
        <v>4336</v>
      </c>
      <c r="G481" s="67">
        <f t="shared" si="23"/>
        <v>1</v>
      </c>
      <c r="H481" s="67" t="str">
        <f t="shared" si="24"/>
        <v>000085周国军</v>
      </c>
      <c r="I481" s="67" t="str">
        <f t="shared" si="25"/>
        <v>0609</v>
      </c>
    </row>
    <row r="482" spans="1:9" x14ac:dyDescent="0.15">
      <c r="A482" s="67" t="s">
        <v>5089</v>
      </c>
      <c r="B482" s="67" t="s">
        <v>5090</v>
      </c>
      <c r="C482" s="67" t="s">
        <v>5091</v>
      </c>
      <c r="D482" s="67" t="s">
        <v>4882</v>
      </c>
      <c r="E482" s="67" t="s">
        <v>4883</v>
      </c>
      <c r="F482" s="67" t="s">
        <v>4336</v>
      </c>
      <c r="G482" s="67">
        <f t="shared" si="23"/>
        <v>1</v>
      </c>
      <c r="H482" s="67" t="str">
        <f t="shared" si="24"/>
        <v>000753临时工61</v>
      </c>
      <c r="I482" s="67" t="str">
        <f t="shared" si="25"/>
        <v>061</v>
      </c>
    </row>
    <row r="483" spans="1:9" x14ac:dyDescent="0.15">
      <c r="A483" s="67" t="s">
        <v>1336</v>
      </c>
      <c r="B483" s="67" t="s">
        <v>1337</v>
      </c>
      <c r="C483" s="67" t="s">
        <v>5092</v>
      </c>
      <c r="D483" s="67" t="s">
        <v>4392</v>
      </c>
      <c r="E483" s="67" t="s">
        <v>5093</v>
      </c>
      <c r="F483" s="67" t="s">
        <v>4336</v>
      </c>
      <c r="G483" s="67">
        <f t="shared" si="23"/>
        <v>1</v>
      </c>
      <c r="H483" s="67" t="str">
        <f t="shared" si="24"/>
        <v>000314勾吉</v>
      </c>
      <c r="I483" s="67" t="str">
        <f t="shared" si="25"/>
        <v>0610</v>
      </c>
    </row>
    <row r="484" spans="1:9" x14ac:dyDescent="0.15">
      <c r="A484" s="67" t="s">
        <v>1338</v>
      </c>
      <c r="B484" s="67" t="s">
        <v>1339</v>
      </c>
      <c r="C484" s="67" t="s">
        <v>5094</v>
      </c>
      <c r="F484" s="67" t="s">
        <v>4409</v>
      </c>
      <c r="G484" s="67">
        <f t="shared" si="23"/>
        <v>1</v>
      </c>
      <c r="H484" s="67" t="str">
        <f t="shared" si="24"/>
        <v>000225苏茂源</v>
      </c>
      <c r="I484" s="67" t="str">
        <f t="shared" si="25"/>
        <v>0611</v>
      </c>
    </row>
    <row r="485" spans="1:9" x14ac:dyDescent="0.15">
      <c r="A485" s="67" t="s">
        <v>1340</v>
      </c>
      <c r="B485" s="67" t="s">
        <v>1341</v>
      </c>
      <c r="C485" s="67" t="s">
        <v>5095</v>
      </c>
      <c r="F485" s="67" t="s">
        <v>4409</v>
      </c>
      <c r="G485" s="67">
        <f t="shared" si="23"/>
        <v>1</v>
      </c>
      <c r="H485" s="67" t="str">
        <f t="shared" si="24"/>
        <v>000224司庆海</v>
      </c>
      <c r="I485" s="67" t="str">
        <f t="shared" si="25"/>
        <v>0612</v>
      </c>
    </row>
    <row r="486" spans="1:9" x14ac:dyDescent="0.15">
      <c r="A486" s="67" t="s">
        <v>1344</v>
      </c>
      <c r="B486" s="67" t="s">
        <v>1345</v>
      </c>
      <c r="C486" s="67" t="s">
        <v>5096</v>
      </c>
      <c r="D486" s="67" t="s">
        <v>4338</v>
      </c>
      <c r="E486" s="67" t="s">
        <v>4339</v>
      </c>
      <c r="F486" s="67" t="s">
        <v>4336</v>
      </c>
      <c r="G486" s="67">
        <f t="shared" si="23"/>
        <v>2</v>
      </c>
      <c r="H486" s="67" t="str">
        <f t="shared" si="24"/>
        <v>000040余建</v>
      </c>
      <c r="I486" s="67" t="str">
        <f t="shared" si="25"/>
        <v>0614</v>
      </c>
    </row>
    <row r="487" spans="1:9" x14ac:dyDescent="0.15">
      <c r="A487" s="67" t="s">
        <v>1344</v>
      </c>
      <c r="B487" s="67" t="s">
        <v>1345</v>
      </c>
      <c r="C487" s="67" t="s">
        <v>5097</v>
      </c>
      <c r="D487" s="67" t="s">
        <v>4338</v>
      </c>
      <c r="E487" s="67" t="s">
        <v>4339</v>
      </c>
      <c r="F487" s="67" t="s">
        <v>4336</v>
      </c>
      <c r="G487" s="67">
        <f t="shared" si="23"/>
        <v>2</v>
      </c>
      <c r="H487" s="67" t="str">
        <f t="shared" si="24"/>
        <v>000783余建</v>
      </c>
      <c r="I487" s="67" t="str">
        <f t="shared" si="25"/>
        <v>0614</v>
      </c>
    </row>
    <row r="488" spans="1:9" x14ac:dyDescent="0.15">
      <c r="A488" s="67" t="s">
        <v>1346</v>
      </c>
      <c r="B488" s="67" t="s">
        <v>1347</v>
      </c>
      <c r="C488" s="67" t="s">
        <v>5098</v>
      </c>
      <c r="D488" s="67" t="s">
        <v>4343</v>
      </c>
      <c r="E488" s="67" t="s">
        <v>4344</v>
      </c>
      <c r="F488" s="67" t="s">
        <v>4336</v>
      </c>
      <c r="G488" s="67">
        <f t="shared" si="23"/>
        <v>1</v>
      </c>
      <c r="H488" s="67" t="str">
        <f t="shared" si="24"/>
        <v>000010王韶峰</v>
      </c>
      <c r="I488" s="67" t="str">
        <f t="shared" si="25"/>
        <v>0615</v>
      </c>
    </row>
    <row r="489" spans="1:9" x14ac:dyDescent="0.15">
      <c r="A489" s="67" t="s">
        <v>1348</v>
      </c>
      <c r="B489" s="67" t="s">
        <v>1349</v>
      </c>
      <c r="C489" s="67" t="s">
        <v>5099</v>
      </c>
      <c r="D489" s="67" t="s">
        <v>4338</v>
      </c>
      <c r="E489" s="67" t="s">
        <v>4339</v>
      </c>
      <c r="F489" s="67" t="s">
        <v>4336</v>
      </c>
      <c r="G489" s="67">
        <f t="shared" si="23"/>
        <v>1</v>
      </c>
      <c r="H489" s="67" t="str">
        <f t="shared" si="24"/>
        <v>000033孙超</v>
      </c>
      <c r="I489" s="67" t="str">
        <f t="shared" si="25"/>
        <v>0616</v>
      </c>
    </row>
    <row r="490" spans="1:9" x14ac:dyDescent="0.15">
      <c r="A490" s="67" t="s">
        <v>1350</v>
      </c>
      <c r="B490" s="67" t="s">
        <v>1351</v>
      </c>
      <c r="C490" s="67" t="s">
        <v>5100</v>
      </c>
      <c r="D490" s="67" t="s">
        <v>4518</v>
      </c>
      <c r="E490" s="67" t="s">
        <v>5101</v>
      </c>
      <c r="F490" s="67" t="s">
        <v>4336</v>
      </c>
      <c r="G490" s="67">
        <f t="shared" si="23"/>
        <v>1</v>
      </c>
      <c r="H490" s="67" t="str">
        <f t="shared" si="24"/>
        <v>000288曾辉</v>
      </c>
      <c r="I490" s="67" t="str">
        <f t="shared" si="25"/>
        <v>0617</v>
      </c>
    </row>
    <row r="491" spans="1:9" x14ac:dyDescent="0.15">
      <c r="A491" s="67" t="s">
        <v>1352</v>
      </c>
      <c r="B491" s="67" t="s">
        <v>1353</v>
      </c>
      <c r="C491" s="67" t="s">
        <v>5102</v>
      </c>
      <c r="D491" s="67" t="s">
        <v>4338</v>
      </c>
      <c r="E491" s="67" t="s">
        <v>4339</v>
      </c>
      <c r="F491" s="67" t="s">
        <v>4336</v>
      </c>
      <c r="G491" s="67">
        <f t="shared" si="23"/>
        <v>1</v>
      </c>
      <c r="H491" s="67" t="str">
        <f t="shared" si="24"/>
        <v>000414姜鑫</v>
      </c>
      <c r="I491" s="67" t="str">
        <f t="shared" si="25"/>
        <v>0618</v>
      </c>
    </row>
    <row r="492" spans="1:9" x14ac:dyDescent="0.15">
      <c r="A492" s="67" t="s">
        <v>1354</v>
      </c>
      <c r="B492" s="67" t="s">
        <v>1355</v>
      </c>
      <c r="C492" s="67" t="s">
        <v>5103</v>
      </c>
      <c r="D492" s="67" t="s">
        <v>4553</v>
      </c>
      <c r="E492" s="67" t="s">
        <v>4633</v>
      </c>
      <c r="F492" s="67" t="s">
        <v>4336</v>
      </c>
      <c r="G492" s="67">
        <f t="shared" si="23"/>
        <v>1</v>
      </c>
      <c r="H492" s="67" t="str">
        <f t="shared" si="24"/>
        <v>000433张宏健</v>
      </c>
      <c r="I492" s="67" t="str">
        <f t="shared" si="25"/>
        <v>0619</v>
      </c>
    </row>
    <row r="493" spans="1:9" x14ac:dyDescent="0.15">
      <c r="A493" s="67" t="s">
        <v>5104</v>
      </c>
      <c r="B493" s="67" t="s">
        <v>5105</v>
      </c>
      <c r="C493" s="67" t="s">
        <v>5106</v>
      </c>
      <c r="D493" s="67" t="s">
        <v>4882</v>
      </c>
      <c r="E493" s="67" t="s">
        <v>4883</v>
      </c>
      <c r="F493" s="67" t="s">
        <v>4336</v>
      </c>
      <c r="G493" s="67">
        <f t="shared" si="23"/>
        <v>1</v>
      </c>
      <c r="H493" s="67" t="str">
        <f t="shared" si="24"/>
        <v>000754临时工62</v>
      </c>
      <c r="I493" s="67" t="str">
        <f t="shared" si="25"/>
        <v>062</v>
      </c>
    </row>
    <row r="494" spans="1:9" x14ac:dyDescent="0.15">
      <c r="A494" s="67" t="s">
        <v>1356</v>
      </c>
      <c r="B494" s="67" t="s">
        <v>1357</v>
      </c>
      <c r="C494" s="67" t="s">
        <v>5107</v>
      </c>
      <c r="D494" s="67" t="s">
        <v>4334</v>
      </c>
      <c r="E494" s="67" t="s">
        <v>5108</v>
      </c>
      <c r="F494" s="67" t="s">
        <v>4336</v>
      </c>
      <c r="G494" s="67">
        <f t="shared" si="23"/>
        <v>1</v>
      </c>
      <c r="H494" s="67" t="str">
        <f t="shared" si="24"/>
        <v>000497李丹</v>
      </c>
      <c r="I494" s="67" t="str">
        <f t="shared" si="25"/>
        <v>0620</v>
      </c>
    </row>
    <row r="495" spans="1:9" x14ac:dyDescent="0.15">
      <c r="A495" s="67" t="s">
        <v>1358</v>
      </c>
      <c r="B495" s="67" t="s">
        <v>1359</v>
      </c>
      <c r="C495" s="67" t="s">
        <v>5109</v>
      </c>
      <c r="D495" s="67" t="s">
        <v>4334</v>
      </c>
      <c r="E495" s="67" t="s">
        <v>4335</v>
      </c>
      <c r="F495" s="67" t="s">
        <v>4336</v>
      </c>
      <c r="G495" s="67">
        <f t="shared" si="23"/>
        <v>1</v>
      </c>
      <c r="H495" s="67" t="str">
        <f t="shared" si="24"/>
        <v>000498唐剑飞</v>
      </c>
      <c r="I495" s="67" t="str">
        <f t="shared" si="25"/>
        <v>0621</v>
      </c>
    </row>
    <row r="496" spans="1:9" x14ac:dyDescent="0.15">
      <c r="A496" s="67" t="s">
        <v>1361</v>
      </c>
      <c r="B496" s="67" t="s">
        <v>1362</v>
      </c>
      <c r="C496" s="67" t="s">
        <v>5110</v>
      </c>
      <c r="D496" s="67" t="s">
        <v>4334</v>
      </c>
      <c r="E496" s="67" t="s">
        <v>4335</v>
      </c>
      <c r="F496" s="67" t="s">
        <v>4336</v>
      </c>
      <c r="G496" s="67">
        <f t="shared" si="23"/>
        <v>1</v>
      </c>
      <c r="H496" s="67" t="str">
        <f t="shared" si="24"/>
        <v>000499贾德志</v>
      </c>
      <c r="I496" s="67" t="str">
        <f t="shared" si="25"/>
        <v>0622</v>
      </c>
    </row>
    <row r="497" spans="1:9" x14ac:dyDescent="0.15">
      <c r="A497" s="67" t="s">
        <v>1363</v>
      </c>
      <c r="B497" s="67" t="s">
        <v>1364</v>
      </c>
      <c r="C497" s="67" t="s">
        <v>5111</v>
      </c>
      <c r="D497" s="67" t="s">
        <v>4334</v>
      </c>
      <c r="E497" s="67" t="s">
        <v>4335</v>
      </c>
      <c r="F497" s="67" t="s">
        <v>4336</v>
      </c>
      <c r="G497" s="67">
        <f t="shared" si="23"/>
        <v>1</v>
      </c>
      <c r="H497" s="67" t="str">
        <f t="shared" si="24"/>
        <v>000500王佳旭</v>
      </c>
      <c r="I497" s="67" t="str">
        <f t="shared" si="25"/>
        <v>0623</v>
      </c>
    </row>
    <row r="498" spans="1:9" x14ac:dyDescent="0.15">
      <c r="A498" s="67" t="s">
        <v>1365</v>
      </c>
      <c r="B498" s="67" t="s">
        <v>1366</v>
      </c>
      <c r="C498" s="67" t="s">
        <v>5112</v>
      </c>
      <c r="D498" s="67" t="s">
        <v>4334</v>
      </c>
      <c r="E498" s="67" t="s">
        <v>5113</v>
      </c>
      <c r="F498" s="67" t="s">
        <v>4336</v>
      </c>
      <c r="G498" s="67">
        <f t="shared" si="23"/>
        <v>1</v>
      </c>
      <c r="H498" s="67" t="str">
        <f t="shared" si="24"/>
        <v>000502孙鹤</v>
      </c>
      <c r="I498" s="67" t="str">
        <f t="shared" si="25"/>
        <v>0624</v>
      </c>
    </row>
    <row r="499" spans="1:9" x14ac:dyDescent="0.15">
      <c r="A499" s="67" t="s">
        <v>1367</v>
      </c>
      <c r="B499" s="67" t="s">
        <v>1368</v>
      </c>
      <c r="C499" s="67" t="s">
        <v>5114</v>
      </c>
      <c r="D499" s="67" t="s">
        <v>5115</v>
      </c>
      <c r="E499" s="67" t="s">
        <v>5116</v>
      </c>
      <c r="F499" s="67" t="s">
        <v>4336</v>
      </c>
      <c r="G499" s="67">
        <f t="shared" si="23"/>
        <v>1</v>
      </c>
      <c r="H499" s="67" t="str">
        <f t="shared" si="24"/>
        <v>000503李国华</v>
      </c>
      <c r="I499" s="67" t="str">
        <f t="shared" si="25"/>
        <v>0625</v>
      </c>
    </row>
    <row r="500" spans="1:9" x14ac:dyDescent="0.15">
      <c r="A500" s="67" t="s">
        <v>1369</v>
      </c>
      <c r="B500" s="67" t="s">
        <v>1370</v>
      </c>
      <c r="C500" s="67" t="s">
        <v>5117</v>
      </c>
      <c r="D500" s="67" t="s">
        <v>5118</v>
      </c>
      <c r="E500" s="67" t="s">
        <v>5119</v>
      </c>
      <c r="F500" s="67" t="s">
        <v>4336</v>
      </c>
      <c r="G500" s="67">
        <f t="shared" si="23"/>
        <v>2</v>
      </c>
      <c r="H500" s="67" t="str">
        <f t="shared" si="24"/>
        <v>000504何远阳</v>
      </c>
      <c r="I500" s="67" t="str">
        <f t="shared" si="25"/>
        <v>0626</v>
      </c>
    </row>
    <row r="501" spans="1:9" x14ac:dyDescent="0.15">
      <c r="A501" s="67" t="s">
        <v>1369</v>
      </c>
      <c r="B501" s="67" t="s">
        <v>1370</v>
      </c>
      <c r="C501" s="67" t="s">
        <v>5120</v>
      </c>
      <c r="D501" s="67" t="s">
        <v>5118</v>
      </c>
      <c r="E501" s="67" t="s">
        <v>5121</v>
      </c>
      <c r="F501" s="67" t="s">
        <v>4336</v>
      </c>
      <c r="G501" s="67">
        <f t="shared" si="23"/>
        <v>2</v>
      </c>
      <c r="H501" s="67" t="str">
        <f t="shared" si="24"/>
        <v>000647何远阳</v>
      </c>
      <c r="I501" s="67" t="str">
        <f t="shared" si="25"/>
        <v>0626</v>
      </c>
    </row>
    <row r="502" spans="1:9" x14ac:dyDescent="0.15">
      <c r="A502" s="67" t="s">
        <v>1371</v>
      </c>
      <c r="B502" s="67" t="s">
        <v>1372</v>
      </c>
      <c r="C502" s="67" t="s">
        <v>5122</v>
      </c>
      <c r="D502" s="67" t="s">
        <v>5118</v>
      </c>
      <c r="E502" s="67" t="s">
        <v>5123</v>
      </c>
      <c r="F502" s="67" t="s">
        <v>4336</v>
      </c>
      <c r="G502" s="67">
        <f t="shared" si="23"/>
        <v>1</v>
      </c>
      <c r="H502" s="67" t="str">
        <f t="shared" si="24"/>
        <v>000505何远文</v>
      </c>
      <c r="I502" s="67" t="str">
        <f t="shared" si="25"/>
        <v>0627</v>
      </c>
    </row>
    <row r="503" spans="1:9" x14ac:dyDescent="0.15">
      <c r="A503" s="67" t="s">
        <v>1373</v>
      </c>
      <c r="B503" s="67" t="s">
        <v>1374</v>
      </c>
      <c r="C503" s="67" t="s">
        <v>5124</v>
      </c>
      <c r="D503" s="67" t="s">
        <v>5125</v>
      </c>
      <c r="E503" s="67" t="s">
        <v>5126</v>
      </c>
      <c r="F503" s="67" t="s">
        <v>4336</v>
      </c>
      <c r="G503" s="67">
        <f t="shared" si="23"/>
        <v>1</v>
      </c>
      <c r="H503" s="67" t="str">
        <f t="shared" si="24"/>
        <v>000506苏燕芳</v>
      </c>
      <c r="I503" s="67" t="str">
        <f t="shared" si="25"/>
        <v>0628</v>
      </c>
    </row>
    <row r="504" spans="1:9" x14ac:dyDescent="0.15">
      <c r="A504" s="67" t="s">
        <v>1375</v>
      </c>
      <c r="B504" s="67" t="s">
        <v>1376</v>
      </c>
      <c r="C504" s="67" t="s">
        <v>5127</v>
      </c>
      <c r="D504" s="67" t="s">
        <v>4338</v>
      </c>
      <c r="E504" s="67" t="s">
        <v>4339</v>
      </c>
      <c r="F504" s="67" t="s">
        <v>4336</v>
      </c>
      <c r="G504" s="67">
        <f t="shared" si="23"/>
        <v>1</v>
      </c>
      <c r="H504" s="67" t="str">
        <f t="shared" si="24"/>
        <v>000024郭李平</v>
      </c>
      <c r="I504" s="67" t="str">
        <f t="shared" si="25"/>
        <v>0629</v>
      </c>
    </row>
    <row r="505" spans="1:9" x14ac:dyDescent="0.15">
      <c r="A505" s="67" t="s">
        <v>5128</v>
      </c>
      <c r="B505" s="67" t="s">
        <v>5129</v>
      </c>
      <c r="C505" s="67" t="s">
        <v>5130</v>
      </c>
      <c r="D505" s="67" t="s">
        <v>4882</v>
      </c>
      <c r="E505" s="67" t="s">
        <v>4883</v>
      </c>
      <c r="F505" s="67" t="s">
        <v>4336</v>
      </c>
      <c r="G505" s="67">
        <f t="shared" si="23"/>
        <v>1</v>
      </c>
      <c r="H505" s="67" t="str">
        <f t="shared" si="24"/>
        <v>000755临时工63</v>
      </c>
      <c r="I505" s="67" t="str">
        <f t="shared" si="25"/>
        <v>063</v>
      </c>
    </row>
    <row r="506" spans="1:9" x14ac:dyDescent="0.15">
      <c r="A506" s="67" t="s">
        <v>1377</v>
      </c>
      <c r="B506" s="67" t="s">
        <v>1378</v>
      </c>
      <c r="C506" s="67" t="s">
        <v>5131</v>
      </c>
      <c r="D506" s="67" t="s">
        <v>4424</v>
      </c>
      <c r="E506" s="67" t="s">
        <v>5132</v>
      </c>
      <c r="F506" s="67" t="s">
        <v>4336</v>
      </c>
      <c r="G506" s="67">
        <f t="shared" si="23"/>
        <v>1</v>
      </c>
      <c r="H506" s="67" t="str">
        <f t="shared" si="24"/>
        <v>000001戴鹏飞</v>
      </c>
      <c r="I506" s="67" t="str">
        <f t="shared" si="25"/>
        <v>0632</v>
      </c>
    </row>
    <row r="507" spans="1:9" x14ac:dyDescent="0.15">
      <c r="A507" s="67" t="s">
        <v>1379</v>
      </c>
      <c r="B507" s="67" t="s">
        <v>1380</v>
      </c>
      <c r="C507" s="67" t="s">
        <v>5133</v>
      </c>
      <c r="D507" s="67" t="s">
        <v>4338</v>
      </c>
      <c r="E507" s="67" t="s">
        <v>4339</v>
      </c>
      <c r="F507" s="67" t="s">
        <v>4336</v>
      </c>
      <c r="G507" s="67">
        <f t="shared" si="23"/>
        <v>3</v>
      </c>
      <c r="H507" s="67" t="str">
        <f t="shared" si="24"/>
        <v>000036王婷婷</v>
      </c>
      <c r="I507" s="67" t="str">
        <f t="shared" si="25"/>
        <v>0633</v>
      </c>
    </row>
    <row r="508" spans="1:9" x14ac:dyDescent="0.15">
      <c r="A508" s="67" t="s">
        <v>1379</v>
      </c>
      <c r="B508" s="67" t="s">
        <v>1380</v>
      </c>
      <c r="C508" s="67" t="s">
        <v>5134</v>
      </c>
      <c r="D508" s="67" t="s">
        <v>4338</v>
      </c>
      <c r="E508" s="67" t="s">
        <v>4339</v>
      </c>
      <c r="F508" s="67" t="s">
        <v>4336</v>
      </c>
      <c r="G508" s="67">
        <f t="shared" si="23"/>
        <v>3</v>
      </c>
      <c r="H508" s="67" t="str">
        <f t="shared" si="24"/>
        <v>000585王婷婷</v>
      </c>
      <c r="I508" s="67" t="str">
        <f t="shared" si="25"/>
        <v>0633</v>
      </c>
    </row>
    <row r="509" spans="1:9" x14ac:dyDescent="0.15">
      <c r="A509" s="67" t="s">
        <v>1381</v>
      </c>
      <c r="B509" s="67" t="s">
        <v>1382</v>
      </c>
      <c r="C509" s="67" t="s">
        <v>5135</v>
      </c>
      <c r="D509" s="67" t="s">
        <v>4343</v>
      </c>
      <c r="E509" s="67" t="s">
        <v>4344</v>
      </c>
      <c r="F509" s="67" t="s">
        <v>4336</v>
      </c>
      <c r="G509" s="67">
        <f t="shared" si="23"/>
        <v>1</v>
      </c>
      <c r="H509" s="67" t="str">
        <f t="shared" si="24"/>
        <v>000238朱晓明</v>
      </c>
      <c r="I509" s="67" t="str">
        <f t="shared" si="25"/>
        <v>0634</v>
      </c>
    </row>
    <row r="510" spans="1:9" x14ac:dyDescent="0.15">
      <c r="A510" s="67" t="s">
        <v>1383</v>
      </c>
      <c r="B510" s="67" t="s">
        <v>1384</v>
      </c>
      <c r="C510" s="67" t="s">
        <v>5136</v>
      </c>
      <c r="D510" s="67" t="s">
        <v>4360</v>
      </c>
      <c r="E510" s="67" t="s">
        <v>4361</v>
      </c>
      <c r="F510" s="67" t="s">
        <v>4336</v>
      </c>
      <c r="G510" s="67">
        <f t="shared" si="23"/>
        <v>1</v>
      </c>
      <c r="H510" s="67" t="str">
        <f t="shared" si="24"/>
        <v>000016金焰</v>
      </c>
      <c r="I510" s="67" t="str">
        <f t="shared" si="25"/>
        <v>0636</v>
      </c>
    </row>
    <row r="511" spans="1:9" x14ac:dyDescent="0.15">
      <c r="A511" s="67" t="s">
        <v>1385</v>
      </c>
      <c r="B511" s="67" t="s">
        <v>1386</v>
      </c>
      <c r="C511" s="67" t="s">
        <v>5137</v>
      </c>
      <c r="D511" s="67" t="s">
        <v>4360</v>
      </c>
      <c r="E511" s="67" t="s">
        <v>4361</v>
      </c>
      <c r="F511" s="67" t="s">
        <v>4336</v>
      </c>
      <c r="G511" s="67">
        <f t="shared" si="23"/>
        <v>1</v>
      </c>
      <c r="H511" s="67" t="str">
        <f t="shared" si="24"/>
        <v>000015金爱华</v>
      </c>
      <c r="I511" s="67" t="str">
        <f t="shared" si="25"/>
        <v>0637</v>
      </c>
    </row>
    <row r="512" spans="1:9" x14ac:dyDescent="0.15">
      <c r="A512" s="67" t="s">
        <v>1387</v>
      </c>
      <c r="B512" s="67" t="s">
        <v>1388</v>
      </c>
      <c r="C512" s="67" t="s">
        <v>5138</v>
      </c>
      <c r="D512" s="67" t="s">
        <v>4338</v>
      </c>
      <c r="E512" s="67" t="s">
        <v>4339</v>
      </c>
      <c r="F512" s="67" t="s">
        <v>4336</v>
      </c>
      <c r="G512" s="67">
        <f t="shared" si="23"/>
        <v>1</v>
      </c>
      <c r="H512" s="67" t="str">
        <f t="shared" si="24"/>
        <v>000308陈小克</v>
      </c>
      <c r="I512" s="67" t="str">
        <f t="shared" si="25"/>
        <v>0638</v>
      </c>
    </row>
    <row r="513" spans="1:9" x14ac:dyDescent="0.15">
      <c r="A513" s="67" t="s">
        <v>1389</v>
      </c>
      <c r="B513" s="67" t="s">
        <v>1390</v>
      </c>
      <c r="C513" s="67" t="s">
        <v>5139</v>
      </c>
      <c r="D513" s="67" t="s">
        <v>4338</v>
      </c>
      <c r="E513" s="67" t="s">
        <v>4339</v>
      </c>
      <c r="F513" s="67" t="s">
        <v>4336</v>
      </c>
      <c r="G513" s="67">
        <f t="shared" si="23"/>
        <v>2</v>
      </c>
      <c r="H513" s="67" t="str">
        <f t="shared" si="24"/>
        <v>000313耿文涛</v>
      </c>
      <c r="I513" s="67" t="str">
        <f t="shared" si="25"/>
        <v>0639</v>
      </c>
    </row>
    <row r="514" spans="1:9" x14ac:dyDescent="0.15">
      <c r="A514" s="67" t="s">
        <v>1389</v>
      </c>
      <c r="B514" s="67" t="s">
        <v>1390</v>
      </c>
      <c r="C514" s="67" t="s">
        <v>5140</v>
      </c>
      <c r="D514" s="67" t="s">
        <v>4338</v>
      </c>
      <c r="E514" s="67" t="s">
        <v>5141</v>
      </c>
      <c r="F514" s="67" t="s">
        <v>4336</v>
      </c>
      <c r="G514" s="67">
        <f t="shared" si="23"/>
        <v>2</v>
      </c>
      <c r="H514" s="67" t="str">
        <f t="shared" si="24"/>
        <v>000444耿文涛</v>
      </c>
      <c r="I514" s="67" t="str">
        <f t="shared" si="25"/>
        <v>0639</v>
      </c>
    </row>
    <row r="515" spans="1:9" x14ac:dyDescent="0.15">
      <c r="A515" s="67" t="s">
        <v>5142</v>
      </c>
      <c r="B515" s="67" t="s">
        <v>5143</v>
      </c>
      <c r="C515" s="67" t="s">
        <v>5144</v>
      </c>
      <c r="D515" s="67" t="s">
        <v>4882</v>
      </c>
      <c r="E515" s="67" t="s">
        <v>4883</v>
      </c>
      <c r="F515" s="67" t="s">
        <v>4336</v>
      </c>
      <c r="G515" s="67">
        <f t="shared" ref="G515:G578" si="26">COUNTIFS(B:B,B515)</f>
        <v>1</v>
      </c>
      <c r="H515" s="67" t="str">
        <f t="shared" ref="H515:H578" si="27">C515&amp;B515</f>
        <v>000756临时工64</v>
      </c>
      <c r="I515" s="67" t="str">
        <f t="shared" ref="I515:I578" si="28">A515</f>
        <v>064</v>
      </c>
    </row>
    <row r="516" spans="1:9" x14ac:dyDescent="0.15">
      <c r="A516" s="67" t="s">
        <v>1391</v>
      </c>
      <c r="B516" s="67" t="s">
        <v>1392</v>
      </c>
      <c r="C516" s="67" t="s">
        <v>5145</v>
      </c>
      <c r="D516" s="67" t="s">
        <v>4338</v>
      </c>
      <c r="E516" s="67" t="s">
        <v>4339</v>
      </c>
      <c r="F516" s="67" t="s">
        <v>4336</v>
      </c>
      <c r="G516" s="67">
        <f t="shared" si="26"/>
        <v>1</v>
      </c>
      <c r="H516" s="67" t="str">
        <f t="shared" si="27"/>
        <v>000056江游</v>
      </c>
      <c r="I516" s="67" t="str">
        <f t="shared" si="28"/>
        <v>0640</v>
      </c>
    </row>
    <row r="517" spans="1:9" x14ac:dyDescent="0.15">
      <c r="A517" s="67" t="s">
        <v>1393</v>
      </c>
      <c r="B517" s="67" t="s">
        <v>1394</v>
      </c>
      <c r="C517" s="67" t="s">
        <v>5146</v>
      </c>
      <c r="D517" s="67" t="s">
        <v>4338</v>
      </c>
      <c r="E517" s="67" t="s">
        <v>4339</v>
      </c>
      <c r="F517" s="67" t="s">
        <v>4336</v>
      </c>
      <c r="G517" s="67">
        <f t="shared" si="26"/>
        <v>1</v>
      </c>
      <c r="H517" s="67" t="str">
        <f t="shared" si="27"/>
        <v>000027林佳威</v>
      </c>
      <c r="I517" s="67" t="str">
        <f t="shared" si="28"/>
        <v>0641</v>
      </c>
    </row>
    <row r="518" spans="1:9" x14ac:dyDescent="0.15">
      <c r="A518" s="67" t="s">
        <v>1395</v>
      </c>
      <c r="B518" s="67" t="s">
        <v>1396</v>
      </c>
      <c r="C518" s="67" t="s">
        <v>5147</v>
      </c>
      <c r="D518" s="67" t="s">
        <v>4338</v>
      </c>
      <c r="E518" s="67" t="s">
        <v>4339</v>
      </c>
      <c r="F518" s="67" t="s">
        <v>4336</v>
      </c>
      <c r="G518" s="67">
        <f t="shared" si="26"/>
        <v>1</v>
      </c>
      <c r="H518" s="67" t="str">
        <f t="shared" si="27"/>
        <v>000334刘伟</v>
      </c>
      <c r="I518" s="67" t="str">
        <f t="shared" si="28"/>
        <v>0642</v>
      </c>
    </row>
    <row r="519" spans="1:9" x14ac:dyDescent="0.15">
      <c r="A519" s="67" t="s">
        <v>1397</v>
      </c>
      <c r="B519" s="67" t="s">
        <v>1398</v>
      </c>
      <c r="C519" s="67" t="s">
        <v>5148</v>
      </c>
      <c r="D519" s="67" t="s">
        <v>4338</v>
      </c>
      <c r="E519" s="67" t="s">
        <v>4339</v>
      </c>
      <c r="F519" s="67" t="s">
        <v>4336</v>
      </c>
      <c r="G519" s="67">
        <f t="shared" si="26"/>
        <v>1</v>
      </c>
      <c r="H519" s="67" t="str">
        <f t="shared" si="27"/>
        <v>000341尚东亮</v>
      </c>
      <c r="I519" s="67" t="str">
        <f t="shared" si="28"/>
        <v>0643</v>
      </c>
    </row>
    <row r="520" spans="1:9" x14ac:dyDescent="0.15">
      <c r="A520" s="67" t="s">
        <v>1399</v>
      </c>
      <c r="B520" s="67" t="s">
        <v>1400</v>
      </c>
      <c r="C520" s="67" t="s">
        <v>5149</v>
      </c>
      <c r="D520" s="67" t="s">
        <v>4338</v>
      </c>
      <c r="E520" s="67" t="s">
        <v>4339</v>
      </c>
      <c r="F520" s="67" t="s">
        <v>4336</v>
      </c>
      <c r="G520" s="67">
        <f t="shared" si="26"/>
        <v>2</v>
      </c>
      <c r="H520" s="67" t="str">
        <f t="shared" si="27"/>
        <v>000337潘金刚</v>
      </c>
      <c r="I520" s="67" t="str">
        <f t="shared" si="28"/>
        <v>0644</v>
      </c>
    </row>
    <row r="521" spans="1:9" x14ac:dyDescent="0.15">
      <c r="A521" s="67" t="s">
        <v>1399</v>
      </c>
      <c r="B521" s="67" t="s">
        <v>1400</v>
      </c>
      <c r="C521" s="67" t="s">
        <v>5150</v>
      </c>
      <c r="D521" s="67" t="s">
        <v>4338</v>
      </c>
      <c r="E521" s="67" t="s">
        <v>5151</v>
      </c>
      <c r="F521" s="67" t="s">
        <v>4336</v>
      </c>
      <c r="G521" s="67">
        <f t="shared" si="26"/>
        <v>2</v>
      </c>
      <c r="H521" s="67" t="str">
        <f t="shared" si="27"/>
        <v>000452潘金刚</v>
      </c>
      <c r="I521" s="67" t="str">
        <f t="shared" si="28"/>
        <v>0644</v>
      </c>
    </row>
    <row r="522" spans="1:9" x14ac:dyDescent="0.15">
      <c r="A522" s="67" t="s">
        <v>1401</v>
      </c>
      <c r="B522" s="67" t="s">
        <v>1402</v>
      </c>
      <c r="C522" s="67" t="s">
        <v>5152</v>
      </c>
      <c r="D522" s="67" t="s">
        <v>4343</v>
      </c>
      <c r="E522" s="67" t="s">
        <v>4344</v>
      </c>
      <c r="F522" s="67" t="s">
        <v>4336</v>
      </c>
      <c r="G522" s="67">
        <f t="shared" si="26"/>
        <v>1</v>
      </c>
      <c r="H522" s="67" t="str">
        <f t="shared" si="27"/>
        <v>000248彭映彩</v>
      </c>
      <c r="I522" s="67" t="str">
        <f t="shared" si="28"/>
        <v>0645</v>
      </c>
    </row>
    <row r="523" spans="1:9" x14ac:dyDescent="0.15">
      <c r="A523" s="67" t="s">
        <v>1403</v>
      </c>
      <c r="B523" s="67" t="s">
        <v>1404</v>
      </c>
      <c r="C523" s="67" t="s">
        <v>5153</v>
      </c>
      <c r="D523" s="67" t="s">
        <v>4338</v>
      </c>
      <c r="E523" s="67" t="s">
        <v>4339</v>
      </c>
      <c r="F523" s="67" t="s">
        <v>4336</v>
      </c>
      <c r="G523" s="67">
        <f t="shared" si="26"/>
        <v>1</v>
      </c>
      <c r="H523" s="67" t="str">
        <f t="shared" si="27"/>
        <v>000121耿桂升</v>
      </c>
      <c r="I523" s="67" t="str">
        <f t="shared" si="28"/>
        <v>0646</v>
      </c>
    </row>
    <row r="524" spans="1:9" x14ac:dyDescent="0.15">
      <c r="A524" s="67" t="s">
        <v>1405</v>
      </c>
      <c r="B524" s="67" t="s">
        <v>1406</v>
      </c>
      <c r="C524" s="67" t="s">
        <v>5154</v>
      </c>
      <c r="D524" s="67" t="s">
        <v>4338</v>
      </c>
      <c r="E524" s="67" t="s">
        <v>4339</v>
      </c>
      <c r="F524" s="67" t="s">
        <v>4336</v>
      </c>
      <c r="G524" s="67">
        <f t="shared" si="26"/>
        <v>1</v>
      </c>
      <c r="H524" s="67" t="str">
        <f t="shared" si="27"/>
        <v>000144孙红军</v>
      </c>
      <c r="I524" s="67" t="str">
        <f t="shared" si="28"/>
        <v>0647</v>
      </c>
    </row>
    <row r="525" spans="1:9" x14ac:dyDescent="0.15">
      <c r="A525" s="67" t="s">
        <v>1407</v>
      </c>
      <c r="B525" s="67" t="s">
        <v>1408</v>
      </c>
      <c r="C525" s="67" t="s">
        <v>5155</v>
      </c>
      <c r="D525" s="67" t="s">
        <v>4343</v>
      </c>
      <c r="E525" s="67" t="s">
        <v>5156</v>
      </c>
      <c r="F525" s="67" t="s">
        <v>4336</v>
      </c>
      <c r="G525" s="67">
        <f t="shared" si="26"/>
        <v>1</v>
      </c>
      <c r="H525" s="67" t="str">
        <f t="shared" si="27"/>
        <v>000100冯剑英</v>
      </c>
      <c r="I525" s="67" t="str">
        <f t="shared" si="28"/>
        <v>0648</v>
      </c>
    </row>
    <row r="526" spans="1:9" x14ac:dyDescent="0.15">
      <c r="A526" s="67" t="s">
        <v>1409</v>
      </c>
      <c r="B526" s="67" t="s">
        <v>1410</v>
      </c>
      <c r="C526" s="67" t="s">
        <v>5157</v>
      </c>
      <c r="D526" s="67" t="s">
        <v>4343</v>
      </c>
      <c r="E526" s="67" t="s">
        <v>4344</v>
      </c>
      <c r="F526" s="67" t="s">
        <v>4336</v>
      </c>
      <c r="G526" s="67">
        <f t="shared" si="26"/>
        <v>1</v>
      </c>
      <c r="H526" s="67" t="str">
        <f t="shared" si="27"/>
        <v>000104刘建芳</v>
      </c>
      <c r="I526" s="67" t="str">
        <f t="shared" si="28"/>
        <v>0649</v>
      </c>
    </row>
    <row r="527" spans="1:9" x14ac:dyDescent="0.15">
      <c r="A527" s="67" t="s">
        <v>5158</v>
      </c>
      <c r="B527" s="67" t="s">
        <v>5159</v>
      </c>
      <c r="C527" s="67" t="s">
        <v>5160</v>
      </c>
      <c r="D527" s="67" t="s">
        <v>4882</v>
      </c>
      <c r="E527" s="67" t="s">
        <v>4883</v>
      </c>
      <c r="F527" s="67" t="s">
        <v>4336</v>
      </c>
      <c r="G527" s="67">
        <f t="shared" si="26"/>
        <v>1</v>
      </c>
      <c r="H527" s="67" t="str">
        <f t="shared" si="27"/>
        <v>000757临时工65</v>
      </c>
      <c r="I527" s="67" t="str">
        <f t="shared" si="28"/>
        <v>065</v>
      </c>
    </row>
    <row r="528" spans="1:9" x14ac:dyDescent="0.15">
      <c r="A528" s="67" t="s">
        <v>1411</v>
      </c>
      <c r="B528" s="67" t="s">
        <v>1412</v>
      </c>
      <c r="C528" s="67" t="s">
        <v>5161</v>
      </c>
      <c r="D528" s="67" t="s">
        <v>4343</v>
      </c>
      <c r="E528" s="67" t="s">
        <v>4344</v>
      </c>
      <c r="F528" s="67" t="s">
        <v>4336</v>
      </c>
      <c r="G528" s="67">
        <f t="shared" si="26"/>
        <v>1</v>
      </c>
      <c r="H528" s="67" t="str">
        <f t="shared" si="27"/>
        <v>000108时健</v>
      </c>
      <c r="I528" s="67" t="str">
        <f t="shared" si="28"/>
        <v>0650</v>
      </c>
    </row>
    <row r="529" spans="1:9" x14ac:dyDescent="0.15">
      <c r="A529" s="67" t="s">
        <v>1413</v>
      </c>
      <c r="B529" s="67" t="s">
        <v>1414</v>
      </c>
      <c r="C529" s="67" t="s">
        <v>5162</v>
      </c>
      <c r="D529" s="67" t="s">
        <v>4343</v>
      </c>
      <c r="E529" s="67" t="s">
        <v>4344</v>
      </c>
      <c r="F529" s="67" t="s">
        <v>4336</v>
      </c>
      <c r="G529" s="67">
        <f t="shared" si="26"/>
        <v>1</v>
      </c>
      <c r="H529" s="67" t="str">
        <f t="shared" si="27"/>
        <v>000105陆建忠</v>
      </c>
      <c r="I529" s="67" t="str">
        <f t="shared" si="28"/>
        <v>0651</v>
      </c>
    </row>
    <row r="530" spans="1:9" x14ac:dyDescent="0.15">
      <c r="A530" s="67" t="s">
        <v>1415</v>
      </c>
      <c r="B530" s="67" t="s">
        <v>1416</v>
      </c>
      <c r="C530" s="67" t="s">
        <v>5163</v>
      </c>
      <c r="D530" s="67" t="s">
        <v>4343</v>
      </c>
      <c r="E530" s="67" t="s">
        <v>5164</v>
      </c>
      <c r="F530" s="67" t="s">
        <v>4336</v>
      </c>
      <c r="G530" s="67">
        <f t="shared" si="26"/>
        <v>1</v>
      </c>
      <c r="H530" s="67" t="str">
        <f t="shared" si="27"/>
        <v>000107沈巍</v>
      </c>
      <c r="I530" s="67" t="str">
        <f t="shared" si="28"/>
        <v>0652</v>
      </c>
    </row>
    <row r="531" spans="1:9" x14ac:dyDescent="0.15">
      <c r="A531" s="67" t="s">
        <v>1417</v>
      </c>
      <c r="B531" s="67" t="s">
        <v>1418</v>
      </c>
      <c r="C531" s="67" t="s">
        <v>5165</v>
      </c>
      <c r="D531" s="67" t="s">
        <v>5166</v>
      </c>
      <c r="E531" s="67" t="s">
        <v>5167</v>
      </c>
      <c r="F531" s="67" t="s">
        <v>4336</v>
      </c>
      <c r="G531" s="67">
        <f t="shared" si="26"/>
        <v>2</v>
      </c>
      <c r="H531" s="67" t="str">
        <f t="shared" si="27"/>
        <v>000233陈珍珠</v>
      </c>
      <c r="I531" s="67" t="str">
        <f t="shared" si="28"/>
        <v>0653</v>
      </c>
    </row>
    <row r="532" spans="1:9" x14ac:dyDescent="0.15">
      <c r="A532" s="67" t="s">
        <v>1417</v>
      </c>
      <c r="B532" s="67" t="s">
        <v>1418</v>
      </c>
      <c r="C532" s="67" t="s">
        <v>5168</v>
      </c>
      <c r="D532" s="67" t="s">
        <v>5166</v>
      </c>
      <c r="E532" s="67" t="s">
        <v>5167</v>
      </c>
      <c r="F532" s="67" t="s">
        <v>4336</v>
      </c>
      <c r="G532" s="67">
        <f t="shared" si="26"/>
        <v>2</v>
      </c>
      <c r="H532" s="67" t="str">
        <f t="shared" si="27"/>
        <v>000424陈珍珠</v>
      </c>
      <c r="I532" s="67" t="str">
        <f t="shared" si="28"/>
        <v>0653</v>
      </c>
    </row>
    <row r="533" spans="1:9" x14ac:dyDescent="0.15">
      <c r="A533" s="67" t="s">
        <v>1419</v>
      </c>
      <c r="B533" s="67" t="s">
        <v>1420</v>
      </c>
      <c r="C533" s="67" t="s">
        <v>5169</v>
      </c>
      <c r="D533" s="67" t="s">
        <v>4338</v>
      </c>
      <c r="E533" s="67" t="s">
        <v>4339</v>
      </c>
      <c r="F533" s="67" t="s">
        <v>4336</v>
      </c>
      <c r="G533" s="67">
        <f t="shared" si="26"/>
        <v>1</v>
      </c>
      <c r="H533" s="67" t="str">
        <f t="shared" si="27"/>
        <v>000072文燕</v>
      </c>
      <c r="I533" s="67" t="str">
        <f t="shared" si="28"/>
        <v>0654</v>
      </c>
    </row>
    <row r="534" spans="1:9" x14ac:dyDescent="0.15">
      <c r="A534" s="67" t="s">
        <v>1421</v>
      </c>
      <c r="B534" s="67" t="s">
        <v>1422</v>
      </c>
      <c r="C534" s="67" t="s">
        <v>5170</v>
      </c>
      <c r="D534" s="67" t="s">
        <v>4343</v>
      </c>
      <c r="E534" s="67" t="s">
        <v>5171</v>
      </c>
      <c r="F534" s="67" t="s">
        <v>4336</v>
      </c>
      <c r="G534" s="67">
        <f t="shared" si="26"/>
        <v>1</v>
      </c>
      <c r="H534" s="67" t="str">
        <f t="shared" si="27"/>
        <v>000006徐嘉元</v>
      </c>
      <c r="I534" s="67" t="str">
        <f t="shared" si="28"/>
        <v>0655</v>
      </c>
    </row>
    <row r="535" spans="1:9" x14ac:dyDescent="0.15">
      <c r="A535" s="67" t="s">
        <v>1423</v>
      </c>
      <c r="B535" s="67" t="s">
        <v>1424</v>
      </c>
      <c r="C535" s="67" t="s">
        <v>5172</v>
      </c>
      <c r="D535" s="67" t="s">
        <v>4338</v>
      </c>
      <c r="E535" s="67" t="s">
        <v>4339</v>
      </c>
      <c r="F535" s="67" t="s">
        <v>4336</v>
      </c>
      <c r="G535" s="67">
        <f t="shared" si="26"/>
        <v>2</v>
      </c>
      <c r="H535" s="67" t="str">
        <f t="shared" si="27"/>
        <v>000050曹辉清</v>
      </c>
      <c r="I535" s="67" t="str">
        <f t="shared" si="28"/>
        <v>0656</v>
      </c>
    </row>
    <row r="536" spans="1:9" x14ac:dyDescent="0.15">
      <c r="A536" s="67" t="s">
        <v>1423</v>
      </c>
      <c r="B536" s="67" t="s">
        <v>1424</v>
      </c>
      <c r="C536" s="67" t="s">
        <v>5173</v>
      </c>
      <c r="D536" s="67" t="s">
        <v>4338</v>
      </c>
      <c r="E536" s="67" t="s">
        <v>4339</v>
      </c>
      <c r="F536" s="67" t="s">
        <v>4336</v>
      </c>
      <c r="G536" s="67">
        <f t="shared" si="26"/>
        <v>2</v>
      </c>
      <c r="H536" s="67" t="str">
        <f t="shared" si="27"/>
        <v>000869曹辉清</v>
      </c>
      <c r="I536" s="67" t="str">
        <f t="shared" si="28"/>
        <v>0656</v>
      </c>
    </row>
    <row r="537" spans="1:9" x14ac:dyDescent="0.15">
      <c r="A537" s="67" t="s">
        <v>1425</v>
      </c>
      <c r="B537" s="67" t="s">
        <v>1426</v>
      </c>
      <c r="C537" s="67" t="s">
        <v>5174</v>
      </c>
      <c r="D537" s="67" t="s">
        <v>4343</v>
      </c>
      <c r="E537" s="67" t="s">
        <v>5175</v>
      </c>
      <c r="F537" s="67" t="s">
        <v>4336</v>
      </c>
      <c r="G537" s="67">
        <f t="shared" si="26"/>
        <v>1</v>
      </c>
      <c r="H537" s="67" t="str">
        <f t="shared" si="27"/>
        <v>000215胡巍巍</v>
      </c>
      <c r="I537" s="67" t="str">
        <f t="shared" si="28"/>
        <v>0657</v>
      </c>
    </row>
    <row r="538" spans="1:9" x14ac:dyDescent="0.15">
      <c r="A538" s="67" t="s">
        <v>1427</v>
      </c>
      <c r="B538" s="67" t="s">
        <v>1428</v>
      </c>
      <c r="C538" s="67" t="s">
        <v>5176</v>
      </c>
      <c r="D538" s="67" t="s">
        <v>4343</v>
      </c>
      <c r="E538" s="67" t="s">
        <v>4344</v>
      </c>
      <c r="F538" s="67" t="s">
        <v>4336</v>
      </c>
      <c r="G538" s="67">
        <f t="shared" si="26"/>
        <v>1</v>
      </c>
      <c r="H538" s="67" t="str">
        <f t="shared" si="27"/>
        <v>000229詹士增</v>
      </c>
      <c r="I538" s="67" t="str">
        <f t="shared" si="28"/>
        <v>0658</v>
      </c>
    </row>
    <row r="539" spans="1:9" x14ac:dyDescent="0.15">
      <c r="A539" s="67" t="s">
        <v>1429</v>
      </c>
      <c r="B539" s="67" t="s">
        <v>1430</v>
      </c>
      <c r="C539" s="67" t="s">
        <v>5177</v>
      </c>
      <c r="D539" s="67" t="s">
        <v>4424</v>
      </c>
      <c r="E539" s="67" t="s">
        <v>4425</v>
      </c>
      <c r="F539" s="67" t="s">
        <v>4336</v>
      </c>
      <c r="G539" s="67">
        <f t="shared" si="26"/>
        <v>1</v>
      </c>
      <c r="H539" s="67" t="str">
        <f t="shared" si="27"/>
        <v>000426牛进文</v>
      </c>
      <c r="I539" s="67" t="str">
        <f t="shared" si="28"/>
        <v>0659</v>
      </c>
    </row>
    <row r="540" spans="1:9" x14ac:dyDescent="0.15">
      <c r="A540" s="67" t="s">
        <v>5178</v>
      </c>
      <c r="B540" s="67" t="s">
        <v>5179</v>
      </c>
      <c r="C540" s="67" t="s">
        <v>5180</v>
      </c>
      <c r="D540" s="67" t="s">
        <v>4882</v>
      </c>
      <c r="E540" s="67" t="s">
        <v>4883</v>
      </c>
      <c r="F540" s="67" t="s">
        <v>4336</v>
      </c>
      <c r="G540" s="67">
        <f t="shared" si="26"/>
        <v>1</v>
      </c>
      <c r="H540" s="67" t="str">
        <f t="shared" si="27"/>
        <v>000758临时工66</v>
      </c>
      <c r="I540" s="67" t="str">
        <f t="shared" si="28"/>
        <v>066</v>
      </c>
    </row>
    <row r="541" spans="1:9" x14ac:dyDescent="0.15">
      <c r="A541" s="67" t="s">
        <v>1431</v>
      </c>
      <c r="B541" s="67" t="s">
        <v>1432</v>
      </c>
      <c r="C541" s="67" t="s">
        <v>5181</v>
      </c>
      <c r="D541" s="67" t="s">
        <v>4343</v>
      </c>
      <c r="E541" s="67" t="s">
        <v>5182</v>
      </c>
      <c r="F541" s="67" t="s">
        <v>4336</v>
      </c>
      <c r="G541" s="67">
        <f t="shared" si="26"/>
        <v>1</v>
      </c>
      <c r="H541" s="67" t="str">
        <f t="shared" si="27"/>
        <v>000393翟世强</v>
      </c>
      <c r="I541" s="67" t="str">
        <f t="shared" si="28"/>
        <v>0660</v>
      </c>
    </row>
    <row r="542" spans="1:9" x14ac:dyDescent="0.15">
      <c r="A542" s="67" t="s">
        <v>1433</v>
      </c>
      <c r="B542" s="67" t="s">
        <v>1434</v>
      </c>
      <c r="C542" s="67" t="s">
        <v>5183</v>
      </c>
      <c r="D542" s="67" t="s">
        <v>4360</v>
      </c>
      <c r="E542" s="67" t="s">
        <v>4361</v>
      </c>
      <c r="F542" s="67" t="s">
        <v>4336</v>
      </c>
      <c r="G542" s="67">
        <f t="shared" si="26"/>
        <v>2</v>
      </c>
      <c r="H542" s="67" t="str">
        <f t="shared" si="27"/>
        <v>000449李一宸</v>
      </c>
      <c r="I542" s="67" t="str">
        <f t="shared" si="28"/>
        <v>0661</v>
      </c>
    </row>
    <row r="543" spans="1:9" x14ac:dyDescent="0.15">
      <c r="A543" s="67" t="s">
        <v>1433</v>
      </c>
      <c r="B543" s="67" t="s">
        <v>1434</v>
      </c>
      <c r="C543" s="67" t="s">
        <v>5184</v>
      </c>
      <c r="D543" s="67" t="s">
        <v>4360</v>
      </c>
      <c r="E543" s="67" t="s">
        <v>4361</v>
      </c>
      <c r="F543" s="67" t="s">
        <v>4336</v>
      </c>
      <c r="G543" s="67">
        <f t="shared" si="26"/>
        <v>2</v>
      </c>
      <c r="H543" s="67" t="str">
        <f t="shared" si="27"/>
        <v>000563李一宸</v>
      </c>
      <c r="I543" s="67" t="str">
        <f t="shared" si="28"/>
        <v>0661</v>
      </c>
    </row>
    <row r="544" spans="1:9" x14ac:dyDescent="0.15">
      <c r="A544" s="67" t="s">
        <v>1435</v>
      </c>
      <c r="B544" s="67" t="s">
        <v>1436</v>
      </c>
      <c r="C544" s="67" t="s">
        <v>5185</v>
      </c>
      <c r="D544" s="67" t="s">
        <v>4360</v>
      </c>
      <c r="E544" s="67" t="s">
        <v>5186</v>
      </c>
      <c r="F544" s="67" t="s">
        <v>4336</v>
      </c>
      <c r="G544" s="67">
        <f t="shared" si="26"/>
        <v>1</v>
      </c>
      <c r="H544" s="67" t="str">
        <f t="shared" si="27"/>
        <v>000450陆剑皓</v>
      </c>
      <c r="I544" s="67" t="str">
        <f t="shared" si="28"/>
        <v>0662</v>
      </c>
    </row>
    <row r="545" spans="1:9" x14ac:dyDescent="0.15">
      <c r="A545" s="67" t="s">
        <v>1437</v>
      </c>
      <c r="B545" s="67" t="s">
        <v>1438</v>
      </c>
      <c r="C545" s="67" t="s">
        <v>5187</v>
      </c>
      <c r="D545" s="67" t="s">
        <v>4360</v>
      </c>
      <c r="E545" s="67" t="s">
        <v>4361</v>
      </c>
      <c r="F545" s="67" t="s">
        <v>4336</v>
      </c>
      <c r="G545" s="67">
        <f t="shared" si="26"/>
        <v>2</v>
      </c>
      <c r="H545" s="67" t="str">
        <f t="shared" si="27"/>
        <v>000448周艳华</v>
      </c>
      <c r="I545" s="67" t="str">
        <f t="shared" si="28"/>
        <v>0663</v>
      </c>
    </row>
    <row r="546" spans="1:9" x14ac:dyDescent="0.15">
      <c r="A546" s="67" t="s">
        <v>1437</v>
      </c>
      <c r="B546" s="67" t="s">
        <v>1438</v>
      </c>
      <c r="C546" s="67" t="s">
        <v>5188</v>
      </c>
      <c r="D546" s="67" t="s">
        <v>4360</v>
      </c>
      <c r="E546" s="67" t="s">
        <v>4361</v>
      </c>
      <c r="F546" s="67" t="s">
        <v>4336</v>
      </c>
      <c r="G546" s="67">
        <f t="shared" si="26"/>
        <v>2</v>
      </c>
      <c r="H546" s="67" t="str">
        <f t="shared" si="27"/>
        <v>000830周艳华</v>
      </c>
      <c r="I546" s="67" t="str">
        <f t="shared" si="28"/>
        <v>0663</v>
      </c>
    </row>
    <row r="547" spans="1:9" x14ac:dyDescent="0.15">
      <c r="A547" s="67" t="s">
        <v>1439</v>
      </c>
      <c r="B547" s="67" t="s">
        <v>1440</v>
      </c>
      <c r="C547" s="67" t="s">
        <v>5189</v>
      </c>
      <c r="D547" s="67" t="s">
        <v>4338</v>
      </c>
      <c r="E547" s="67" t="s">
        <v>4339</v>
      </c>
      <c r="F547" s="67" t="s">
        <v>4336</v>
      </c>
      <c r="G547" s="67">
        <f t="shared" si="26"/>
        <v>2</v>
      </c>
      <c r="H547" s="67" t="str">
        <f t="shared" si="27"/>
        <v>000776方港</v>
      </c>
      <c r="I547" s="67" t="str">
        <f t="shared" si="28"/>
        <v>0664</v>
      </c>
    </row>
    <row r="548" spans="1:9" x14ac:dyDescent="0.15">
      <c r="A548" s="67" t="s">
        <v>1439</v>
      </c>
      <c r="B548" s="67" t="s">
        <v>1440</v>
      </c>
      <c r="C548" s="67" t="s">
        <v>5190</v>
      </c>
      <c r="D548" s="67" t="s">
        <v>4338</v>
      </c>
      <c r="E548" s="67" t="s">
        <v>4339</v>
      </c>
      <c r="F548" s="67" t="s">
        <v>4336</v>
      </c>
      <c r="G548" s="67">
        <f t="shared" si="26"/>
        <v>2</v>
      </c>
      <c r="H548" s="67" t="str">
        <f t="shared" si="27"/>
        <v>000402方港</v>
      </c>
      <c r="I548" s="67" t="str">
        <f t="shared" si="28"/>
        <v>0664</v>
      </c>
    </row>
    <row r="549" spans="1:9" x14ac:dyDescent="0.15">
      <c r="A549" s="67" t="s">
        <v>1441</v>
      </c>
      <c r="B549" s="67" t="s">
        <v>1442</v>
      </c>
      <c r="C549" s="67" t="s">
        <v>5191</v>
      </c>
      <c r="D549" s="67" t="s">
        <v>4338</v>
      </c>
      <c r="E549" s="67" t="s">
        <v>4339</v>
      </c>
      <c r="F549" s="67" t="s">
        <v>4336</v>
      </c>
      <c r="G549" s="67">
        <f t="shared" si="26"/>
        <v>2</v>
      </c>
      <c r="H549" s="67" t="str">
        <f t="shared" si="27"/>
        <v>000400刘路遥</v>
      </c>
      <c r="I549" s="67" t="str">
        <f t="shared" si="28"/>
        <v>0665</v>
      </c>
    </row>
    <row r="550" spans="1:9" x14ac:dyDescent="0.15">
      <c r="A550" s="67" t="s">
        <v>1441</v>
      </c>
      <c r="B550" s="67" t="s">
        <v>1442</v>
      </c>
      <c r="C550" s="67" t="s">
        <v>5192</v>
      </c>
      <c r="D550" s="67" t="s">
        <v>4338</v>
      </c>
      <c r="E550" s="67" t="s">
        <v>4339</v>
      </c>
      <c r="F550" s="67" t="s">
        <v>4336</v>
      </c>
      <c r="G550" s="67">
        <f t="shared" si="26"/>
        <v>2</v>
      </c>
      <c r="H550" s="67" t="str">
        <f t="shared" si="27"/>
        <v>000769刘路遥</v>
      </c>
      <c r="I550" s="67" t="str">
        <f t="shared" si="28"/>
        <v>0665</v>
      </c>
    </row>
    <row r="551" spans="1:9" x14ac:dyDescent="0.15">
      <c r="A551" s="67" t="s">
        <v>1445</v>
      </c>
      <c r="B551" s="67" t="s">
        <v>1446</v>
      </c>
      <c r="C551" s="67" t="s">
        <v>5193</v>
      </c>
      <c r="D551" s="67" t="s">
        <v>4338</v>
      </c>
      <c r="E551" s="67" t="s">
        <v>4339</v>
      </c>
      <c r="F551" s="67" t="s">
        <v>4336</v>
      </c>
      <c r="G551" s="67">
        <f t="shared" si="26"/>
        <v>1</v>
      </c>
      <c r="H551" s="67" t="str">
        <f t="shared" si="27"/>
        <v>000401张高举</v>
      </c>
      <c r="I551" s="67" t="str">
        <f t="shared" si="28"/>
        <v>0667</v>
      </c>
    </row>
    <row r="552" spans="1:9" x14ac:dyDescent="0.15">
      <c r="A552" s="67" t="s">
        <v>1447</v>
      </c>
      <c r="B552" s="67" t="s">
        <v>1448</v>
      </c>
      <c r="C552" s="67" t="s">
        <v>5194</v>
      </c>
      <c r="D552" s="67" t="s">
        <v>4338</v>
      </c>
      <c r="E552" s="67" t="s">
        <v>5195</v>
      </c>
      <c r="F552" s="67" t="s">
        <v>4336</v>
      </c>
      <c r="G552" s="67">
        <f t="shared" si="26"/>
        <v>1</v>
      </c>
      <c r="H552" s="67" t="str">
        <f t="shared" si="27"/>
        <v>000399蔡凤军</v>
      </c>
      <c r="I552" s="67" t="str">
        <f t="shared" si="28"/>
        <v>0668</v>
      </c>
    </row>
    <row r="553" spans="1:9" x14ac:dyDescent="0.15">
      <c r="A553" s="67" t="s">
        <v>1449</v>
      </c>
      <c r="B553" s="67" t="s">
        <v>1450</v>
      </c>
      <c r="C553" s="67" t="s">
        <v>5196</v>
      </c>
      <c r="D553" s="67" t="s">
        <v>4338</v>
      </c>
      <c r="E553" s="67" t="s">
        <v>4339</v>
      </c>
      <c r="F553" s="67" t="s">
        <v>4336</v>
      </c>
      <c r="G553" s="67">
        <f t="shared" si="26"/>
        <v>1</v>
      </c>
      <c r="H553" s="67" t="str">
        <f t="shared" si="27"/>
        <v>000398何小琼</v>
      </c>
      <c r="I553" s="67" t="str">
        <f t="shared" si="28"/>
        <v>0669</v>
      </c>
    </row>
    <row r="554" spans="1:9" x14ac:dyDescent="0.15">
      <c r="A554" s="67" t="s">
        <v>5197</v>
      </c>
      <c r="B554" s="67" t="s">
        <v>5198</v>
      </c>
      <c r="C554" s="67" t="s">
        <v>5199</v>
      </c>
      <c r="D554" s="67" t="s">
        <v>4882</v>
      </c>
      <c r="E554" s="67" t="s">
        <v>4883</v>
      </c>
      <c r="F554" s="67" t="s">
        <v>4336</v>
      </c>
      <c r="G554" s="67">
        <f t="shared" si="26"/>
        <v>1</v>
      </c>
      <c r="H554" s="67" t="str">
        <f t="shared" si="27"/>
        <v>000759临时工67</v>
      </c>
      <c r="I554" s="67" t="str">
        <f t="shared" si="28"/>
        <v>067</v>
      </c>
    </row>
    <row r="555" spans="1:9" x14ac:dyDescent="0.15">
      <c r="A555" s="67" t="s">
        <v>1451</v>
      </c>
      <c r="B555" s="67" t="s">
        <v>1452</v>
      </c>
      <c r="C555" s="67" t="s">
        <v>5200</v>
      </c>
      <c r="D555" s="67" t="s">
        <v>4338</v>
      </c>
      <c r="E555" s="67" t="s">
        <v>5201</v>
      </c>
      <c r="F555" s="67" t="s">
        <v>4336</v>
      </c>
      <c r="G555" s="67">
        <f t="shared" si="26"/>
        <v>1</v>
      </c>
      <c r="H555" s="67" t="str">
        <f t="shared" si="27"/>
        <v>000397贺毅飞</v>
      </c>
      <c r="I555" s="67" t="str">
        <f t="shared" si="28"/>
        <v>0670</v>
      </c>
    </row>
    <row r="556" spans="1:9" x14ac:dyDescent="0.15">
      <c r="A556" s="67" t="s">
        <v>1453</v>
      </c>
      <c r="B556" s="67" t="s">
        <v>1454</v>
      </c>
      <c r="C556" s="67" t="s">
        <v>5202</v>
      </c>
      <c r="D556" s="67" t="s">
        <v>4553</v>
      </c>
      <c r="E556" s="67" t="s">
        <v>4633</v>
      </c>
      <c r="F556" s="67" t="s">
        <v>4336</v>
      </c>
      <c r="G556" s="67">
        <f t="shared" si="26"/>
        <v>2</v>
      </c>
      <c r="H556" s="67" t="str">
        <f t="shared" si="27"/>
        <v>000428张琼华</v>
      </c>
      <c r="I556" s="67" t="str">
        <f t="shared" si="28"/>
        <v>0671</v>
      </c>
    </row>
    <row r="557" spans="1:9" x14ac:dyDescent="0.15">
      <c r="A557" s="67" t="s">
        <v>1453</v>
      </c>
      <c r="B557" s="67" t="s">
        <v>1454</v>
      </c>
      <c r="C557" s="67" t="s">
        <v>5203</v>
      </c>
      <c r="D557" s="67" t="s">
        <v>4553</v>
      </c>
      <c r="E557" s="67" t="s">
        <v>4633</v>
      </c>
      <c r="F557" s="67" t="s">
        <v>4336</v>
      </c>
      <c r="G557" s="67">
        <f t="shared" si="26"/>
        <v>2</v>
      </c>
      <c r="H557" s="67" t="str">
        <f t="shared" si="27"/>
        <v>000467张琼华</v>
      </c>
      <c r="I557" s="67" t="str">
        <f t="shared" si="28"/>
        <v>0671</v>
      </c>
    </row>
    <row r="558" spans="1:9" x14ac:dyDescent="0.15">
      <c r="A558" s="67" t="s">
        <v>1455</v>
      </c>
      <c r="B558" s="67" t="s">
        <v>1456</v>
      </c>
      <c r="C558" s="67" t="s">
        <v>5204</v>
      </c>
      <c r="D558" s="67" t="s">
        <v>4525</v>
      </c>
      <c r="E558" s="67" t="s">
        <v>5205</v>
      </c>
      <c r="F558" s="67" t="s">
        <v>4336</v>
      </c>
      <c r="G558" s="67">
        <f t="shared" si="26"/>
        <v>1</v>
      </c>
      <c r="H558" s="67" t="str">
        <f t="shared" si="27"/>
        <v>000508胡东升</v>
      </c>
      <c r="I558" s="67" t="str">
        <f t="shared" si="28"/>
        <v>0672</v>
      </c>
    </row>
    <row r="559" spans="1:9" x14ac:dyDescent="0.15">
      <c r="A559" s="67" t="s">
        <v>1457</v>
      </c>
      <c r="B559" s="67" t="s">
        <v>1458</v>
      </c>
      <c r="C559" s="67" t="s">
        <v>5206</v>
      </c>
      <c r="D559" s="67" t="s">
        <v>4338</v>
      </c>
      <c r="E559" s="67" t="s">
        <v>5207</v>
      </c>
      <c r="F559" s="67" t="s">
        <v>4336</v>
      </c>
      <c r="G559" s="67">
        <f t="shared" si="26"/>
        <v>1</v>
      </c>
      <c r="H559" s="67" t="str">
        <f t="shared" si="27"/>
        <v>000408杨静</v>
      </c>
      <c r="I559" s="67" t="str">
        <f t="shared" si="28"/>
        <v>0673</v>
      </c>
    </row>
    <row r="560" spans="1:9" x14ac:dyDescent="0.15">
      <c r="A560" s="67" t="s">
        <v>1459</v>
      </c>
      <c r="B560" s="67" t="s">
        <v>1460</v>
      </c>
      <c r="C560" s="67" t="s">
        <v>5208</v>
      </c>
      <c r="D560" s="67" t="s">
        <v>4338</v>
      </c>
      <c r="E560" s="67" t="s">
        <v>4339</v>
      </c>
      <c r="F560" s="67" t="s">
        <v>4336</v>
      </c>
      <c r="G560" s="67">
        <f t="shared" si="26"/>
        <v>1</v>
      </c>
      <c r="H560" s="67" t="str">
        <f t="shared" si="27"/>
        <v>000419陈治国</v>
      </c>
      <c r="I560" s="67" t="str">
        <f t="shared" si="28"/>
        <v>0674</v>
      </c>
    </row>
    <row r="561" spans="1:9" x14ac:dyDescent="0.15">
      <c r="A561" s="67" t="s">
        <v>1461</v>
      </c>
      <c r="B561" s="67" t="s">
        <v>1462</v>
      </c>
      <c r="C561" s="67" t="s">
        <v>5209</v>
      </c>
      <c r="D561" s="67" t="s">
        <v>4525</v>
      </c>
      <c r="E561" s="67" t="s">
        <v>5210</v>
      </c>
      <c r="F561" s="67" t="s">
        <v>4336</v>
      </c>
      <c r="G561" s="67">
        <f t="shared" si="26"/>
        <v>2</v>
      </c>
      <c r="H561" s="67" t="str">
        <f t="shared" si="27"/>
        <v>000510张红伟</v>
      </c>
      <c r="I561" s="67" t="str">
        <f t="shared" si="28"/>
        <v>0675</v>
      </c>
    </row>
    <row r="562" spans="1:9" x14ac:dyDescent="0.15">
      <c r="A562" s="67" t="s">
        <v>1461</v>
      </c>
      <c r="B562" s="67" t="s">
        <v>1462</v>
      </c>
      <c r="C562" s="67" t="s">
        <v>5211</v>
      </c>
      <c r="D562" s="67" t="s">
        <v>4783</v>
      </c>
      <c r="E562" s="67" t="s">
        <v>4784</v>
      </c>
      <c r="F562" s="67" t="s">
        <v>4336</v>
      </c>
      <c r="G562" s="67">
        <f t="shared" si="26"/>
        <v>2</v>
      </c>
      <c r="H562" s="67" t="str">
        <f t="shared" si="27"/>
        <v>000667张红伟</v>
      </c>
      <c r="I562" s="67" t="str">
        <f t="shared" si="28"/>
        <v>0675</v>
      </c>
    </row>
    <row r="563" spans="1:9" x14ac:dyDescent="0.15">
      <c r="A563" s="67" t="s">
        <v>1463</v>
      </c>
      <c r="B563" s="67" t="s">
        <v>1464</v>
      </c>
      <c r="C563" s="67" t="s">
        <v>5212</v>
      </c>
      <c r="D563" s="67" t="s">
        <v>4338</v>
      </c>
      <c r="E563" s="67" t="s">
        <v>4339</v>
      </c>
      <c r="F563" s="67" t="s">
        <v>4336</v>
      </c>
      <c r="G563" s="67">
        <f t="shared" si="26"/>
        <v>1</v>
      </c>
      <c r="H563" s="67" t="str">
        <f t="shared" si="27"/>
        <v>000415何双霞</v>
      </c>
      <c r="I563" s="67" t="str">
        <f t="shared" si="28"/>
        <v>0676</v>
      </c>
    </row>
    <row r="564" spans="1:9" x14ac:dyDescent="0.15">
      <c r="A564" s="67" t="s">
        <v>1465</v>
      </c>
      <c r="B564" s="67" t="s">
        <v>1466</v>
      </c>
      <c r="C564" s="67" t="s">
        <v>5213</v>
      </c>
      <c r="D564" s="67" t="s">
        <v>4338</v>
      </c>
      <c r="E564" s="67" t="s">
        <v>4339</v>
      </c>
      <c r="F564" s="67" t="s">
        <v>4336</v>
      </c>
      <c r="G564" s="67">
        <f t="shared" si="26"/>
        <v>1</v>
      </c>
      <c r="H564" s="67" t="str">
        <f t="shared" si="27"/>
        <v>000412孙红霞</v>
      </c>
      <c r="I564" s="67" t="str">
        <f t="shared" si="28"/>
        <v>0677</v>
      </c>
    </row>
    <row r="565" spans="1:9" x14ac:dyDescent="0.15">
      <c r="A565" s="67" t="s">
        <v>1467</v>
      </c>
      <c r="B565" s="67" t="s">
        <v>1468</v>
      </c>
      <c r="C565" s="67" t="s">
        <v>5214</v>
      </c>
      <c r="D565" s="67" t="s">
        <v>4338</v>
      </c>
      <c r="E565" s="67" t="s">
        <v>5215</v>
      </c>
      <c r="F565" s="67" t="s">
        <v>4336</v>
      </c>
      <c r="G565" s="67">
        <f t="shared" si="26"/>
        <v>1</v>
      </c>
      <c r="H565" s="67" t="str">
        <f t="shared" si="27"/>
        <v>000420蔡国飞</v>
      </c>
      <c r="I565" s="67" t="str">
        <f t="shared" si="28"/>
        <v>0678</v>
      </c>
    </row>
    <row r="566" spans="1:9" x14ac:dyDescent="0.15">
      <c r="A566" s="67" t="s">
        <v>1469</v>
      </c>
      <c r="B566" s="67" t="s">
        <v>1470</v>
      </c>
      <c r="C566" s="67" t="s">
        <v>5216</v>
      </c>
      <c r="D566" s="67" t="s">
        <v>4338</v>
      </c>
      <c r="E566" s="67" t="s">
        <v>4339</v>
      </c>
      <c r="F566" s="67" t="s">
        <v>4336</v>
      </c>
      <c r="G566" s="67">
        <f t="shared" si="26"/>
        <v>1</v>
      </c>
      <c r="H566" s="67" t="str">
        <f t="shared" si="27"/>
        <v>000418段先凯</v>
      </c>
      <c r="I566" s="67" t="str">
        <f t="shared" si="28"/>
        <v>0679</v>
      </c>
    </row>
    <row r="567" spans="1:9" x14ac:dyDescent="0.15">
      <c r="A567" s="67" t="s">
        <v>5217</v>
      </c>
      <c r="B567" s="67" t="s">
        <v>5218</v>
      </c>
      <c r="C567" s="67" t="s">
        <v>5219</v>
      </c>
      <c r="D567" s="67" t="s">
        <v>5220</v>
      </c>
      <c r="E567" s="67" t="s">
        <v>5221</v>
      </c>
      <c r="F567" s="67" t="s">
        <v>4336</v>
      </c>
      <c r="G567" s="67">
        <f t="shared" si="26"/>
        <v>1</v>
      </c>
      <c r="H567" s="67" t="str">
        <f t="shared" si="27"/>
        <v>000796临时工68</v>
      </c>
      <c r="I567" s="67" t="str">
        <f t="shared" si="28"/>
        <v>068</v>
      </c>
    </row>
    <row r="568" spans="1:9" x14ac:dyDescent="0.15">
      <c r="A568" s="67" t="s">
        <v>1471</v>
      </c>
      <c r="B568" s="67" t="s">
        <v>1472</v>
      </c>
      <c r="C568" s="67" t="s">
        <v>5222</v>
      </c>
      <c r="D568" s="67" t="s">
        <v>4338</v>
      </c>
      <c r="E568" s="67" t="s">
        <v>4339</v>
      </c>
      <c r="F568" s="67" t="s">
        <v>4336</v>
      </c>
      <c r="G568" s="67">
        <f t="shared" si="26"/>
        <v>1</v>
      </c>
      <c r="H568" s="67" t="str">
        <f t="shared" si="27"/>
        <v>000413刘庆飞</v>
      </c>
      <c r="I568" s="67" t="str">
        <f t="shared" si="28"/>
        <v>0680</v>
      </c>
    </row>
    <row r="569" spans="1:9" x14ac:dyDescent="0.15">
      <c r="A569" s="67" t="s">
        <v>1473</v>
      </c>
      <c r="B569" s="67" t="s">
        <v>1474</v>
      </c>
      <c r="C569" s="67" t="s">
        <v>5223</v>
      </c>
      <c r="D569" s="67" t="s">
        <v>4338</v>
      </c>
      <c r="E569" s="67" t="s">
        <v>4339</v>
      </c>
      <c r="F569" s="67" t="s">
        <v>4336</v>
      </c>
      <c r="G569" s="67">
        <f t="shared" si="26"/>
        <v>1</v>
      </c>
      <c r="H569" s="67" t="str">
        <f t="shared" si="27"/>
        <v>000410张站松</v>
      </c>
      <c r="I569" s="67" t="str">
        <f t="shared" si="28"/>
        <v>0681</v>
      </c>
    </row>
    <row r="570" spans="1:9" x14ac:dyDescent="0.15">
      <c r="A570" s="67" t="s">
        <v>1475</v>
      </c>
      <c r="B570" s="67" t="s">
        <v>1476</v>
      </c>
      <c r="C570" s="67" t="s">
        <v>5224</v>
      </c>
      <c r="D570" s="67" t="s">
        <v>4338</v>
      </c>
      <c r="E570" s="67" t="s">
        <v>5225</v>
      </c>
      <c r="F570" s="67" t="s">
        <v>4336</v>
      </c>
      <c r="G570" s="67">
        <f t="shared" si="26"/>
        <v>1</v>
      </c>
      <c r="H570" s="67" t="str">
        <f t="shared" si="27"/>
        <v>000404杨利洋</v>
      </c>
      <c r="I570" s="67" t="str">
        <f t="shared" si="28"/>
        <v>0682</v>
      </c>
    </row>
    <row r="571" spans="1:9" x14ac:dyDescent="0.15">
      <c r="A571" s="67" t="s">
        <v>1477</v>
      </c>
      <c r="B571" s="67" t="s">
        <v>1478</v>
      </c>
      <c r="C571" s="67" t="s">
        <v>5226</v>
      </c>
      <c r="D571" s="67" t="s">
        <v>4338</v>
      </c>
      <c r="E571" s="67" t="s">
        <v>5227</v>
      </c>
      <c r="F571" s="67" t="s">
        <v>4336</v>
      </c>
      <c r="G571" s="67">
        <f t="shared" si="26"/>
        <v>1</v>
      </c>
      <c r="H571" s="67" t="str">
        <f t="shared" si="27"/>
        <v>000409朱志豪</v>
      </c>
      <c r="I571" s="67" t="str">
        <f t="shared" si="28"/>
        <v>0683</v>
      </c>
    </row>
    <row r="572" spans="1:9" x14ac:dyDescent="0.15">
      <c r="A572" s="67" t="s">
        <v>1479</v>
      </c>
      <c r="B572" s="67" t="s">
        <v>1480</v>
      </c>
      <c r="C572" s="67" t="s">
        <v>5228</v>
      </c>
      <c r="D572" s="67" t="s">
        <v>4338</v>
      </c>
      <c r="E572" s="67" t="s">
        <v>5229</v>
      </c>
      <c r="F572" s="67" t="s">
        <v>4336</v>
      </c>
      <c r="G572" s="67">
        <f t="shared" si="26"/>
        <v>1</v>
      </c>
      <c r="H572" s="67" t="str">
        <f t="shared" si="27"/>
        <v>000406王贵成</v>
      </c>
      <c r="I572" s="67" t="str">
        <f t="shared" si="28"/>
        <v>0684</v>
      </c>
    </row>
    <row r="573" spans="1:9" x14ac:dyDescent="0.15">
      <c r="A573" s="67" t="s">
        <v>1481</v>
      </c>
      <c r="B573" s="67" t="s">
        <v>1482</v>
      </c>
      <c r="C573" s="67" t="s">
        <v>5230</v>
      </c>
      <c r="D573" s="67" t="s">
        <v>4338</v>
      </c>
      <c r="E573" s="67" t="s">
        <v>4339</v>
      </c>
      <c r="F573" s="67" t="s">
        <v>4336</v>
      </c>
      <c r="G573" s="67">
        <f t="shared" si="26"/>
        <v>1</v>
      </c>
      <c r="H573" s="67" t="str">
        <f t="shared" si="27"/>
        <v>000411刘莲</v>
      </c>
      <c r="I573" s="67" t="str">
        <f t="shared" si="28"/>
        <v>0685</v>
      </c>
    </row>
    <row r="574" spans="1:9" x14ac:dyDescent="0.15">
      <c r="A574" s="67" t="s">
        <v>1483</v>
      </c>
      <c r="B574" s="67" t="s">
        <v>1484</v>
      </c>
      <c r="C574" s="67" t="s">
        <v>5231</v>
      </c>
      <c r="D574" s="67" t="s">
        <v>4343</v>
      </c>
      <c r="E574" s="67" t="s">
        <v>5232</v>
      </c>
      <c r="F574" s="67" t="s">
        <v>4336</v>
      </c>
      <c r="G574" s="67">
        <f t="shared" si="26"/>
        <v>1</v>
      </c>
      <c r="H574" s="67" t="str">
        <f t="shared" si="27"/>
        <v>000396雷勇</v>
      </c>
      <c r="I574" s="67" t="str">
        <f t="shared" si="28"/>
        <v>0686</v>
      </c>
    </row>
    <row r="575" spans="1:9" x14ac:dyDescent="0.15">
      <c r="A575" s="67" t="s">
        <v>1485</v>
      </c>
      <c r="B575" s="67" t="s">
        <v>1486</v>
      </c>
      <c r="C575" s="67" t="s">
        <v>5233</v>
      </c>
      <c r="D575" s="67" t="s">
        <v>4343</v>
      </c>
      <c r="E575" s="67" t="s">
        <v>4344</v>
      </c>
      <c r="F575" s="67" t="s">
        <v>4336</v>
      </c>
      <c r="G575" s="67">
        <f t="shared" si="26"/>
        <v>1</v>
      </c>
      <c r="H575" s="67" t="str">
        <f t="shared" si="27"/>
        <v>000395王冬冬</v>
      </c>
      <c r="I575" s="67" t="str">
        <f t="shared" si="28"/>
        <v>0687</v>
      </c>
    </row>
    <row r="576" spans="1:9" x14ac:dyDescent="0.15">
      <c r="A576" s="67" t="s">
        <v>1487</v>
      </c>
      <c r="B576" s="67" t="s">
        <v>1488</v>
      </c>
      <c r="C576" s="67" t="s">
        <v>5234</v>
      </c>
      <c r="D576" s="67" t="s">
        <v>4338</v>
      </c>
      <c r="E576" s="67" t="s">
        <v>5235</v>
      </c>
      <c r="F576" s="67" t="s">
        <v>4336</v>
      </c>
      <c r="G576" s="67">
        <f t="shared" si="26"/>
        <v>1</v>
      </c>
      <c r="H576" s="67" t="str">
        <f t="shared" si="27"/>
        <v>000421曹猛</v>
      </c>
      <c r="I576" s="67" t="str">
        <f t="shared" si="28"/>
        <v>0688</v>
      </c>
    </row>
    <row r="577" spans="1:9" x14ac:dyDescent="0.15">
      <c r="A577" s="67" t="s">
        <v>1489</v>
      </c>
      <c r="B577" s="67" t="s">
        <v>1490</v>
      </c>
      <c r="C577" s="67" t="s">
        <v>5236</v>
      </c>
      <c r="D577" s="67" t="s">
        <v>4338</v>
      </c>
      <c r="E577" s="67" t="s">
        <v>4339</v>
      </c>
      <c r="F577" s="67" t="s">
        <v>4336</v>
      </c>
      <c r="G577" s="67">
        <f t="shared" si="26"/>
        <v>1</v>
      </c>
      <c r="H577" s="67" t="str">
        <f t="shared" si="27"/>
        <v>000417付世冰</v>
      </c>
      <c r="I577" s="67" t="str">
        <f t="shared" si="28"/>
        <v>0689</v>
      </c>
    </row>
    <row r="578" spans="1:9" x14ac:dyDescent="0.15">
      <c r="A578" s="67" t="s">
        <v>5237</v>
      </c>
      <c r="B578" s="67" t="s">
        <v>5238</v>
      </c>
      <c r="C578" s="67" t="s">
        <v>5239</v>
      </c>
      <c r="D578" s="67" t="s">
        <v>5220</v>
      </c>
      <c r="E578" s="67" t="s">
        <v>5221</v>
      </c>
      <c r="F578" s="67" t="s">
        <v>4336</v>
      </c>
      <c r="G578" s="67">
        <f t="shared" si="26"/>
        <v>1</v>
      </c>
      <c r="H578" s="67" t="str">
        <f t="shared" si="27"/>
        <v>000795临时工69</v>
      </c>
      <c r="I578" s="67" t="str">
        <f t="shared" si="28"/>
        <v>069</v>
      </c>
    </row>
    <row r="579" spans="1:9" x14ac:dyDescent="0.15">
      <c r="A579" s="67" t="s">
        <v>1491</v>
      </c>
      <c r="B579" s="67" t="s">
        <v>1492</v>
      </c>
      <c r="C579" s="67" t="s">
        <v>5240</v>
      </c>
      <c r="D579" s="67" t="s">
        <v>4338</v>
      </c>
      <c r="E579" s="67" t="s">
        <v>5241</v>
      </c>
      <c r="F579" s="67" t="s">
        <v>4336</v>
      </c>
      <c r="G579" s="67">
        <f t="shared" ref="G579:G642" si="29">COUNTIFS(B:B,B579)</f>
        <v>1</v>
      </c>
      <c r="H579" s="67" t="str">
        <f t="shared" ref="H579:H642" si="30">C579&amp;B579</f>
        <v>000405杨科</v>
      </c>
      <c r="I579" s="67" t="str">
        <f t="shared" ref="I579:I642" si="31">A579</f>
        <v>0690</v>
      </c>
    </row>
    <row r="580" spans="1:9" x14ac:dyDescent="0.15">
      <c r="A580" s="67" t="s">
        <v>1493</v>
      </c>
      <c r="B580" s="67" t="s">
        <v>1494</v>
      </c>
      <c r="C580" s="67" t="s">
        <v>5242</v>
      </c>
      <c r="D580" s="67" t="s">
        <v>4343</v>
      </c>
      <c r="E580" s="67" t="s">
        <v>4344</v>
      </c>
      <c r="F580" s="67" t="s">
        <v>4336</v>
      </c>
      <c r="G580" s="67">
        <f t="shared" si="29"/>
        <v>1</v>
      </c>
      <c r="H580" s="67" t="str">
        <f t="shared" si="30"/>
        <v>000388黄士章</v>
      </c>
      <c r="I580" s="67" t="str">
        <f t="shared" si="31"/>
        <v>0691</v>
      </c>
    </row>
    <row r="581" spans="1:9" x14ac:dyDescent="0.15">
      <c r="A581" s="67" t="s">
        <v>1495</v>
      </c>
      <c r="B581" s="67" t="s">
        <v>1496</v>
      </c>
      <c r="C581" s="67" t="s">
        <v>5243</v>
      </c>
      <c r="D581" s="67" t="s">
        <v>4338</v>
      </c>
      <c r="E581" s="67" t="s">
        <v>4339</v>
      </c>
      <c r="F581" s="67" t="s">
        <v>4336</v>
      </c>
      <c r="G581" s="67">
        <f t="shared" si="29"/>
        <v>1</v>
      </c>
      <c r="H581" s="67" t="str">
        <f t="shared" si="30"/>
        <v>000407李顺</v>
      </c>
      <c r="I581" s="67" t="str">
        <f t="shared" si="31"/>
        <v>0692</v>
      </c>
    </row>
    <row r="582" spans="1:9" x14ac:dyDescent="0.15">
      <c r="A582" s="67" t="s">
        <v>1497</v>
      </c>
      <c r="B582" s="67" t="s">
        <v>1498</v>
      </c>
      <c r="C582" s="67" t="s">
        <v>5244</v>
      </c>
      <c r="D582" s="67" t="s">
        <v>4338</v>
      </c>
      <c r="E582" s="67" t="s">
        <v>5245</v>
      </c>
      <c r="F582" s="67" t="s">
        <v>4336</v>
      </c>
      <c r="G582" s="67">
        <f t="shared" si="29"/>
        <v>2</v>
      </c>
      <c r="H582" s="67" t="str">
        <f t="shared" si="30"/>
        <v>000403岳克精</v>
      </c>
      <c r="I582" s="67" t="str">
        <f t="shared" si="31"/>
        <v>0693</v>
      </c>
    </row>
    <row r="583" spans="1:9" x14ac:dyDescent="0.15">
      <c r="A583" s="67" t="s">
        <v>1497</v>
      </c>
      <c r="B583" s="67" t="s">
        <v>1498</v>
      </c>
      <c r="C583" s="67" t="s">
        <v>5246</v>
      </c>
      <c r="D583" s="67" t="s">
        <v>4783</v>
      </c>
      <c r="E583" s="67" t="s">
        <v>5247</v>
      </c>
      <c r="F583" s="67" t="s">
        <v>4336</v>
      </c>
      <c r="G583" s="67">
        <f t="shared" si="29"/>
        <v>2</v>
      </c>
      <c r="H583" s="67" t="str">
        <f t="shared" si="30"/>
        <v>000668岳克精</v>
      </c>
      <c r="I583" s="67" t="str">
        <f t="shared" si="31"/>
        <v>0693</v>
      </c>
    </row>
    <row r="584" spans="1:9" x14ac:dyDescent="0.15">
      <c r="A584" s="67" t="s">
        <v>1499</v>
      </c>
      <c r="B584" s="67" t="s">
        <v>1500</v>
      </c>
      <c r="C584" s="67" t="s">
        <v>5248</v>
      </c>
      <c r="D584" s="67" t="s">
        <v>4343</v>
      </c>
      <c r="E584" s="67" t="s">
        <v>4344</v>
      </c>
      <c r="F584" s="67" t="s">
        <v>4336</v>
      </c>
      <c r="G584" s="67">
        <f t="shared" si="29"/>
        <v>1</v>
      </c>
      <c r="H584" s="67" t="str">
        <f t="shared" si="30"/>
        <v>000389于欢欢</v>
      </c>
      <c r="I584" s="67" t="str">
        <f t="shared" si="31"/>
        <v>0694</v>
      </c>
    </row>
    <row r="585" spans="1:9" x14ac:dyDescent="0.15">
      <c r="A585" s="67" t="s">
        <v>1501</v>
      </c>
      <c r="B585" s="67" t="s">
        <v>1502</v>
      </c>
      <c r="C585" s="67" t="s">
        <v>5249</v>
      </c>
      <c r="D585" s="67" t="s">
        <v>4553</v>
      </c>
      <c r="E585" s="67" t="s">
        <v>4633</v>
      </c>
      <c r="F585" s="67" t="s">
        <v>4336</v>
      </c>
      <c r="G585" s="67">
        <f t="shared" si="29"/>
        <v>1</v>
      </c>
      <c r="H585" s="67" t="str">
        <f t="shared" si="30"/>
        <v>000432刘飞</v>
      </c>
      <c r="I585" s="67" t="str">
        <f t="shared" si="31"/>
        <v>0695</v>
      </c>
    </row>
    <row r="586" spans="1:9" x14ac:dyDescent="0.15">
      <c r="A586" s="67" t="s">
        <v>1503</v>
      </c>
      <c r="B586" s="67" t="s">
        <v>1504</v>
      </c>
      <c r="C586" s="67" t="s">
        <v>5250</v>
      </c>
      <c r="D586" s="67" t="s">
        <v>4553</v>
      </c>
      <c r="E586" s="67" t="s">
        <v>5251</v>
      </c>
      <c r="F586" s="67" t="s">
        <v>4336</v>
      </c>
      <c r="G586" s="67">
        <f t="shared" si="29"/>
        <v>1</v>
      </c>
      <c r="H586" s="67" t="str">
        <f t="shared" si="30"/>
        <v>000431沈明浩</v>
      </c>
      <c r="I586" s="67" t="str">
        <f t="shared" si="31"/>
        <v>0696</v>
      </c>
    </row>
    <row r="587" spans="1:9" x14ac:dyDescent="0.15">
      <c r="A587" s="67" t="s">
        <v>1505</v>
      </c>
      <c r="B587" s="67" t="s">
        <v>1506</v>
      </c>
      <c r="C587" s="67" t="s">
        <v>5252</v>
      </c>
      <c r="D587" s="67" t="s">
        <v>4424</v>
      </c>
      <c r="E587" s="67" t="s">
        <v>5253</v>
      </c>
      <c r="F587" s="67" t="s">
        <v>4336</v>
      </c>
      <c r="G587" s="67">
        <f t="shared" si="29"/>
        <v>1</v>
      </c>
      <c r="H587" s="67" t="str">
        <f t="shared" si="30"/>
        <v>000422潘燕</v>
      </c>
      <c r="I587" s="67" t="str">
        <f t="shared" si="31"/>
        <v>0697</v>
      </c>
    </row>
    <row r="588" spans="1:9" x14ac:dyDescent="0.15">
      <c r="A588" s="67" t="s">
        <v>1507</v>
      </c>
      <c r="B588" s="67" t="s">
        <v>1508</v>
      </c>
      <c r="C588" s="67" t="s">
        <v>5254</v>
      </c>
      <c r="D588" s="67" t="s">
        <v>4553</v>
      </c>
      <c r="E588" s="67" t="s">
        <v>5255</v>
      </c>
      <c r="F588" s="67" t="s">
        <v>4336</v>
      </c>
      <c r="G588" s="67">
        <f t="shared" si="29"/>
        <v>3</v>
      </c>
      <c r="H588" s="67" t="str">
        <f t="shared" si="30"/>
        <v>000430杨爱琴</v>
      </c>
      <c r="I588" s="67" t="str">
        <f t="shared" si="31"/>
        <v>0698</v>
      </c>
    </row>
    <row r="589" spans="1:9" x14ac:dyDescent="0.15">
      <c r="A589" s="67" t="s">
        <v>1507</v>
      </c>
      <c r="B589" s="67" t="s">
        <v>1508</v>
      </c>
      <c r="C589" s="67" t="s">
        <v>5256</v>
      </c>
      <c r="D589" s="67" t="s">
        <v>4553</v>
      </c>
      <c r="E589" s="67" t="s">
        <v>5255</v>
      </c>
      <c r="F589" s="67" t="s">
        <v>4336</v>
      </c>
      <c r="G589" s="67">
        <f t="shared" si="29"/>
        <v>3</v>
      </c>
      <c r="H589" s="67" t="str">
        <f t="shared" si="30"/>
        <v>000493杨爱琴</v>
      </c>
      <c r="I589" s="67" t="str">
        <f t="shared" si="31"/>
        <v>0698</v>
      </c>
    </row>
    <row r="590" spans="1:9" x14ac:dyDescent="0.15">
      <c r="A590" s="67" t="s">
        <v>1507</v>
      </c>
      <c r="B590" s="67" t="s">
        <v>1508</v>
      </c>
      <c r="C590" s="67" t="s">
        <v>5257</v>
      </c>
      <c r="D590" s="67" t="s">
        <v>4553</v>
      </c>
      <c r="E590" s="67" t="s">
        <v>5258</v>
      </c>
      <c r="F590" s="67" t="s">
        <v>4336</v>
      </c>
      <c r="G590" s="67">
        <f t="shared" si="29"/>
        <v>3</v>
      </c>
      <c r="H590" s="67" t="str">
        <f t="shared" si="30"/>
        <v>000803杨爱琴</v>
      </c>
      <c r="I590" s="67" t="str">
        <f t="shared" si="31"/>
        <v>0698</v>
      </c>
    </row>
    <row r="591" spans="1:9" x14ac:dyDescent="0.15">
      <c r="A591" s="67" t="s">
        <v>1509</v>
      </c>
      <c r="B591" s="67" t="s">
        <v>1510</v>
      </c>
      <c r="C591" s="67" t="s">
        <v>5259</v>
      </c>
      <c r="D591" s="67" t="s">
        <v>4827</v>
      </c>
      <c r="E591" s="67" t="s">
        <v>4828</v>
      </c>
      <c r="F591" s="67" t="s">
        <v>4336</v>
      </c>
      <c r="G591" s="67">
        <f t="shared" si="29"/>
        <v>1</v>
      </c>
      <c r="H591" s="67" t="str">
        <f t="shared" si="30"/>
        <v>000435史松松</v>
      </c>
      <c r="I591" s="67" t="str">
        <f t="shared" si="31"/>
        <v>0699</v>
      </c>
    </row>
    <row r="592" spans="1:9" x14ac:dyDescent="0.15">
      <c r="A592" s="67" t="s">
        <v>5260</v>
      </c>
      <c r="B592" s="67" t="s">
        <v>5261</v>
      </c>
      <c r="C592" s="67" t="s">
        <v>5262</v>
      </c>
      <c r="D592" s="67" t="s">
        <v>5220</v>
      </c>
      <c r="E592" s="67" t="s">
        <v>5221</v>
      </c>
      <c r="F592" s="67" t="s">
        <v>4336</v>
      </c>
      <c r="G592" s="67">
        <f t="shared" si="29"/>
        <v>1</v>
      </c>
      <c r="H592" s="67" t="str">
        <f t="shared" si="30"/>
        <v>000797临时工70</v>
      </c>
      <c r="I592" s="67" t="str">
        <f t="shared" si="31"/>
        <v>070</v>
      </c>
    </row>
    <row r="593" spans="1:9" x14ac:dyDescent="0.15">
      <c r="A593" s="67" t="s">
        <v>1511</v>
      </c>
      <c r="B593" s="67" t="s">
        <v>1512</v>
      </c>
      <c r="C593" s="67" t="s">
        <v>5263</v>
      </c>
      <c r="D593" s="67" t="s">
        <v>4553</v>
      </c>
      <c r="E593" s="67" t="s">
        <v>5264</v>
      </c>
      <c r="F593" s="67" t="s">
        <v>4336</v>
      </c>
      <c r="G593" s="67">
        <f t="shared" si="29"/>
        <v>1</v>
      </c>
      <c r="H593" s="67" t="str">
        <f t="shared" si="30"/>
        <v>000429李刚</v>
      </c>
      <c r="I593" s="67" t="str">
        <f t="shared" si="31"/>
        <v>0700</v>
      </c>
    </row>
    <row r="594" spans="1:9" x14ac:dyDescent="0.15">
      <c r="A594" s="67" t="s">
        <v>1513</v>
      </c>
      <c r="B594" s="67" t="s">
        <v>1514</v>
      </c>
      <c r="C594" s="67" t="s">
        <v>5265</v>
      </c>
      <c r="D594" s="67" t="s">
        <v>4783</v>
      </c>
      <c r="E594" s="67" t="s">
        <v>4784</v>
      </c>
      <c r="F594" s="67" t="s">
        <v>4336</v>
      </c>
      <c r="G594" s="67">
        <f t="shared" si="29"/>
        <v>2</v>
      </c>
      <c r="H594" s="67" t="str">
        <f t="shared" si="30"/>
        <v>000670何发章</v>
      </c>
      <c r="I594" s="67" t="str">
        <f t="shared" si="31"/>
        <v>0701</v>
      </c>
    </row>
    <row r="595" spans="1:9" x14ac:dyDescent="0.15">
      <c r="A595" s="67" t="s">
        <v>1515</v>
      </c>
      <c r="B595" s="67" t="s">
        <v>1516</v>
      </c>
      <c r="C595" s="67" t="s">
        <v>5266</v>
      </c>
      <c r="D595" s="67" t="s">
        <v>4827</v>
      </c>
      <c r="E595" s="67" t="s">
        <v>4828</v>
      </c>
      <c r="F595" s="67" t="s">
        <v>4336</v>
      </c>
      <c r="G595" s="67">
        <f t="shared" si="29"/>
        <v>3</v>
      </c>
      <c r="H595" s="67" t="str">
        <f t="shared" si="30"/>
        <v>000713韩明宇</v>
      </c>
      <c r="I595" s="67" t="str">
        <f t="shared" si="31"/>
        <v>0702</v>
      </c>
    </row>
    <row r="596" spans="1:9" x14ac:dyDescent="0.15">
      <c r="A596" s="67" t="s">
        <v>1515</v>
      </c>
      <c r="B596" s="67" t="s">
        <v>1516</v>
      </c>
      <c r="C596" s="67" t="s">
        <v>5267</v>
      </c>
      <c r="D596" s="67" t="s">
        <v>4827</v>
      </c>
      <c r="E596" s="67" t="s">
        <v>4828</v>
      </c>
      <c r="F596" s="67" t="s">
        <v>4336</v>
      </c>
      <c r="G596" s="67">
        <f t="shared" si="29"/>
        <v>3</v>
      </c>
      <c r="H596" s="67" t="str">
        <f t="shared" si="30"/>
        <v>000728韩明宇</v>
      </c>
      <c r="I596" s="67" t="str">
        <f t="shared" si="31"/>
        <v>0702</v>
      </c>
    </row>
    <row r="597" spans="1:9" x14ac:dyDescent="0.15">
      <c r="A597" s="67" t="s">
        <v>1515</v>
      </c>
      <c r="B597" s="67" t="s">
        <v>1516</v>
      </c>
      <c r="C597" s="67" t="s">
        <v>5268</v>
      </c>
      <c r="D597" s="67" t="s">
        <v>4827</v>
      </c>
      <c r="E597" s="67" t="s">
        <v>4828</v>
      </c>
      <c r="F597" s="67" t="s">
        <v>4336</v>
      </c>
      <c r="G597" s="67">
        <f t="shared" si="29"/>
        <v>3</v>
      </c>
      <c r="H597" s="67" t="str">
        <f t="shared" si="30"/>
        <v>000439韩明宇</v>
      </c>
      <c r="I597" s="67" t="str">
        <f t="shared" si="31"/>
        <v>0702</v>
      </c>
    </row>
    <row r="598" spans="1:9" x14ac:dyDescent="0.15">
      <c r="A598" s="67" t="s">
        <v>1517</v>
      </c>
      <c r="B598" s="67" t="s">
        <v>1518</v>
      </c>
      <c r="C598" s="67" t="s">
        <v>5269</v>
      </c>
      <c r="D598" s="67" t="s">
        <v>4827</v>
      </c>
      <c r="E598" s="67" t="s">
        <v>4828</v>
      </c>
      <c r="F598" s="67" t="s">
        <v>4336</v>
      </c>
      <c r="G598" s="67">
        <f t="shared" si="29"/>
        <v>1</v>
      </c>
      <c r="H598" s="67" t="str">
        <f t="shared" si="30"/>
        <v>000440陶磊</v>
      </c>
      <c r="I598" s="67" t="str">
        <f t="shared" si="31"/>
        <v>0703</v>
      </c>
    </row>
    <row r="599" spans="1:9" x14ac:dyDescent="0.15">
      <c r="A599" s="67" t="s">
        <v>1519</v>
      </c>
      <c r="B599" s="67" t="s">
        <v>1520</v>
      </c>
      <c r="C599" s="67" t="s">
        <v>5270</v>
      </c>
      <c r="D599" s="67" t="s">
        <v>4827</v>
      </c>
      <c r="E599" s="67" t="s">
        <v>4828</v>
      </c>
      <c r="F599" s="67" t="s">
        <v>4336</v>
      </c>
      <c r="G599" s="67">
        <f t="shared" si="29"/>
        <v>1</v>
      </c>
      <c r="H599" s="67" t="str">
        <f t="shared" si="30"/>
        <v>000438刘万香</v>
      </c>
      <c r="I599" s="67" t="str">
        <f t="shared" si="31"/>
        <v>0704</v>
      </c>
    </row>
    <row r="600" spans="1:9" x14ac:dyDescent="0.15">
      <c r="A600" s="67" t="s">
        <v>1521</v>
      </c>
      <c r="B600" s="67" t="s">
        <v>1522</v>
      </c>
      <c r="C600" s="67" t="s">
        <v>5271</v>
      </c>
      <c r="D600" s="67" t="s">
        <v>4827</v>
      </c>
      <c r="E600" s="67" t="s">
        <v>5272</v>
      </c>
      <c r="F600" s="67" t="s">
        <v>4336</v>
      </c>
      <c r="G600" s="67">
        <f t="shared" si="29"/>
        <v>2</v>
      </c>
      <c r="H600" s="67" t="str">
        <f t="shared" si="30"/>
        <v>000436郭振春</v>
      </c>
      <c r="I600" s="67" t="str">
        <f t="shared" si="31"/>
        <v>0705</v>
      </c>
    </row>
    <row r="601" spans="1:9" x14ac:dyDescent="0.15">
      <c r="A601" s="67" t="s">
        <v>1521</v>
      </c>
      <c r="B601" s="67" t="s">
        <v>1522</v>
      </c>
      <c r="C601" s="67" t="s">
        <v>5273</v>
      </c>
      <c r="D601" s="67" t="s">
        <v>4827</v>
      </c>
      <c r="E601" s="67" t="s">
        <v>5274</v>
      </c>
      <c r="F601" s="67" t="s">
        <v>4336</v>
      </c>
      <c r="G601" s="67">
        <f t="shared" si="29"/>
        <v>2</v>
      </c>
      <c r="H601" s="67" t="str">
        <f t="shared" si="30"/>
        <v>000481郭振春</v>
      </c>
      <c r="I601" s="67" t="str">
        <f t="shared" si="31"/>
        <v>0705</v>
      </c>
    </row>
    <row r="602" spans="1:9" x14ac:dyDescent="0.15">
      <c r="A602" s="67" t="s">
        <v>1523</v>
      </c>
      <c r="B602" s="67" t="s">
        <v>1524</v>
      </c>
      <c r="C602" s="67" t="s">
        <v>5275</v>
      </c>
      <c r="D602" s="67" t="s">
        <v>4827</v>
      </c>
      <c r="E602" s="67" t="s">
        <v>4828</v>
      </c>
      <c r="F602" s="67" t="s">
        <v>4336</v>
      </c>
      <c r="G602" s="67">
        <f t="shared" si="29"/>
        <v>1</v>
      </c>
      <c r="H602" s="67" t="str">
        <f t="shared" si="30"/>
        <v>000437苏斌</v>
      </c>
      <c r="I602" s="67" t="str">
        <f t="shared" si="31"/>
        <v>0706</v>
      </c>
    </row>
    <row r="603" spans="1:9" x14ac:dyDescent="0.15">
      <c r="A603" s="67" t="s">
        <v>1525</v>
      </c>
      <c r="B603" s="67" t="s">
        <v>1526</v>
      </c>
      <c r="C603" s="67" t="s">
        <v>5276</v>
      </c>
      <c r="D603" s="67" t="s">
        <v>4827</v>
      </c>
      <c r="E603" s="67" t="s">
        <v>4828</v>
      </c>
      <c r="F603" s="67" t="s">
        <v>4336</v>
      </c>
      <c r="G603" s="67">
        <f t="shared" si="29"/>
        <v>1</v>
      </c>
      <c r="H603" s="67" t="str">
        <f t="shared" si="30"/>
        <v>000442刘秀岭</v>
      </c>
      <c r="I603" s="67" t="str">
        <f t="shared" si="31"/>
        <v>0707</v>
      </c>
    </row>
    <row r="604" spans="1:9" x14ac:dyDescent="0.15">
      <c r="A604" s="67" t="s">
        <v>1527</v>
      </c>
      <c r="B604" s="67" t="s">
        <v>1528</v>
      </c>
      <c r="C604" s="67" t="s">
        <v>5277</v>
      </c>
      <c r="D604" s="67" t="s">
        <v>4827</v>
      </c>
      <c r="E604" s="67" t="s">
        <v>4828</v>
      </c>
      <c r="F604" s="67" t="s">
        <v>4336</v>
      </c>
      <c r="G604" s="67">
        <f t="shared" si="29"/>
        <v>2</v>
      </c>
      <c r="H604" s="67" t="str">
        <f t="shared" si="30"/>
        <v>000441韩明轩</v>
      </c>
      <c r="I604" s="67" t="str">
        <f t="shared" si="31"/>
        <v>0708</v>
      </c>
    </row>
    <row r="605" spans="1:9" x14ac:dyDescent="0.15">
      <c r="A605" s="67" t="s">
        <v>1527</v>
      </c>
      <c r="B605" s="67" t="s">
        <v>1528</v>
      </c>
      <c r="C605" s="67" t="s">
        <v>5278</v>
      </c>
      <c r="D605" s="67" t="s">
        <v>4827</v>
      </c>
      <c r="E605" s="67" t="s">
        <v>4828</v>
      </c>
      <c r="F605" s="67" t="s">
        <v>4336</v>
      </c>
      <c r="G605" s="67">
        <f t="shared" si="29"/>
        <v>2</v>
      </c>
      <c r="H605" s="67" t="str">
        <f t="shared" si="30"/>
        <v>000601韩明轩</v>
      </c>
      <c r="I605" s="67" t="str">
        <f t="shared" si="31"/>
        <v>0708</v>
      </c>
    </row>
    <row r="606" spans="1:9" x14ac:dyDescent="0.15">
      <c r="A606" s="67" t="s">
        <v>1529</v>
      </c>
      <c r="B606" s="67" t="s">
        <v>1530</v>
      </c>
      <c r="C606" s="67" t="s">
        <v>5279</v>
      </c>
      <c r="D606" s="67" t="s">
        <v>4827</v>
      </c>
      <c r="E606" s="67" t="s">
        <v>4828</v>
      </c>
      <c r="F606" s="67" t="s">
        <v>4336</v>
      </c>
      <c r="G606" s="67">
        <f t="shared" si="29"/>
        <v>1</v>
      </c>
      <c r="H606" s="67" t="str">
        <f t="shared" si="30"/>
        <v>000443刘云</v>
      </c>
      <c r="I606" s="67" t="str">
        <f t="shared" si="31"/>
        <v>0709</v>
      </c>
    </row>
    <row r="607" spans="1:9" x14ac:dyDescent="0.15">
      <c r="A607" s="67" t="s">
        <v>5280</v>
      </c>
      <c r="B607" s="67" t="s">
        <v>5281</v>
      </c>
      <c r="C607" s="67" t="s">
        <v>5282</v>
      </c>
      <c r="D607" s="67" t="s">
        <v>5220</v>
      </c>
      <c r="E607" s="67" t="s">
        <v>5221</v>
      </c>
      <c r="F607" s="67" t="s">
        <v>4336</v>
      </c>
      <c r="G607" s="67">
        <f t="shared" si="29"/>
        <v>1</v>
      </c>
      <c r="H607" s="67" t="str">
        <f t="shared" si="30"/>
        <v>000798临时工71</v>
      </c>
      <c r="I607" s="67" t="str">
        <f t="shared" si="31"/>
        <v>071</v>
      </c>
    </row>
    <row r="608" spans="1:9" x14ac:dyDescent="0.15">
      <c r="A608" s="67" t="s">
        <v>1531</v>
      </c>
      <c r="B608" s="67" t="s">
        <v>1532</v>
      </c>
      <c r="C608" s="67" t="s">
        <v>5283</v>
      </c>
      <c r="D608" s="67" t="s">
        <v>4360</v>
      </c>
      <c r="E608" s="67" t="s">
        <v>5284</v>
      </c>
      <c r="F608" s="67" t="s">
        <v>4336</v>
      </c>
      <c r="G608" s="67">
        <f t="shared" si="29"/>
        <v>2</v>
      </c>
      <c r="H608" s="67" t="str">
        <f t="shared" si="30"/>
        <v>000672谢伟</v>
      </c>
      <c r="I608" s="67" t="str">
        <f t="shared" si="31"/>
        <v>0710</v>
      </c>
    </row>
    <row r="609" spans="1:9" x14ac:dyDescent="0.15">
      <c r="A609" s="67" t="s">
        <v>1531</v>
      </c>
      <c r="B609" s="67" t="s">
        <v>1532</v>
      </c>
      <c r="C609" s="67" t="s">
        <v>5285</v>
      </c>
      <c r="D609" s="67" t="s">
        <v>4360</v>
      </c>
      <c r="E609" s="67" t="s">
        <v>5286</v>
      </c>
      <c r="F609" s="67" t="s">
        <v>4336</v>
      </c>
      <c r="G609" s="67">
        <f t="shared" si="29"/>
        <v>2</v>
      </c>
      <c r="H609" s="67" t="str">
        <f t="shared" si="30"/>
        <v>000451谢伟</v>
      </c>
      <c r="I609" s="67" t="str">
        <f t="shared" si="31"/>
        <v>0710</v>
      </c>
    </row>
    <row r="610" spans="1:9" x14ac:dyDescent="0.15">
      <c r="A610" s="67" t="s">
        <v>1533</v>
      </c>
      <c r="B610" s="67" t="s">
        <v>1534</v>
      </c>
      <c r="C610" s="67" t="s">
        <v>5287</v>
      </c>
      <c r="D610" s="67" t="s">
        <v>4360</v>
      </c>
      <c r="E610" s="67" t="s">
        <v>4361</v>
      </c>
      <c r="F610" s="67" t="s">
        <v>4336</v>
      </c>
      <c r="G610" s="67">
        <f t="shared" si="29"/>
        <v>1</v>
      </c>
      <c r="H610" s="67" t="str">
        <f t="shared" si="30"/>
        <v>000445林青</v>
      </c>
      <c r="I610" s="67" t="str">
        <f t="shared" si="31"/>
        <v>0711</v>
      </c>
    </row>
    <row r="611" spans="1:9" x14ac:dyDescent="0.15">
      <c r="A611" s="67" t="s">
        <v>1535</v>
      </c>
      <c r="B611" s="67" t="s">
        <v>1536</v>
      </c>
      <c r="C611" s="67" t="s">
        <v>5288</v>
      </c>
      <c r="D611" s="67" t="s">
        <v>4360</v>
      </c>
      <c r="E611" s="67" t="s">
        <v>4361</v>
      </c>
      <c r="F611" s="67" t="s">
        <v>4336</v>
      </c>
      <c r="G611" s="67">
        <f t="shared" si="29"/>
        <v>1</v>
      </c>
      <c r="H611" s="67" t="str">
        <f t="shared" si="30"/>
        <v>000446王一帆</v>
      </c>
      <c r="I611" s="67" t="str">
        <f t="shared" si="31"/>
        <v>0712</v>
      </c>
    </row>
    <row r="612" spans="1:9" x14ac:dyDescent="0.15">
      <c r="A612" s="67" t="s">
        <v>1537</v>
      </c>
      <c r="B612" s="67" t="s">
        <v>1538</v>
      </c>
      <c r="C612" s="67" t="s">
        <v>5289</v>
      </c>
      <c r="D612" s="67" t="s">
        <v>4360</v>
      </c>
      <c r="E612" s="67" t="s">
        <v>4361</v>
      </c>
      <c r="F612" s="67" t="s">
        <v>4336</v>
      </c>
      <c r="G612" s="67">
        <f t="shared" si="29"/>
        <v>1</v>
      </c>
      <c r="H612" s="67" t="str">
        <f t="shared" si="30"/>
        <v>000447何勇芳</v>
      </c>
      <c r="I612" s="67" t="str">
        <f t="shared" si="31"/>
        <v>0713</v>
      </c>
    </row>
    <row r="613" spans="1:9" x14ac:dyDescent="0.15">
      <c r="A613" s="67" t="s">
        <v>1539</v>
      </c>
      <c r="B613" s="67" t="s">
        <v>1540</v>
      </c>
      <c r="C613" s="67" t="s">
        <v>5290</v>
      </c>
      <c r="D613" s="67" t="s">
        <v>5291</v>
      </c>
      <c r="E613" s="67" t="s">
        <v>5292</v>
      </c>
      <c r="F613" s="67" t="s">
        <v>4336</v>
      </c>
      <c r="G613" s="67">
        <f t="shared" si="29"/>
        <v>1</v>
      </c>
      <c r="H613" s="67" t="str">
        <f t="shared" si="30"/>
        <v>000453王春洪</v>
      </c>
      <c r="I613" s="67" t="str">
        <f t="shared" si="31"/>
        <v>0714</v>
      </c>
    </row>
    <row r="614" spans="1:9" x14ac:dyDescent="0.15">
      <c r="A614" s="67" t="s">
        <v>1541</v>
      </c>
      <c r="B614" s="67" t="s">
        <v>1542</v>
      </c>
      <c r="C614" s="67" t="s">
        <v>5293</v>
      </c>
      <c r="D614" s="67" t="s">
        <v>5294</v>
      </c>
      <c r="E614" s="67" t="s">
        <v>5295</v>
      </c>
      <c r="F614" s="67" t="s">
        <v>4336</v>
      </c>
      <c r="G614" s="67">
        <f t="shared" si="29"/>
        <v>1</v>
      </c>
      <c r="H614" s="67" t="str">
        <f t="shared" si="30"/>
        <v>000454王昀</v>
      </c>
      <c r="I614" s="67" t="str">
        <f t="shared" si="31"/>
        <v>0715</v>
      </c>
    </row>
    <row r="615" spans="1:9" x14ac:dyDescent="0.15">
      <c r="A615" s="67" t="s">
        <v>1543</v>
      </c>
      <c r="B615" s="67" t="s">
        <v>1544</v>
      </c>
      <c r="C615" s="67" t="s">
        <v>5296</v>
      </c>
      <c r="D615" s="67" t="s">
        <v>5297</v>
      </c>
      <c r="E615" s="67" t="s">
        <v>5298</v>
      </c>
      <c r="F615" s="67" t="s">
        <v>4336</v>
      </c>
      <c r="G615" s="67">
        <f t="shared" si="29"/>
        <v>1</v>
      </c>
      <c r="H615" s="67" t="str">
        <f t="shared" si="30"/>
        <v>000455倪军</v>
      </c>
      <c r="I615" s="67" t="str">
        <f t="shared" si="31"/>
        <v>0716</v>
      </c>
    </row>
    <row r="616" spans="1:9" x14ac:dyDescent="0.15">
      <c r="A616" s="67" t="s">
        <v>1545</v>
      </c>
      <c r="B616" s="67" t="s">
        <v>1546</v>
      </c>
      <c r="C616" s="67" t="s">
        <v>5299</v>
      </c>
      <c r="D616" s="67" t="s">
        <v>5297</v>
      </c>
      <c r="E616" s="67" t="s">
        <v>5298</v>
      </c>
      <c r="F616" s="67" t="s">
        <v>4336</v>
      </c>
      <c r="G616" s="67">
        <f t="shared" si="29"/>
        <v>1</v>
      </c>
      <c r="H616" s="67" t="str">
        <f t="shared" si="30"/>
        <v>000456周熙玲</v>
      </c>
      <c r="I616" s="67" t="str">
        <f t="shared" si="31"/>
        <v>0717</v>
      </c>
    </row>
    <row r="617" spans="1:9" x14ac:dyDescent="0.15">
      <c r="A617" s="67" t="s">
        <v>1547</v>
      </c>
      <c r="B617" s="67" t="s">
        <v>1548</v>
      </c>
      <c r="C617" s="67" t="s">
        <v>5300</v>
      </c>
      <c r="D617" s="67" t="s">
        <v>5301</v>
      </c>
      <c r="E617" s="67" t="s">
        <v>5302</v>
      </c>
      <c r="F617" s="67" t="s">
        <v>4336</v>
      </c>
      <c r="G617" s="67">
        <f t="shared" si="29"/>
        <v>1</v>
      </c>
      <c r="H617" s="67" t="str">
        <f t="shared" si="30"/>
        <v>000458齐亚梦</v>
      </c>
      <c r="I617" s="67" t="str">
        <f t="shared" si="31"/>
        <v>0718</v>
      </c>
    </row>
    <row r="618" spans="1:9" x14ac:dyDescent="0.15">
      <c r="A618" s="67" t="s">
        <v>1549</v>
      </c>
      <c r="B618" s="67" t="s">
        <v>1550</v>
      </c>
      <c r="C618" s="67" t="s">
        <v>5303</v>
      </c>
      <c r="D618" s="67" t="s">
        <v>5301</v>
      </c>
      <c r="E618" s="67" t="s">
        <v>5302</v>
      </c>
      <c r="F618" s="67" t="s">
        <v>4336</v>
      </c>
      <c r="G618" s="67">
        <f t="shared" si="29"/>
        <v>1</v>
      </c>
      <c r="H618" s="67" t="str">
        <f t="shared" si="30"/>
        <v>000459孙高阳</v>
      </c>
      <c r="I618" s="67" t="str">
        <f t="shared" si="31"/>
        <v>0719</v>
      </c>
    </row>
    <row r="619" spans="1:9" x14ac:dyDescent="0.15">
      <c r="A619" s="67" t="s">
        <v>5304</v>
      </c>
      <c r="B619" s="67" t="s">
        <v>5305</v>
      </c>
      <c r="C619" s="67" t="s">
        <v>5306</v>
      </c>
      <c r="D619" s="67" t="s">
        <v>5220</v>
      </c>
      <c r="E619" s="67" t="s">
        <v>5221</v>
      </c>
      <c r="F619" s="67" t="s">
        <v>4336</v>
      </c>
      <c r="G619" s="67">
        <f t="shared" si="29"/>
        <v>1</v>
      </c>
      <c r="H619" s="67" t="str">
        <f t="shared" si="30"/>
        <v>000799临时卡72</v>
      </c>
      <c r="I619" s="67" t="str">
        <f t="shared" si="31"/>
        <v>072</v>
      </c>
    </row>
    <row r="620" spans="1:9" x14ac:dyDescent="0.15">
      <c r="A620" s="67" t="s">
        <v>1551</v>
      </c>
      <c r="B620" s="67" t="s">
        <v>1552</v>
      </c>
      <c r="C620" s="67" t="s">
        <v>5307</v>
      </c>
      <c r="D620" s="67" t="s">
        <v>5301</v>
      </c>
      <c r="E620" s="67" t="s">
        <v>5302</v>
      </c>
      <c r="F620" s="67" t="s">
        <v>4336</v>
      </c>
      <c r="G620" s="67">
        <f t="shared" si="29"/>
        <v>1</v>
      </c>
      <c r="H620" s="67" t="str">
        <f t="shared" si="30"/>
        <v>000457冯季林</v>
      </c>
      <c r="I620" s="67" t="str">
        <f t="shared" si="31"/>
        <v>0720</v>
      </c>
    </row>
    <row r="621" spans="1:9" x14ac:dyDescent="0.15">
      <c r="A621" s="67" t="s">
        <v>1553</v>
      </c>
      <c r="B621" s="67" t="s">
        <v>1554</v>
      </c>
      <c r="C621" s="67" t="s">
        <v>5308</v>
      </c>
      <c r="D621" s="67" t="s">
        <v>5301</v>
      </c>
      <c r="E621" s="67" t="s">
        <v>5309</v>
      </c>
      <c r="F621" s="67" t="s">
        <v>4336</v>
      </c>
      <c r="G621" s="67">
        <f t="shared" si="29"/>
        <v>1</v>
      </c>
      <c r="H621" s="67" t="str">
        <f t="shared" si="30"/>
        <v>000460马登雄</v>
      </c>
      <c r="I621" s="67" t="str">
        <f t="shared" si="31"/>
        <v>0721</v>
      </c>
    </row>
    <row r="622" spans="1:9" x14ac:dyDescent="0.15">
      <c r="A622" s="67" t="s">
        <v>1555</v>
      </c>
      <c r="B622" s="67" t="s">
        <v>1556</v>
      </c>
      <c r="C622" s="67" t="s">
        <v>5310</v>
      </c>
      <c r="D622" s="67" t="s">
        <v>4392</v>
      </c>
      <c r="E622" s="67" t="s">
        <v>4393</v>
      </c>
      <c r="F622" s="67" t="s">
        <v>4336</v>
      </c>
      <c r="G622" s="67">
        <f t="shared" si="29"/>
        <v>2</v>
      </c>
      <c r="H622" s="67" t="str">
        <f t="shared" si="30"/>
        <v>000501刘文兴</v>
      </c>
      <c r="I622" s="67" t="str">
        <f t="shared" si="31"/>
        <v>0722</v>
      </c>
    </row>
    <row r="623" spans="1:9" x14ac:dyDescent="0.15">
      <c r="A623" s="67" t="s">
        <v>1555</v>
      </c>
      <c r="B623" s="67" t="s">
        <v>1556</v>
      </c>
      <c r="C623" s="67" t="s">
        <v>5311</v>
      </c>
      <c r="D623" s="67" t="s">
        <v>4392</v>
      </c>
      <c r="E623" s="67" t="s">
        <v>4393</v>
      </c>
      <c r="F623" s="67" t="s">
        <v>4336</v>
      </c>
      <c r="G623" s="67">
        <f t="shared" si="29"/>
        <v>2</v>
      </c>
      <c r="H623" s="67" t="str">
        <f t="shared" si="30"/>
        <v>000468刘文兴</v>
      </c>
      <c r="I623" s="67" t="str">
        <f t="shared" si="31"/>
        <v>0722</v>
      </c>
    </row>
    <row r="624" spans="1:9" x14ac:dyDescent="0.15">
      <c r="A624" s="67" t="s">
        <v>1557</v>
      </c>
      <c r="B624" s="67" t="s">
        <v>1558</v>
      </c>
      <c r="C624" s="67" t="s">
        <v>5312</v>
      </c>
      <c r="D624" s="67" t="s">
        <v>4671</v>
      </c>
      <c r="E624" s="67" t="s">
        <v>4672</v>
      </c>
      <c r="F624" s="67" t="s">
        <v>4336</v>
      </c>
      <c r="G624" s="67">
        <f t="shared" si="29"/>
        <v>1</v>
      </c>
      <c r="H624" s="67" t="str">
        <f t="shared" si="30"/>
        <v>000464曾祥油</v>
      </c>
      <c r="I624" s="67" t="str">
        <f t="shared" si="31"/>
        <v>0723</v>
      </c>
    </row>
    <row r="625" spans="1:9" x14ac:dyDescent="0.15">
      <c r="A625" s="67" t="s">
        <v>1559</v>
      </c>
      <c r="B625" s="67" t="s">
        <v>1560</v>
      </c>
      <c r="C625" s="67" t="s">
        <v>5313</v>
      </c>
      <c r="D625" s="67" t="s">
        <v>4392</v>
      </c>
      <c r="E625" s="67" t="s">
        <v>5314</v>
      </c>
      <c r="F625" s="67" t="s">
        <v>4336</v>
      </c>
      <c r="G625" s="67">
        <f t="shared" si="29"/>
        <v>1</v>
      </c>
      <c r="H625" s="67" t="str">
        <f t="shared" si="30"/>
        <v>000471陈东风</v>
      </c>
      <c r="I625" s="67" t="str">
        <f t="shared" si="31"/>
        <v>0724</v>
      </c>
    </row>
    <row r="626" spans="1:9" x14ac:dyDescent="0.15">
      <c r="A626" s="67" t="s">
        <v>1561</v>
      </c>
      <c r="B626" s="67" t="s">
        <v>1562</v>
      </c>
      <c r="C626" s="67" t="s">
        <v>5315</v>
      </c>
      <c r="D626" s="67" t="s">
        <v>4392</v>
      </c>
      <c r="E626" s="67" t="s">
        <v>4393</v>
      </c>
      <c r="F626" s="67" t="s">
        <v>4336</v>
      </c>
      <c r="G626" s="67">
        <f t="shared" si="29"/>
        <v>1</v>
      </c>
      <c r="H626" s="67" t="str">
        <f t="shared" si="30"/>
        <v>000470郭凤得</v>
      </c>
      <c r="I626" s="67" t="str">
        <f t="shared" si="31"/>
        <v>0725</v>
      </c>
    </row>
    <row r="627" spans="1:9" x14ac:dyDescent="0.15">
      <c r="A627" s="67" t="s">
        <v>1563</v>
      </c>
      <c r="B627" s="67" t="s">
        <v>1564</v>
      </c>
      <c r="C627" s="67" t="s">
        <v>5316</v>
      </c>
      <c r="D627" s="67" t="s">
        <v>4392</v>
      </c>
      <c r="E627" s="67" t="s">
        <v>4393</v>
      </c>
      <c r="F627" s="67" t="s">
        <v>4336</v>
      </c>
      <c r="G627" s="67">
        <f t="shared" si="29"/>
        <v>2</v>
      </c>
      <c r="H627" s="67" t="str">
        <f t="shared" si="30"/>
        <v>000469李阳杰</v>
      </c>
      <c r="I627" s="67" t="str">
        <f t="shared" si="31"/>
        <v>0726</v>
      </c>
    </row>
    <row r="628" spans="1:9" x14ac:dyDescent="0.15">
      <c r="A628" s="67" t="s">
        <v>1563</v>
      </c>
      <c r="B628" s="67" t="s">
        <v>1564</v>
      </c>
      <c r="C628" s="67" t="s">
        <v>5317</v>
      </c>
      <c r="D628" s="67" t="s">
        <v>4392</v>
      </c>
      <c r="E628" s="67" t="s">
        <v>4393</v>
      </c>
      <c r="F628" s="67" t="s">
        <v>4336</v>
      </c>
      <c r="G628" s="67">
        <f t="shared" si="29"/>
        <v>2</v>
      </c>
      <c r="H628" s="67" t="str">
        <f t="shared" si="30"/>
        <v>000863李阳杰</v>
      </c>
      <c r="I628" s="67" t="str">
        <f t="shared" si="31"/>
        <v>0726</v>
      </c>
    </row>
    <row r="629" spans="1:9" x14ac:dyDescent="0.15">
      <c r="A629" s="67" t="s">
        <v>1565</v>
      </c>
      <c r="B629" s="67" t="s">
        <v>1566</v>
      </c>
      <c r="C629" s="67" t="s">
        <v>5318</v>
      </c>
      <c r="D629" s="67" t="s">
        <v>5319</v>
      </c>
      <c r="E629" s="67" t="s">
        <v>5320</v>
      </c>
      <c r="F629" s="67" t="s">
        <v>4336</v>
      </c>
      <c r="G629" s="67">
        <f t="shared" si="29"/>
        <v>1</v>
      </c>
      <c r="H629" s="67" t="str">
        <f t="shared" si="30"/>
        <v>000692高磊</v>
      </c>
      <c r="I629" s="67" t="str">
        <f t="shared" si="31"/>
        <v>0727</v>
      </c>
    </row>
    <row r="630" spans="1:9" x14ac:dyDescent="0.15">
      <c r="A630" s="67" t="s">
        <v>1567</v>
      </c>
      <c r="B630" s="67" t="s">
        <v>1568</v>
      </c>
      <c r="C630" s="67" t="s">
        <v>5321</v>
      </c>
      <c r="D630" s="67" t="s">
        <v>5322</v>
      </c>
      <c r="E630" s="67" t="s">
        <v>5323</v>
      </c>
      <c r="F630" s="67" t="s">
        <v>4336</v>
      </c>
      <c r="G630" s="67">
        <f t="shared" si="29"/>
        <v>2</v>
      </c>
      <c r="H630" s="67" t="str">
        <f t="shared" si="30"/>
        <v>000767朱冬明</v>
      </c>
      <c r="I630" s="67" t="str">
        <f t="shared" si="31"/>
        <v>0728</v>
      </c>
    </row>
    <row r="631" spans="1:9" x14ac:dyDescent="0.15">
      <c r="A631" s="67" t="s">
        <v>1567</v>
      </c>
      <c r="B631" s="67" t="s">
        <v>1568</v>
      </c>
      <c r="C631" s="67" t="s">
        <v>5324</v>
      </c>
      <c r="D631" s="67" t="s">
        <v>5322</v>
      </c>
      <c r="E631" s="67" t="s">
        <v>5325</v>
      </c>
      <c r="F631" s="67" t="s">
        <v>4336</v>
      </c>
      <c r="G631" s="67">
        <f t="shared" si="29"/>
        <v>2</v>
      </c>
      <c r="H631" s="67" t="str">
        <f t="shared" si="30"/>
        <v>000472朱冬明</v>
      </c>
      <c r="I631" s="67" t="str">
        <f t="shared" si="31"/>
        <v>0728</v>
      </c>
    </row>
    <row r="632" spans="1:9" x14ac:dyDescent="0.15">
      <c r="A632" s="67" t="s">
        <v>1569</v>
      </c>
      <c r="B632" s="67" t="s">
        <v>1570</v>
      </c>
      <c r="C632" s="67" t="s">
        <v>5326</v>
      </c>
      <c r="D632" s="67" t="s">
        <v>5322</v>
      </c>
      <c r="E632" s="67" t="s">
        <v>5325</v>
      </c>
      <c r="F632" s="67" t="s">
        <v>4336</v>
      </c>
      <c r="G632" s="67">
        <f t="shared" si="29"/>
        <v>1</v>
      </c>
      <c r="H632" s="67" t="str">
        <f t="shared" si="30"/>
        <v>000473陆永全</v>
      </c>
      <c r="I632" s="67" t="str">
        <f t="shared" si="31"/>
        <v>0729</v>
      </c>
    </row>
    <row r="633" spans="1:9" x14ac:dyDescent="0.15">
      <c r="A633" s="67" t="s">
        <v>5327</v>
      </c>
      <c r="B633" s="67" t="s">
        <v>5328</v>
      </c>
      <c r="C633" s="67" t="s">
        <v>5329</v>
      </c>
      <c r="D633" s="67" t="s">
        <v>5220</v>
      </c>
      <c r="E633" s="67" t="s">
        <v>5221</v>
      </c>
      <c r="F633" s="67" t="s">
        <v>4336</v>
      </c>
      <c r="G633" s="67">
        <f t="shared" si="29"/>
        <v>1</v>
      </c>
      <c r="H633" s="67" t="str">
        <f t="shared" si="30"/>
        <v>000800临时工73</v>
      </c>
      <c r="I633" s="67" t="str">
        <f t="shared" si="31"/>
        <v>073</v>
      </c>
    </row>
    <row r="634" spans="1:9" x14ac:dyDescent="0.15">
      <c r="A634" s="67" t="s">
        <v>1571</v>
      </c>
      <c r="B634" s="67" t="s">
        <v>1572</v>
      </c>
      <c r="C634" s="67" t="s">
        <v>5330</v>
      </c>
      <c r="D634" s="67" t="s">
        <v>4473</v>
      </c>
      <c r="E634" s="67" t="s">
        <v>5331</v>
      </c>
      <c r="F634" s="67" t="s">
        <v>4336</v>
      </c>
      <c r="G634" s="67">
        <f t="shared" si="29"/>
        <v>1</v>
      </c>
      <c r="H634" s="67" t="str">
        <f t="shared" si="30"/>
        <v>000479朱成</v>
      </c>
      <c r="I634" s="67" t="str">
        <f t="shared" si="31"/>
        <v>0730</v>
      </c>
    </row>
    <row r="635" spans="1:9" x14ac:dyDescent="0.15">
      <c r="A635" s="67" t="s">
        <v>1573</v>
      </c>
      <c r="B635" s="67" t="s">
        <v>1574</v>
      </c>
      <c r="C635" s="67" t="s">
        <v>5332</v>
      </c>
      <c r="D635" s="67" t="s">
        <v>4473</v>
      </c>
      <c r="E635" s="67" t="s">
        <v>4474</v>
      </c>
      <c r="F635" s="67" t="s">
        <v>4336</v>
      </c>
      <c r="G635" s="67">
        <f t="shared" si="29"/>
        <v>1</v>
      </c>
      <c r="H635" s="67" t="str">
        <f t="shared" si="30"/>
        <v>000478梁朝容</v>
      </c>
      <c r="I635" s="67" t="str">
        <f t="shared" si="31"/>
        <v>0731</v>
      </c>
    </row>
    <row r="636" spans="1:9" x14ac:dyDescent="0.15">
      <c r="A636" s="67" t="s">
        <v>1575</v>
      </c>
      <c r="B636" s="67" t="s">
        <v>1576</v>
      </c>
      <c r="C636" s="67" t="s">
        <v>5333</v>
      </c>
      <c r="D636" s="67" t="s">
        <v>4473</v>
      </c>
      <c r="E636" s="67" t="s">
        <v>5334</v>
      </c>
      <c r="F636" s="67" t="s">
        <v>4336</v>
      </c>
      <c r="G636" s="67">
        <f t="shared" si="29"/>
        <v>1</v>
      </c>
      <c r="H636" s="67" t="str">
        <f t="shared" si="30"/>
        <v>000477万宇环</v>
      </c>
      <c r="I636" s="67" t="str">
        <f t="shared" si="31"/>
        <v>0732</v>
      </c>
    </row>
    <row r="637" spans="1:9" x14ac:dyDescent="0.15">
      <c r="A637" s="67" t="s">
        <v>1577</v>
      </c>
      <c r="B637" s="67" t="s">
        <v>1578</v>
      </c>
      <c r="C637" s="67" t="s">
        <v>5335</v>
      </c>
      <c r="D637" s="67" t="s">
        <v>4473</v>
      </c>
      <c r="E637" s="67" t="s">
        <v>5336</v>
      </c>
      <c r="F637" s="67" t="s">
        <v>4336</v>
      </c>
      <c r="G637" s="67">
        <f t="shared" si="29"/>
        <v>1</v>
      </c>
      <c r="H637" s="67" t="str">
        <f t="shared" si="30"/>
        <v>000476郭亚伟</v>
      </c>
      <c r="I637" s="67" t="str">
        <f t="shared" si="31"/>
        <v>0733</v>
      </c>
    </row>
    <row r="638" spans="1:9" x14ac:dyDescent="0.15">
      <c r="A638" s="67" t="s">
        <v>1579</v>
      </c>
      <c r="B638" s="67" t="s">
        <v>1580</v>
      </c>
      <c r="C638" s="67" t="s">
        <v>5337</v>
      </c>
      <c r="D638" s="67" t="s">
        <v>4473</v>
      </c>
      <c r="E638" s="67" t="s">
        <v>5338</v>
      </c>
      <c r="F638" s="67" t="s">
        <v>4336</v>
      </c>
      <c r="G638" s="67">
        <f t="shared" si="29"/>
        <v>1</v>
      </c>
      <c r="H638" s="67" t="str">
        <f t="shared" si="30"/>
        <v>000475蔡育成</v>
      </c>
      <c r="I638" s="67" t="str">
        <f t="shared" si="31"/>
        <v>0734</v>
      </c>
    </row>
    <row r="639" spans="1:9" x14ac:dyDescent="0.15">
      <c r="A639" s="67" t="s">
        <v>1581</v>
      </c>
      <c r="B639" s="67" t="s">
        <v>1582</v>
      </c>
      <c r="C639" s="67" t="s">
        <v>5339</v>
      </c>
      <c r="D639" s="67" t="s">
        <v>4473</v>
      </c>
      <c r="E639" s="67" t="s">
        <v>5340</v>
      </c>
      <c r="F639" s="67" t="s">
        <v>4336</v>
      </c>
      <c r="G639" s="67">
        <f t="shared" si="29"/>
        <v>1</v>
      </c>
      <c r="H639" s="67" t="str">
        <f t="shared" si="30"/>
        <v>000474侯彦青</v>
      </c>
      <c r="I639" s="67" t="str">
        <f t="shared" si="31"/>
        <v>0735</v>
      </c>
    </row>
    <row r="640" spans="1:9" x14ac:dyDescent="0.15">
      <c r="A640" s="67" t="s">
        <v>1583</v>
      </c>
      <c r="B640" s="67" t="s">
        <v>1584</v>
      </c>
      <c r="C640" s="67" t="s">
        <v>5341</v>
      </c>
      <c r="D640" s="67" t="s">
        <v>4473</v>
      </c>
      <c r="E640" s="67" t="s">
        <v>4474</v>
      </c>
      <c r="F640" s="67" t="s">
        <v>4336</v>
      </c>
      <c r="G640" s="67">
        <f t="shared" si="29"/>
        <v>2</v>
      </c>
      <c r="H640" s="67" t="str">
        <f t="shared" si="30"/>
        <v>000480王鹏</v>
      </c>
      <c r="I640" s="67" t="str">
        <f t="shared" si="31"/>
        <v>0736</v>
      </c>
    </row>
    <row r="641" spans="1:9" x14ac:dyDescent="0.15">
      <c r="A641" s="67" t="s">
        <v>1583</v>
      </c>
      <c r="B641" s="67" t="s">
        <v>1584</v>
      </c>
      <c r="C641" s="67" t="s">
        <v>5342</v>
      </c>
      <c r="D641" s="67" t="s">
        <v>4473</v>
      </c>
      <c r="E641" s="67" t="s">
        <v>4474</v>
      </c>
      <c r="F641" s="67" t="s">
        <v>4336</v>
      </c>
      <c r="G641" s="67">
        <f t="shared" si="29"/>
        <v>2</v>
      </c>
      <c r="H641" s="67" t="str">
        <f t="shared" si="30"/>
        <v>000811王鹏</v>
      </c>
      <c r="I641" s="67" t="str">
        <f t="shared" si="31"/>
        <v>0736</v>
      </c>
    </row>
    <row r="642" spans="1:9" x14ac:dyDescent="0.15">
      <c r="A642" s="67" t="s">
        <v>1585</v>
      </c>
      <c r="B642" s="67" t="s">
        <v>1586</v>
      </c>
      <c r="C642" s="67" t="s">
        <v>5343</v>
      </c>
      <c r="D642" s="67" t="s">
        <v>5344</v>
      </c>
      <c r="E642" s="67" t="s">
        <v>5345</v>
      </c>
      <c r="F642" s="67" t="s">
        <v>4336</v>
      </c>
      <c r="G642" s="67">
        <f t="shared" si="29"/>
        <v>1</v>
      </c>
      <c r="H642" s="67" t="str">
        <f t="shared" si="30"/>
        <v>000484陈文峰</v>
      </c>
      <c r="I642" s="67" t="str">
        <f t="shared" si="31"/>
        <v>0737</v>
      </c>
    </row>
    <row r="643" spans="1:9" x14ac:dyDescent="0.15">
      <c r="A643" s="67" t="s">
        <v>1587</v>
      </c>
      <c r="B643" s="67" t="s">
        <v>1588</v>
      </c>
      <c r="C643" s="67" t="s">
        <v>5346</v>
      </c>
      <c r="D643" s="67" t="s">
        <v>5344</v>
      </c>
      <c r="E643" s="67" t="s">
        <v>5274</v>
      </c>
      <c r="F643" s="67" t="s">
        <v>4336</v>
      </c>
      <c r="G643" s="67">
        <f t="shared" ref="G643:G706" si="32">COUNTIFS(B:B,B643)</f>
        <v>1</v>
      </c>
      <c r="H643" s="67" t="str">
        <f t="shared" ref="H643:H706" si="33">C643&amp;B643</f>
        <v>000485徐元明</v>
      </c>
      <c r="I643" s="67" t="str">
        <f t="shared" ref="I643:I706" si="34">A643</f>
        <v>0738</v>
      </c>
    </row>
    <row r="644" spans="1:9" x14ac:dyDescent="0.15">
      <c r="A644" s="67" t="s">
        <v>1589</v>
      </c>
      <c r="B644" s="67" t="s">
        <v>1590</v>
      </c>
      <c r="C644" s="67" t="s">
        <v>5347</v>
      </c>
      <c r="D644" s="67" t="s">
        <v>5344</v>
      </c>
      <c r="E644" s="67" t="s">
        <v>5274</v>
      </c>
      <c r="F644" s="67" t="s">
        <v>4336</v>
      </c>
      <c r="G644" s="67">
        <f t="shared" si="32"/>
        <v>1</v>
      </c>
      <c r="H644" s="67" t="str">
        <f t="shared" si="33"/>
        <v>000486廖少怀</v>
      </c>
      <c r="I644" s="67" t="str">
        <f t="shared" si="34"/>
        <v>0739</v>
      </c>
    </row>
    <row r="645" spans="1:9" x14ac:dyDescent="0.15">
      <c r="A645" s="67" t="s">
        <v>5348</v>
      </c>
      <c r="B645" s="67" t="s">
        <v>5349</v>
      </c>
      <c r="C645" s="67" t="s">
        <v>5350</v>
      </c>
      <c r="D645" s="67" t="s">
        <v>5220</v>
      </c>
      <c r="E645" s="67" t="s">
        <v>5221</v>
      </c>
      <c r="F645" s="67" t="s">
        <v>4336</v>
      </c>
      <c r="G645" s="67">
        <f t="shared" si="32"/>
        <v>1</v>
      </c>
      <c r="H645" s="67" t="str">
        <f t="shared" si="33"/>
        <v>000801临时工74</v>
      </c>
      <c r="I645" s="67" t="str">
        <f t="shared" si="34"/>
        <v>074</v>
      </c>
    </row>
    <row r="646" spans="1:9" x14ac:dyDescent="0.15">
      <c r="A646" s="67" t="s">
        <v>1591</v>
      </c>
      <c r="B646" s="67" t="s">
        <v>1592</v>
      </c>
      <c r="C646" s="67" t="s">
        <v>5351</v>
      </c>
      <c r="D646" s="67" t="s">
        <v>5352</v>
      </c>
      <c r="E646" s="67" t="s">
        <v>5353</v>
      </c>
      <c r="F646" s="67" t="s">
        <v>4336</v>
      </c>
      <c r="G646" s="67">
        <f t="shared" si="32"/>
        <v>1</v>
      </c>
      <c r="H646" s="67" t="str">
        <f t="shared" si="33"/>
        <v>000488何世雄</v>
      </c>
      <c r="I646" s="67" t="str">
        <f t="shared" si="34"/>
        <v>0740</v>
      </c>
    </row>
    <row r="647" spans="1:9" x14ac:dyDescent="0.15">
      <c r="A647" s="67" t="s">
        <v>1593</v>
      </c>
      <c r="B647" s="67" t="s">
        <v>1594</v>
      </c>
      <c r="C647" s="67" t="s">
        <v>5354</v>
      </c>
      <c r="D647" s="67" t="s">
        <v>5352</v>
      </c>
      <c r="E647" s="67" t="s">
        <v>5353</v>
      </c>
      <c r="F647" s="67" t="s">
        <v>4336</v>
      </c>
      <c r="G647" s="67">
        <f t="shared" si="32"/>
        <v>1</v>
      </c>
      <c r="H647" s="67" t="str">
        <f t="shared" si="33"/>
        <v>000489何瑞强</v>
      </c>
      <c r="I647" s="67" t="str">
        <f t="shared" si="34"/>
        <v>0741</v>
      </c>
    </row>
    <row r="648" spans="1:9" x14ac:dyDescent="0.15">
      <c r="A648" s="67" t="s">
        <v>1595</v>
      </c>
      <c r="B648" s="67" t="s">
        <v>1596</v>
      </c>
      <c r="C648" s="67" t="s">
        <v>5355</v>
      </c>
      <c r="D648" s="67" t="s">
        <v>5352</v>
      </c>
      <c r="E648" s="67" t="s">
        <v>5353</v>
      </c>
      <c r="F648" s="67" t="s">
        <v>4336</v>
      </c>
      <c r="G648" s="67">
        <f t="shared" si="32"/>
        <v>2</v>
      </c>
      <c r="H648" s="67" t="str">
        <f t="shared" si="33"/>
        <v>000487王亚军</v>
      </c>
      <c r="I648" s="67" t="str">
        <f t="shared" si="34"/>
        <v>0742</v>
      </c>
    </row>
    <row r="649" spans="1:9" x14ac:dyDescent="0.15">
      <c r="A649" s="67" t="s">
        <v>1595</v>
      </c>
      <c r="B649" s="67" t="s">
        <v>1596</v>
      </c>
      <c r="C649" s="67" t="s">
        <v>5356</v>
      </c>
      <c r="D649" s="67" t="s">
        <v>5352</v>
      </c>
      <c r="E649" s="67" t="s">
        <v>5353</v>
      </c>
      <c r="F649" s="67" t="s">
        <v>4336</v>
      </c>
      <c r="G649" s="67">
        <f t="shared" si="32"/>
        <v>2</v>
      </c>
      <c r="H649" s="67" t="str">
        <f t="shared" si="33"/>
        <v>000846王亚军</v>
      </c>
      <c r="I649" s="67" t="str">
        <f t="shared" si="34"/>
        <v>0742</v>
      </c>
    </row>
    <row r="650" spans="1:9" x14ac:dyDescent="0.15">
      <c r="A650" s="67" t="s">
        <v>1597</v>
      </c>
      <c r="B650" s="67" t="s">
        <v>1598</v>
      </c>
      <c r="C650" s="67" t="s">
        <v>5357</v>
      </c>
      <c r="D650" s="67" t="s">
        <v>5358</v>
      </c>
      <c r="E650" s="67" t="s">
        <v>5359</v>
      </c>
      <c r="F650" s="67" t="s">
        <v>4336</v>
      </c>
      <c r="G650" s="67">
        <f t="shared" si="32"/>
        <v>1</v>
      </c>
      <c r="H650" s="67" t="str">
        <f t="shared" si="33"/>
        <v>000490雷修民</v>
      </c>
      <c r="I650" s="67" t="str">
        <f t="shared" si="34"/>
        <v>0743</v>
      </c>
    </row>
    <row r="651" spans="1:9" x14ac:dyDescent="0.15">
      <c r="A651" s="67" t="s">
        <v>1599</v>
      </c>
      <c r="B651" s="67" t="s">
        <v>1600</v>
      </c>
      <c r="C651" s="67" t="s">
        <v>5360</v>
      </c>
      <c r="D651" s="67" t="s">
        <v>5361</v>
      </c>
      <c r="E651" s="67" t="s">
        <v>5362</v>
      </c>
      <c r="F651" s="67" t="s">
        <v>4336</v>
      </c>
      <c r="G651" s="67">
        <f t="shared" si="32"/>
        <v>2</v>
      </c>
      <c r="H651" s="67" t="str">
        <f t="shared" si="33"/>
        <v>000492王小标</v>
      </c>
      <c r="I651" s="67" t="str">
        <f t="shared" si="34"/>
        <v>0744</v>
      </c>
    </row>
    <row r="652" spans="1:9" x14ac:dyDescent="0.15">
      <c r="A652" s="67" t="s">
        <v>1599</v>
      </c>
      <c r="B652" s="67" t="s">
        <v>1600</v>
      </c>
      <c r="C652" s="67" t="s">
        <v>5363</v>
      </c>
      <c r="D652" s="67" t="s">
        <v>5361</v>
      </c>
      <c r="E652" s="67" t="s">
        <v>5362</v>
      </c>
      <c r="F652" s="67" t="s">
        <v>4336</v>
      </c>
      <c r="G652" s="67">
        <f t="shared" si="32"/>
        <v>2</v>
      </c>
      <c r="H652" s="67" t="str">
        <f t="shared" si="33"/>
        <v>000535王小标</v>
      </c>
      <c r="I652" s="67" t="str">
        <f t="shared" si="34"/>
        <v>0744</v>
      </c>
    </row>
    <row r="653" spans="1:9" x14ac:dyDescent="0.15">
      <c r="A653" s="67" t="s">
        <v>1601</v>
      </c>
      <c r="B653" s="67" t="s">
        <v>1602</v>
      </c>
      <c r="C653" s="67" t="s">
        <v>5364</v>
      </c>
      <c r="D653" s="67" t="s">
        <v>5361</v>
      </c>
      <c r="E653" s="67" t="s">
        <v>5365</v>
      </c>
      <c r="F653" s="67" t="s">
        <v>4336</v>
      </c>
      <c r="G653" s="67">
        <f t="shared" si="32"/>
        <v>1</v>
      </c>
      <c r="H653" s="67" t="str">
        <f t="shared" si="33"/>
        <v>000491张武</v>
      </c>
      <c r="I653" s="67" t="str">
        <f t="shared" si="34"/>
        <v>0745</v>
      </c>
    </row>
    <row r="654" spans="1:9" x14ac:dyDescent="0.15">
      <c r="A654" s="67" t="s">
        <v>1603</v>
      </c>
      <c r="B654" s="67" t="s">
        <v>1604</v>
      </c>
      <c r="C654" s="67" t="s">
        <v>5366</v>
      </c>
      <c r="D654" s="67" t="s">
        <v>4525</v>
      </c>
      <c r="E654" s="67" t="s">
        <v>5205</v>
      </c>
      <c r="F654" s="67" t="s">
        <v>4336</v>
      </c>
      <c r="G654" s="67">
        <f t="shared" si="32"/>
        <v>2</v>
      </c>
      <c r="H654" s="67" t="str">
        <f t="shared" si="33"/>
        <v>000509何芝红</v>
      </c>
      <c r="I654" s="67" t="str">
        <f t="shared" si="34"/>
        <v>0746</v>
      </c>
    </row>
    <row r="655" spans="1:9" x14ac:dyDescent="0.15">
      <c r="A655" s="67" t="s">
        <v>1603</v>
      </c>
      <c r="B655" s="67" t="s">
        <v>1604</v>
      </c>
      <c r="C655" s="67" t="s">
        <v>5367</v>
      </c>
      <c r="D655" s="67" t="s">
        <v>4525</v>
      </c>
      <c r="E655" s="67" t="s">
        <v>5368</v>
      </c>
      <c r="F655" s="67" t="s">
        <v>4336</v>
      </c>
      <c r="G655" s="67">
        <f t="shared" si="32"/>
        <v>2</v>
      </c>
      <c r="H655" s="67" t="str">
        <f t="shared" si="33"/>
        <v>000644何芝红</v>
      </c>
      <c r="I655" s="67" t="str">
        <f t="shared" si="34"/>
        <v>0746</v>
      </c>
    </row>
    <row r="656" spans="1:9" x14ac:dyDescent="0.15">
      <c r="A656" s="67" t="s">
        <v>1605</v>
      </c>
      <c r="B656" s="67" t="s">
        <v>1606</v>
      </c>
      <c r="C656" s="67" t="s">
        <v>5369</v>
      </c>
      <c r="D656" s="67" t="s">
        <v>5370</v>
      </c>
      <c r="E656" s="67" t="s">
        <v>5371</v>
      </c>
      <c r="F656" s="67" t="s">
        <v>4336</v>
      </c>
      <c r="G656" s="67">
        <f t="shared" si="32"/>
        <v>1</v>
      </c>
      <c r="H656" s="67" t="str">
        <f t="shared" si="33"/>
        <v>000511孙猛</v>
      </c>
      <c r="I656" s="67" t="str">
        <f t="shared" si="34"/>
        <v>0747</v>
      </c>
    </row>
    <row r="657" spans="1:9" x14ac:dyDescent="0.15">
      <c r="A657" s="67" t="s">
        <v>1607</v>
      </c>
      <c r="B657" s="67" t="s">
        <v>1608</v>
      </c>
      <c r="C657" s="67" t="s">
        <v>5372</v>
      </c>
      <c r="D657" s="67" t="s">
        <v>4346</v>
      </c>
      <c r="E657" s="67" t="s">
        <v>4347</v>
      </c>
      <c r="F657" s="67" t="s">
        <v>4336</v>
      </c>
      <c r="G657" s="67">
        <f t="shared" si="32"/>
        <v>1</v>
      </c>
      <c r="H657" s="67" t="str">
        <f t="shared" si="33"/>
        <v>000512冉海荣</v>
      </c>
      <c r="I657" s="67" t="str">
        <f t="shared" si="34"/>
        <v>0748</v>
      </c>
    </row>
    <row r="658" spans="1:9" x14ac:dyDescent="0.15">
      <c r="A658" s="67" t="s">
        <v>1609</v>
      </c>
      <c r="B658" s="67" t="s">
        <v>1610</v>
      </c>
      <c r="C658" s="67" t="s">
        <v>5373</v>
      </c>
      <c r="D658" s="67" t="s">
        <v>4403</v>
      </c>
      <c r="E658" s="67" t="s">
        <v>4404</v>
      </c>
      <c r="F658" s="67" t="s">
        <v>4336</v>
      </c>
      <c r="G658" s="67">
        <f t="shared" si="32"/>
        <v>1</v>
      </c>
      <c r="H658" s="67" t="str">
        <f t="shared" si="33"/>
        <v>000553何文祥</v>
      </c>
      <c r="I658" s="67" t="str">
        <f t="shared" si="34"/>
        <v>0749</v>
      </c>
    </row>
    <row r="659" spans="1:9" x14ac:dyDescent="0.15">
      <c r="A659" s="67" t="s">
        <v>5374</v>
      </c>
      <c r="B659" s="67" t="s">
        <v>5375</v>
      </c>
      <c r="C659" s="67" t="s">
        <v>5376</v>
      </c>
      <c r="D659" s="67" t="s">
        <v>5220</v>
      </c>
      <c r="E659" s="67" t="s">
        <v>5221</v>
      </c>
      <c r="F659" s="67" t="s">
        <v>4336</v>
      </c>
      <c r="G659" s="67">
        <f t="shared" si="32"/>
        <v>1</v>
      </c>
      <c r="H659" s="67" t="str">
        <f t="shared" si="33"/>
        <v>000802临时工75</v>
      </c>
      <c r="I659" s="67" t="str">
        <f t="shared" si="34"/>
        <v>075</v>
      </c>
    </row>
    <row r="660" spans="1:9" x14ac:dyDescent="0.15">
      <c r="A660" s="67" t="s">
        <v>1611</v>
      </c>
      <c r="B660" s="67" t="s">
        <v>1612</v>
      </c>
      <c r="C660" s="67" t="s">
        <v>5377</v>
      </c>
      <c r="D660" s="67" t="s">
        <v>5378</v>
      </c>
      <c r="E660" s="67" t="s">
        <v>5379</v>
      </c>
      <c r="F660" s="67" t="s">
        <v>4336</v>
      </c>
      <c r="G660" s="67">
        <f t="shared" si="32"/>
        <v>1</v>
      </c>
      <c r="H660" s="67" t="str">
        <f t="shared" si="33"/>
        <v>000515陈虎</v>
      </c>
      <c r="I660" s="67" t="str">
        <f t="shared" si="34"/>
        <v>0750</v>
      </c>
    </row>
    <row r="661" spans="1:9" x14ac:dyDescent="0.15">
      <c r="A661" s="67" t="s">
        <v>1613</v>
      </c>
      <c r="B661" s="67" t="s">
        <v>1614</v>
      </c>
      <c r="C661" s="67" t="s">
        <v>5380</v>
      </c>
      <c r="D661" s="67" t="s">
        <v>5378</v>
      </c>
      <c r="E661" s="67" t="s">
        <v>5381</v>
      </c>
      <c r="F661" s="67" t="s">
        <v>4336</v>
      </c>
      <c r="G661" s="67">
        <f t="shared" si="32"/>
        <v>1</v>
      </c>
      <c r="H661" s="67" t="str">
        <f t="shared" si="33"/>
        <v>000514程武</v>
      </c>
      <c r="I661" s="67" t="str">
        <f t="shared" si="34"/>
        <v>0751</v>
      </c>
    </row>
    <row r="662" spans="1:9" x14ac:dyDescent="0.15">
      <c r="A662" s="67" t="s">
        <v>1615</v>
      </c>
      <c r="B662" s="67" t="s">
        <v>1616</v>
      </c>
      <c r="C662" s="67" t="s">
        <v>5382</v>
      </c>
      <c r="D662" s="67" t="s">
        <v>4415</v>
      </c>
      <c r="E662" s="67" t="s">
        <v>4416</v>
      </c>
      <c r="F662" s="67" t="s">
        <v>4336</v>
      </c>
      <c r="G662" s="67">
        <f t="shared" si="32"/>
        <v>1</v>
      </c>
      <c r="H662" s="67" t="str">
        <f t="shared" si="33"/>
        <v>000516任小钢</v>
      </c>
      <c r="I662" s="67" t="str">
        <f t="shared" si="34"/>
        <v>0752</v>
      </c>
    </row>
    <row r="663" spans="1:9" x14ac:dyDescent="0.15">
      <c r="A663" s="67" t="s">
        <v>1617</v>
      </c>
      <c r="B663" s="67" t="s">
        <v>1618</v>
      </c>
      <c r="C663" s="67" t="s">
        <v>5383</v>
      </c>
      <c r="D663" s="67" t="s">
        <v>4415</v>
      </c>
      <c r="E663" s="67" t="s">
        <v>5384</v>
      </c>
      <c r="F663" s="67" t="s">
        <v>4336</v>
      </c>
      <c r="G663" s="67">
        <f t="shared" si="32"/>
        <v>1</v>
      </c>
      <c r="H663" s="67" t="str">
        <f t="shared" si="33"/>
        <v>000517江虎</v>
      </c>
      <c r="I663" s="67" t="str">
        <f t="shared" si="34"/>
        <v>0753</v>
      </c>
    </row>
    <row r="664" spans="1:9" x14ac:dyDescent="0.15">
      <c r="A664" s="67" t="s">
        <v>1619</v>
      </c>
      <c r="B664" s="67" t="s">
        <v>1620</v>
      </c>
      <c r="C664" s="67" t="s">
        <v>5385</v>
      </c>
      <c r="D664" s="67" t="s">
        <v>4415</v>
      </c>
      <c r="E664" s="67" t="s">
        <v>5386</v>
      </c>
      <c r="F664" s="67" t="s">
        <v>4336</v>
      </c>
      <c r="G664" s="67">
        <f t="shared" si="32"/>
        <v>1</v>
      </c>
      <c r="H664" s="67" t="str">
        <f t="shared" si="33"/>
        <v>000518宋羽翼</v>
      </c>
      <c r="I664" s="67" t="str">
        <f t="shared" si="34"/>
        <v>0754</v>
      </c>
    </row>
    <row r="665" spans="1:9" x14ac:dyDescent="0.15">
      <c r="A665" s="67" t="s">
        <v>1621</v>
      </c>
      <c r="B665" s="67" t="s">
        <v>1622</v>
      </c>
      <c r="C665" s="67" t="s">
        <v>5387</v>
      </c>
      <c r="D665" s="67" t="s">
        <v>4403</v>
      </c>
      <c r="E665" s="67" t="s">
        <v>5388</v>
      </c>
      <c r="F665" s="67" t="s">
        <v>4336</v>
      </c>
      <c r="G665" s="67">
        <f t="shared" si="32"/>
        <v>1</v>
      </c>
      <c r="H665" s="67" t="str">
        <f t="shared" si="33"/>
        <v>000552郑星飞</v>
      </c>
      <c r="I665" s="67" t="str">
        <f t="shared" si="34"/>
        <v>0755</v>
      </c>
    </row>
    <row r="666" spans="1:9" x14ac:dyDescent="0.15">
      <c r="A666" s="67" t="s">
        <v>1623</v>
      </c>
      <c r="B666" s="67" t="s">
        <v>1624</v>
      </c>
      <c r="C666" s="67" t="s">
        <v>5389</v>
      </c>
      <c r="D666" s="67" t="s">
        <v>4795</v>
      </c>
      <c r="E666" s="67" t="s">
        <v>4796</v>
      </c>
      <c r="F666" s="67" t="s">
        <v>4336</v>
      </c>
      <c r="G666" s="67">
        <f t="shared" si="32"/>
        <v>1</v>
      </c>
      <c r="H666" s="67" t="str">
        <f t="shared" si="33"/>
        <v>000556王成兵</v>
      </c>
      <c r="I666" s="67" t="str">
        <f t="shared" si="34"/>
        <v>0756</v>
      </c>
    </row>
    <row r="667" spans="1:9" x14ac:dyDescent="0.15">
      <c r="A667" s="67" t="s">
        <v>88</v>
      </c>
      <c r="B667" s="67" t="s">
        <v>90</v>
      </c>
      <c r="C667" s="67" t="s">
        <v>5390</v>
      </c>
      <c r="D667" s="67" t="s">
        <v>5391</v>
      </c>
      <c r="E667" s="67" t="s">
        <v>5392</v>
      </c>
      <c r="F667" s="67" t="s">
        <v>4336</v>
      </c>
      <c r="G667" s="67">
        <f t="shared" si="32"/>
        <v>1</v>
      </c>
      <c r="H667" s="67" t="str">
        <f t="shared" si="33"/>
        <v>000557林小军</v>
      </c>
      <c r="I667" s="67" t="str">
        <f t="shared" si="34"/>
        <v>0757</v>
      </c>
    </row>
    <row r="668" spans="1:9" x14ac:dyDescent="0.15">
      <c r="A668" s="67" t="s">
        <v>1625</v>
      </c>
      <c r="B668" s="67" t="s">
        <v>1626</v>
      </c>
      <c r="C668" s="67" t="s">
        <v>5393</v>
      </c>
      <c r="D668" s="67" t="s">
        <v>4462</v>
      </c>
      <c r="E668" s="67" t="s">
        <v>4463</v>
      </c>
      <c r="F668" s="67" t="s">
        <v>4336</v>
      </c>
      <c r="G668" s="67">
        <f t="shared" si="32"/>
        <v>1</v>
      </c>
      <c r="H668" s="67" t="str">
        <f t="shared" si="33"/>
        <v>000558郑艳明</v>
      </c>
      <c r="I668" s="67" t="str">
        <f t="shared" si="34"/>
        <v>0758</v>
      </c>
    </row>
    <row r="669" spans="1:9" x14ac:dyDescent="0.15">
      <c r="A669" s="67" t="s">
        <v>5394</v>
      </c>
      <c r="B669" s="67" t="s">
        <v>5395</v>
      </c>
      <c r="C669" s="67" t="s">
        <v>5396</v>
      </c>
      <c r="D669" s="67" t="s">
        <v>5397</v>
      </c>
      <c r="E669" s="67" t="s">
        <v>5398</v>
      </c>
      <c r="F669" s="67" t="s">
        <v>4336</v>
      </c>
      <c r="G669" s="67">
        <f t="shared" si="32"/>
        <v>1</v>
      </c>
      <c r="H669" s="67" t="str">
        <f t="shared" si="33"/>
        <v>000813临时工76</v>
      </c>
      <c r="I669" s="67" t="str">
        <f t="shared" si="34"/>
        <v>076</v>
      </c>
    </row>
    <row r="670" spans="1:9" x14ac:dyDescent="0.15">
      <c r="A670" s="67" t="s">
        <v>1627</v>
      </c>
      <c r="B670" s="67" t="s">
        <v>1628</v>
      </c>
      <c r="C670" s="67" t="s">
        <v>5399</v>
      </c>
      <c r="D670" s="67" t="s">
        <v>4708</v>
      </c>
      <c r="E670" s="67" t="s">
        <v>5400</v>
      </c>
      <c r="F670" s="67" t="s">
        <v>4336</v>
      </c>
      <c r="G670" s="67">
        <f t="shared" si="32"/>
        <v>2</v>
      </c>
      <c r="H670" s="67" t="str">
        <f t="shared" si="33"/>
        <v>000560赵义俊</v>
      </c>
      <c r="I670" s="67" t="str">
        <f t="shared" si="34"/>
        <v>0760</v>
      </c>
    </row>
    <row r="671" spans="1:9" x14ac:dyDescent="0.15">
      <c r="A671" s="67" t="s">
        <v>1627</v>
      </c>
      <c r="B671" s="67" t="s">
        <v>1628</v>
      </c>
      <c r="C671" s="67" t="s">
        <v>5401</v>
      </c>
      <c r="D671" s="67" t="s">
        <v>4708</v>
      </c>
      <c r="E671" s="67" t="s">
        <v>5402</v>
      </c>
      <c r="F671" s="67" t="s">
        <v>4336</v>
      </c>
      <c r="G671" s="67">
        <f t="shared" si="32"/>
        <v>2</v>
      </c>
      <c r="H671" s="67" t="str">
        <f t="shared" si="33"/>
        <v>000561赵义俊</v>
      </c>
      <c r="I671" s="67" t="str">
        <f t="shared" si="34"/>
        <v>0760</v>
      </c>
    </row>
    <row r="672" spans="1:9" x14ac:dyDescent="0.15">
      <c r="A672" s="67" t="s">
        <v>1629</v>
      </c>
      <c r="B672" s="67" t="s">
        <v>1630</v>
      </c>
      <c r="C672" s="67" t="s">
        <v>5403</v>
      </c>
      <c r="D672" s="67" t="s">
        <v>4572</v>
      </c>
      <c r="E672" s="67" t="s">
        <v>4573</v>
      </c>
      <c r="F672" s="67" t="s">
        <v>4336</v>
      </c>
      <c r="G672" s="67">
        <f t="shared" si="32"/>
        <v>1</v>
      </c>
      <c r="H672" s="67" t="str">
        <f t="shared" si="33"/>
        <v>000567张叶</v>
      </c>
      <c r="I672" s="67" t="str">
        <f t="shared" si="34"/>
        <v>0761</v>
      </c>
    </row>
    <row r="673" spans="1:9" x14ac:dyDescent="0.15">
      <c r="A673" s="67" t="s">
        <v>1631</v>
      </c>
      <c r="B673" s="67" t="s">
        <v>1632</v>
      </c>
      <c r="C673" s="67" t="s">
        <v>5404</v>
      </c>
      <c r="D673" s="67" t="s">
        <v>4572</v>
      </c>
      <c r="E673" s="67" t="s">
        <v>4573</v>
      </c>
      <c r="F673" s="67" t="s">
        <v>4336</v>
      </c>
      <c r="G673" s="67">
        <f t="shared" si="32"/>
        <v>1</v>
      </c>
      <c r="H673" s="67" t="str">
        <f t="shared" si="33"/>
        <v>000564李敬山</v>
      </c>
      <c r="I673" s="67" t="str">
        <f t="shared" si="34"/>
        <v>0762</v>
      </c>
    </row>
    <row r="674" spans="1:9" x14ac:dyDescent="0.15">
      <c r="A674" s="67" t="s">
        <v>1633</v>
      </c>
      <c r="B674" s="67" t="s">
        <v>1634</v>
      </c>
      <c r="C674" s="67" t="s">
        <v>5405</v>
      </c>
      <c r="D674" s="67" t="s">
        <v>4572</v>
      </c>
      <c r="E674" s="67" t="s">
        <v>4573</v>
      </c>
      <c r="F674" s="67" t="s">
        <v>4336</v>
      </c>
      <c r="G674" s="67">
        <f t="shared" si="32"/>
        <v>1</v>
      </c>
      <c r="H674" s="67" t="str">
        <f t="shared" si="33"/>
        <v>000565卜电业</v>
      </c>
      <c r="I674" s="67" t="str">
        <f t="shared" si="34"/>
        <v>0763</v>
      </c>
    </row>
    <row r="675" spans="1:9" x14ac:dyDescent="0.15">
      <c r="A675" s="67" t="s">
        <v>1635</v>
      </c>
      <c r="B675" s="67" t="s">
        <v>1636</v>
      </c>
      <c r="C675" s="67" t="s">
        <v>5406</v>
      </c>
      <c r="D675" s="67" t="s">
        <v>4572</v>
      </c>
      <c r="E675" s="67" t="s">
        <v>5407</v>
      </c>
      <c r="F675" s="67" t="s">
        <v>4336</v>
      </c>
      <c r="G675" s="67">
        <f t="shared" si="32"/>
        <v>1</v>
      </c>
      <c r="H675" s="67" t="str">
        <f t="shared" si="33"/>
        <v>000568毕诗翔</v>
      </c>
      <c r="I675" s="67" t="str">
        <f t="shared" si="34"/>
        <v>0764</v>
      </c>
    </row>
    <row r="676" spans="1:9" x14ac:dyDescent="0.15">
      <c r="A676" s="67" t="s">
        <v>1637</v>
      </c>
      <c r="B676" s="67" t="s">
        <v>1638</v>
      </c>
      <c r="C676" s="67" t="s">
        <v>5408</v>
      </c>
      <c r="D676" s="67" t="s">
        <v>4872</v>
      </c>
      <c r="E676" s="67" t="s">
        <v>5409</v>
      </c>
      <c r="F676" s="67" t="s">
        <v>4336</v>
      </c>
      <c r="G676" s="67">
        <f t="shared" si="32"/>
        <v>2</v>
      </c>
      <c r="H676" s="67" t="str">
        <f t="shared" si="33"/>
        <v>000569蔡丽楠</v>
      </c>
      <c r="I676" s="67" t="str">
        <f t="shared" si="34"/>
        <v>0765</v>
      </c>
    </row>
    <row r="677" spans="1:9" x14ac:dyDescent="0.15">
      <c r="A677" s="67" t="s">
        <v>1637</v>
      </c>
      <c r="B677" s="67" t="s">
        <v>1638</v>
      </c>
      <c r="C677" s="67" t="s">
        <v>5410</v>
      </c>
      <c r="D677" s="67" t="s">
        <v>4872</v>
      </c>
      <c r="E677" s="67" t="s">
        <v>4813</v>
      </c>
      <c r="F677" s="67" t="s">
        <v>4336</v>
      </c>
      <c r="G677" s="67">
        <f t="shared" si="32"/>
        <v>2</v>
      </c>
      <c r="H677" s="67" t="str">
        <f t="shared" si="33"/>
        <v>000677蔡丽楠</v>
      </c>
      <c r="I677" s="67" t="str">
        <f t="shared" si="34"/>
        <v>0765</v>
      </c>
    </row>
    <row r="678" spans="1:9" x14ac:dyDescent="0.15">
      <c r="A678" s="67" t="s">
        <v>1639</v>
      </c>
      <c r="B678" s="67" t="s">
        <v>1640</v>
      </c>
      <c r="C678" s="67" t="s">
        <v>5411</v>
      </c>
      <c r="D678" s="67" t="s">
        <v>4723</v>
      </c>
      <c r="E678" s="67" t="s">
        <v>4724</v>
      </c>
      <c r="F678" s="67" t="s">
        <v>4336</v>
      </c>
      <c r="G678" s="67">
        <f t="shared" si="32"/>
        <v>2</v>
      </c>
      <c r="H678" s="67" t="str">
        <f t="shared" si="33"/>
        <v>000722姬健</v>
      </c>
      <c r="I678" s="67" t="str">
        <f t="shared" si="34"/>
        <v>0766</v>
      </c>
    </row>
    <row r="679" spans="1:9" x14ac:dyDescent="0.15">
      <c r="A679" s="67" t="s">
        <v>1639</v>
      </c>
      <c r="B679" s="67" t="s">
        <v>1640</v>
      </c>
      <c r="C679" s="67" t="s">
        <v>5412</v>
      </c>
      <c r="D679" s="67" t="s">
        <v>4723</v>
      </c>
      <c r="E679" s="67" t="s">
        <v>4724</v>
      </c>
      <c r="F679" s="67" t="s">
        <v>4336</v>
      </c>
      <c r="G679" s="67">
        <f t="shared" si="32"/>
        <v>2</v>
      </c>
      <c r="H679" s="67" t="str">
        <f t="shared" si="33"/>
        <v>000570姬健</v>
      </c>
      <c r="I679" s="67" t="str">
        <f t="shared" si="34"/>
        <v>0766</v>
      </c>
    </row>
    <row r="680" spans="1:9" x14ac:dyDescent="0.15">
      <c r="A680" s="67" t="s">
        <v>1641</v>
      </c>
      <c r="B680" s="67" t="s">
        <v>1642</v>
      </c>
      <c r="C680" s="67" t="s">
        <v>5413</v>
      </c>
      <c r="D680" s="67" t="s">
        <v>4723</v>
      </c>
      <c r="E680" s="67" t="s">
        <v>4724</v>
      </c>
      <c r="F680" s="67" t="s">
        <v>4336</v>
      </c>
      <c r="G680" s="67">
        <f t="shared" si="32"/>
        <v>1</v>
      </c>
      <c r="H680" s="67" t="str">
        <f t="shared" si="33"/>
        <v>000573方天全</v>
      </c>
      <c r="I680" s="67" t="str">
        <f t="shared" si="34"/>
        <v>0767</v>
      </c>
    </row>
    <row r="681" spans="1:9" x14ac:dyDescent="0.15">
      <c r="A681" s="67" t="s">
        <v>1643</v>
      </c>
      <c r="B681" s="67" t="s">
        <v>1644</v>
      </c>
      <c r="C681" s="67" t="s">
        <v>5414</v>
      </c>
      <c r="D681" s="67" t="s">
        <v>4723</v>
      </c>
      <c r="E681" s="67" t="s">
        <v>4724</v>
      </c>
      <c r="F681" s="67" t="s">
        <v>4336</v>
      </c>
      <c r="G681" s="67">
        <f t="shared" si="32"/>
        <v>1</v>
      </c>
      <c r="H681" s="67" t="str">
        <f t="shared" si="33"/>
        <v>000572余旭东</v>
      </c>
      <c r="I681" s="67" t="str">
        <f t="shared" si="34"/>
        <v>0768</v>
      </c>
    </row>
    <row r="682" spans="1:9" x14ac:dyDescent="0.15">
      <c r="A682" s="67" t="s">
        <v>1645</v>
      </c>
      <c r="B682" s="67" t="s">
        <v>1646</v>
      </c>
      <c r="C682" s="67" t="s">
        <v>5415</v>
      </c>
      <c r="D682" s="67" t="s">
        <v>4723</v>
      </c>
      <c r="E682" s="67" t="s">
        <v>5416</v>
      </c>
      <c r="F682" s="67" t="s">
        <v>4336</v>
      </c>
      <c r="G682" s="67">
        <f t="shared" si="32"/>
        <v>1</v>
      </c>
      <c r="H682" s="67" t="str">
        <f t="shared" si="33"/>
        <v>000571张洪源</v>
      </c>
      <c r="I682" s="67" t="str">
        <f t="shared" si="34"/>
        <v>0769</v>
      </c>
    </row>
    <row r="683" spans="1:9" x14ac:dyDescent="0.15">
      <c r="A683" s="67" t="s">
        <v>5417</v>
      </c>
      <c r="B683" s="67" t="s">
        <v>5418</v>
      </c>
      <c r="C683" s="67" t="s">
        <v>5419</v>
      </c>
      <c r="D683" s="67" t="s">
        <v>5397</v>
      </c>
      <c r="E683" s="67" t="s">
        <v>5398</v>
      </c>
      <c r="F683" s="67" t="s">
        <v>4336</v>
      </c>
      <c r="G683" s="67">
        <f t="shared" si="32"/>
        <v>1</v>
      </c>
      <c r="H683" s="67" t="str">
        <f t="shared" si="33"/>
        <v>000814临时工77</v>
      </c>
      <c r="I683" s="67" t="str">
        <f t="shared" si="34"/>
        <v>077</v>
      </c>
    </row>
    <row r="684" spans="1:9" x14ac:dyDescent="0.15">
      <c r="A684" s="67" t="s">
        <v>1647</v>
      </c>
      <c r="B684" s="67" t="s">
        <v>1648</v>
      </c>
      <c r="C684" s="67" t="s">
        <v>5420</v>
      </c>
      <c r="D684" s="67" t="s">
        <v>4723</v>
      </c>
      <c r="E684" s="67" t="s">
        <v>4724</v>
      </c>
      <c r="F684" s="67" t="s">
        <v>4336</v>
      </c>
      <c r="G684" s="67">
        <f t="shared" si="32"/>
        <v>1</v>
      </c>
      <c r="H684" s="67" t="str">
        <f t="shared" si="33"/>
        <v>000576朱健</v>
      </c>
      <c r="I684" s="67" t="str">
        <f t="shared" si="34"/>
        <v>0770</v>
      </c>
    </row>
    <row r="685" spans="1:9" x14ac:dyDescent="0.15">
      <c r="A685" s="67" t="s">
        <v>1651</v>
      </c>
      <c r="B685" s="67" t="s">
        <v>285</v>
      </c>
      <c r="C685" s="67" t="s">
        <v>5421</v>
      </c>
      <c r="D685" s="67" t="s">
        <v>4723</v>
      </c>
      <c r="E685" s="67" t="s">
        <v>4724</v>
      </c>
      <c r="F685" s="67" t="s">
        <v>4336</v>
      </c>
      <c r="G685" s="67">
        <f t="shared" si="32"/>
        <v>2</v>
      </c>
      <c r="H685" s="67" t="str">
        <f t="shared" si="33"/>
        <v>000578张勇</v>
      </c>
      <c r="I685" s="67" t="str">
        <f t="shared" si="34"/>
        <v>0772</v>
      </c>
    </row>
    <row r="686" spans="1:9" x14ac:dyDescent="0.15">
      <c r="A686" s="67" t="s">
        <v>1652</v>
      </c>
      <c r="B686" s="67" t="s">
        <v>1653</v>
      </c>
      <c r="C686" s="67" t="s">
        <v>5422</v>
      </c>
      <c r="D686" s="67" t="s">
        <v>4723</v>
      </c>
      <c r="E686" s="67" t="s">
        <v>5423</v>
      </c>
      <c r="F686" s="67" t="s">
        <v>4336</v>
      </c>
      <c r="G686" s="67">
        <f t="shared" si="32"/>
        <v>1</v>
      </c>
      <c r="H686" s="67" t="str">
        <f t="shared" si="33"/>
        <v>000577王圣松</v>
      </c>
      <c r="I686" s="67" t="str">
        <f t="shared" si="34"/>
        <v>0773</v>
      </c>
    </row>
    <row r="687" spans="1:9" x14ac:dyDescent="0.15">
      <c r="A687" s="67" t="s">
        <v>1654</v>
      </c>
      <c r="B687" s="67" t="s">
        <v>1655</v>
      </c>
      <c r="C687" s="67" t="s">
        <v>5424</v>
      </c>
      <c r="D687" s="67" t="s">
        <v>4737</v>
      </c>
      <c r="E687" s="67" t="s">
        <v>4738</v>
      </c>
      <c r="F687" s="67" t="s">
        <v>4336</v>
      </c>
      <c r="G687" s="67">
        <f t="shared" si="32"/>
        <v>1</v>
      </c>
      <c r="H687" s="67" t="str">
        <f t="shared" si="33"/>
        <v>000583李生宽</v>
      </c>
      <c r="I687" s="67" t="str">
        <f t="shared" si="34"/>
        <v>0774</v>
      </c>
    </row>
    <row r="688" spans="1:9" x14ac:dyDescent="0.15">
      <c r="A688" s="67" t="s">
        <v>1656</v>
      </c>
      <c r="B688" s="67" t="s">
        <v>1657</v>
      </c>
      <c r="C688" s="67" t="s">
        <v>5425</v>
      </c>
      <c r="D688" s="67" t="s">
        <v>5426</v>
      </c>
      <c r="E688" s="67" t="s">
        <v>5427</v>
      </c>
      <c r="F688" s="67" t="s">
        <v>4336</v>
      </c>
      <c r="G688" s="67">
        <f t="shared" si="32"/>
        <v>1</v>
      </c>
      <c r="H688" s="67" t="str">
        <f t="shared" si="33"/>
        <v>000584彭群辉</v>
      </c>
      <c r="I688" s="67" t="str">
        <f t="shared" si="34"/>
        <v>0775</v>
      </c>
    </row>
    <row r="689" spans="1:9" x14ac:dyDescent="0.15">
      <c r="A689" s="67" t="s">
        <v>1658</v>
      </c>
      <c r="B689" s="67" t="s">
        <v>2571</v>
      </c>
      <c r="C689" s="67" t="s">
        <v>5428</v>
      </c>
      <c r="D689" s="67" t="s">
        <v>5429</v>
      </c>
      <c r="E689" s="67" t="s">
        <v>5430</v>
      </c>
      <c r="F689" s="67" t="s">
        <v>4336</v>
      </c>
      <c r="G689" s="67">
        <f t="shared" si="32"/>
        <v>2</v>
      </c>
      <c r="H689" s="67" t="str">
        <f t="shared" si="33"/>
        <v>000603林鑫</v>
      </c>
      <c r="I689" s="67" t="str">
        <f t="shared" si="34"/>
        <v>0776</v>
      </c>
    </row>
    <row r="690" spans="1:9" x14ac:dyDescent="0.15">
      <c r="A690" s="67" t="s">
        <v>1658</v>
      </c>
      <c r="B690" s="67" t="s">
        <v>2571</v>
      </c>
      <c r="C690" s="67" t="s">
        <v>5431</v>
      </c>
      <c r="D690" s="67" t="s">
        <v>5429</v>
      </c>
      <c r="E690" s="67" t="s">
        <v>5430</v>
      </c>
      <c r="F690" s="67" t="s">
        <v>4336</v>
      </c>
      <c r="G690" s="67">
        <f t="shared" si="32"/>
        <v>2</v>
      </c>
      <c r="H690" s="67" t="str">
        <f t="shared" si="33"/>
        <v>000589林鑫</v>
      </c>
      <c r="I690" s="67" t="str">
        <f t="shared" si="34"/>
        <v>0776</v>
      </c>
    </row>
    <row r="691" spans="1:9" x14ac:dyDescent="0.15">
      <c r="A691" s="67" t="s">
        <v>1660</v>
      </c>
      <c r="B691" s="67" t="s">
        <v>1661</v>
      </c>
      <c r="C691" s="67" t="s">
        <v>5432</v>
      </c>
      <c r="D691" s="67" t="s">
        <v>5429</v>
      </c>
      <c r="E691" s="67" t="s">
        <v>5430</v>
      </c>
      <c r="F691" s="67" t="s">
        <v>4336</v>
      </c>
      <c r="G691" s="67">
        <f t="shared" si="32"/>
        <v>1</v>
      </c>
      <c r="H691" s="67" t="str">
        <f t="shared" si="33"/>
        <v>000588义志和</v>
      </c>
      <c r="I691" s="67" t="str">
        <f t="shared" si="34"/>
        <v>0777</v>
      </c>
    </row>
    <row r="692" spans="1:9" x14ac:dyDescent="0.15">
      <c r="A692" s="67" t="s">
        <v>1662</v>
      </c>
      <c r="B692" s="67" t="s">
        <v>1663</v>
      </c>
      <c r="C692" s="67" t="s">
        <v>5433</v>
      </c>
      <c r="D692" s="67" t="s">
        <v>5429</v>
      </c>
      <c r="E692" s="67" t="s">
        <v>5430</v>
      </c>
      <c r="F692" s="67" t="s">
        <v>4336</v>
      </c>
      <c r="G692" s="67">
        <f t="shared" si="32"/>
        <v>2</v>
      </c>
      <c r="H692" s="67" t="str">
        <f t="shared" si="33"/>
        <v>000587黄智勇</v>
      </c>
      <c r="I692" s="67" t="str">
        <f t="shared" si="34"/>
        <v>0778</v>
      </c>
    </row>
    <row r="693" spans="1:9" x14ac:dyDescent="0.15">
      <c r="A693" s="67" t="s">
        <v>1662</v>
      </c>
      <c r="B693" s="67" t="s">
        <v>1663</v>
      </c>
      <c r="C693" s="67" t="s">
        <v>5434</v>
      </c>
      <c r="D693" s="67" t="s">
        <v>5429</v>
      </c>
      <c r="E693" s="67" t="s">
        <v>5430</v>
      </c>
      <c r="F693" s="67" t="s">
        <v>4336</v>
      </c>
      <c r="G693" s="67">
        <f t="shared" si="32"/>
        <v>2</v>
      </c>
      <c r="H693" s="67" t="str">
        <f t="shared" si="33"/>
        <v>000775黄智勇</v>
      </c>
      <c r="I693" s="67" t="str">
        <f t="shared" si="34"/>
        <v>0778</v>
      </c>
    </row>
    <row r="694" spans="1:9" x14ac:dyDescent="0.15">
      <c r="A694" s="67" t="s">
        <v>1664</v>
      </c>
      <c r="B694" s="67" t="s">
        <v>1665</v>
      </c>
      <c r="C694" s="67" t="s">
        <v>5435</v>
      </c>
      <c r="D694" s="67" t="s">
        <v>5436</v>
      </c>
      <c r="E694" s="67" t="s">
        <v>4570</v>
      </c>
      <c r="F694" s="67" t="s">
        <v>4336</v>
      </c>
      <c r="G694" s="67">
        <f t="shared" si="32"/>
        <v>1</v>
      </c>
      <c r="H694" s="67" t="str">
        <f t="shared" si="33"/>
        <v>000591刘成云</v>
      </c>
      <c r="I694" s="67" t="str">
        <f t="shared" si="34"/>
        <v>0779</v>
      </c>
    </row>
    <row r="695" spans="1:9" x14ac:dyDescent="0.15">
      <c r="A695" s="67" t="s">
        <v>5437</v>
      </c>
      <c r="B695" s="67" t="s">
        <v>5438</v>
      </c>
      <c r="C695" s="67" t="s">
        <v>5439</v>
      </c>
      <c r="D695" s="67" t="s">
        <v>5397</v>
      </c>
      <c r="E695" s="67" t="s">
        <v>5398</v>
      </c>
      <c r="F695" s="67" t="s">
        <v>4336</v>
      </c>
      <c r="G695" s="67">
        <f t="shared" si="32"/>
        <v>1</v>
      </c>
      <c r="H695" s="67" t="str">
        <f t="shared" si="33"/>
        <v>000815临时工78</v>
      </c>
      <c r="I695" s="67" t="str">
        <f t="shared" si="34"/>
        <v>078</v>
      </c>
    </row>
    <row r="696" spans="1:9" x14ac:dyDescent="0.15">
      <c r="A696" s="67" t="s">
        <v>1666</v>
      </c>
      <c r="B696" s="67" t="s">
        <v>1667</v>
      </c>
      <c r="C696" s="67" t="s">
        <v>5440</v>
      </c>
      <c r="D696" s="67" t="s">
        <v>5436</v>
      </c>
      <c r="E696" s="67" t="s">
        <v>4570</v>
      </c>
      <c r="F696" s="67" t="s">
        <v>4336</v>
      </c>
      <c r="G696" s="67">
        <f t="shared" si="32"/>
        <v>1</v>
      </c>
      <c r="H696" s="67" t="str">
        <f t="shared" si="33"/>
        <v>000592陈维国</v>
      </c>
      <c r="I696" s="67" t="str">
        <f t="shared" si="34"/>
        <v>0780</v>
      </c>
    </row>
    <row r="697" spans="1:9" x14ac:dyDescent="0.15">
      <c r="A697" s="67" t="s">
        <v>1668</v>
      </c>
      <c r="B697" s="67" t="s">
        <v>1669</v>
      </c>
      <c r="C697" s="67" t="s">
        <v>5441</v>
      </c>
      <c r="D697" s="67" t="s">
        <v>5436</v>
      </c>
      <c r="E697" s="67" t="s">
        <v>4570</v>
      </c>
      <c r="F697" s="67" t="s">
        <v>4336</v>
      </c>
      <c r="G697" s="67">
        <f t="shared" si="32"/>
        <v>1</v>
      </c>
      <c r="H697" s="67" t="str">
        <f t="shared" si="33"/>
        <v>000593李树德</v>
      </c>
      <c r="I697" s="67" t="str">
        <f t="shared" si="34"/>
        <v>0781</v>
      </c>
    </row>
    <row r="698" spans="1:9" x14ac:dyDescent="0.15">
      <c r="A698" s="67" t="s">
        <v>1670</v>
      </c>
      <c r="B698" s="67" t="s">
        <v>1671</v>
      </c>
      <c r="C698" s="67" t="s">
        <v>5442</v>
      </c>
      <c r="D698" s="67" t="s">
        <v>5436</v>
      </c>
      <c r="E698" s="67" t="s">
        <v>4570</v>
      </c>
      <c r="F698" s="67" t="s">
        <v>4336</v>
      </c>
      <c r="G698" s="67">
        <f t="shared" si="32"/>
        <v>1</v>
      </c>
      <c r="H698" s="67" t="str">
        <f t="shared" si="33"/>
        <v>000594袁洪平</v>
      </c>
      <c r="I698" s="67" t="str">
        <f t="shared" si="34"/>
        <v>0782</v>
      </c>
    </row>
    <row r="699" spans="1:9" x14ac:dyDescent="0.15">
      <c r="A699" s="67" t="s">
        <v>1672</v>
      </c>
      <c r="B699" s="67" t="s">
        <v>1673</v>
      </c>
      <c r="C699" s="67" t="s">
        <v>5443</v>
      </c>
      <c r="D699" s="67" t="s">
        <v>5436</v>
      </c>
      <c r="E699" s="67" t="s">
        <v>4570</v>
      </c>
      <c r="F699" s="67" t="s">
        <v>4336</v>
      </c>
      <c r="G699" s="67">
        <f t="shared" si="32"/>
        <v>1</v>
      </c>
      <c r="H699" s="67" t="str">
        <f t="shared" si="33"/>
        <v>000595义智君</v>
      </c>
      <c r="I699" s="67" t="str">
        <f t="shared" si="34"/>
        <v>0783</v>
      </c>
    </row>
    <row r="700" spans="1:9" x14ac:dyDescent="0.15">
      <c r="A700" s="67" t="s">
        <v>1674</v>
      </c>
      <c r="B700" s="67" t="s">
        <v>1675</v>
      </c>
      <c r="C700" s="67" t="s">
        <v>5444</v>
      </c>
      <c r="D700" s="67" t="s">
        <v>5445</v>
      </c>
      <c r="E700" s="67" t="s">
        <v>5446</v>
      </c>
      <c r="F700" s="67" t="s">
        <v>4336</v>
      </c>
      <c r="G700" s="67">
        <f t="shared" si="32"/>
        <v>1</v>
      </c>
      <c r="H700" s="67" t="str">
        <f t="shared" si="33"/>
        <v>000597李维领</v>
      </c>
      <c r="I700" s="67" t="str">
        <f t="shared" si="34"/>
        <v>0784</v>
      </c>
    </row>
    <row r="701" spans="1:9" x14ac:dyDescent="0.15">
      <c r="A701" s="67" t="s">
        <v>1676</v>
      </c>
      <c r="B701" s="67" t="s">
        <v>1677</v>
      </c>
      <c r="C701" s="67" t="s">
        <v>5447</v>
      </c>
      <c r="D701" s="67" t="s">
        <v>5448</v>
      </c>
      <c r="E701" s="67" t="s">
        <v>5449</v>
      </c>
      <c r="F701" s="67" t="s">
        <v>4336</v>
      </c>
      <c r="G701" s="67">
        <f t="shared" si="32"/>
        <v>1</v>
      </c>
      <c r="H701" s="67" t="str">
        <f t="shared" si="33"/>
        <v>000598王俊俊</v>
      </c>
      <c r="I701" s="67" t="str">
        <f t="shared" si="34"/>
        <v>0785</v>
      </c>
    </row>
    <row r="702" spans="1:9" x14ac:dyDescent="0.15">
      <c r="A702" s="67" t="s">
        <v>1678</v>
      </c>
      <c r="B702" s="67" t="s">
        <v>1679</v>
      </c>
      <c r="C702" s="67" t="s">
        <v>5450</v>
      </c>
      <c r="D702" s="67" t="s">
        <v>5448</v>
      </c>
      <c r="E702" s="67" t="s">
        <v>5449</v>
      </c>
      <c r="F702" s="67" t="s">
        <v>4336</v>
      </c>
      <c r="G702" s="67">
        <f t="shared" si="32"/>
        <v>1</v>
      </c>
      <c r="H702" s="67" t="str">
        <f t="shared" si="33"/>
        <v>000599陈红新</v>
      </c>
      <c r="I702" s="67" t="str">
        <f t="shared" si="34"/>
        <v>0786</v>
      </c>
    </row>
    <row r="703" spans="1:9" x14ac:dyDescent="0.15">
      <c r="A703" s="67" t="s">
        <v>1680</v>
      </c>
      <c r="B703" s="67" t="s">
        <v>1681</v>
      </c>
      <c r="C703" s="67" t="s">
        <v>5451</v>
      </c>
      <c r="D703" s="67" t="s">
        <v>5452</v>
      </c>
      <c r="E703" s="67" t="s">
        <v>5453</v>
      </c>
      <c r="F703" s="67" t="s">
        <v>4336</v>
      </c>
      <c r="G703" s="67">
        <f t="shared" si="32"/>
        <v>2</v>
      </c>
      <c r="H703" s="67" t="str">
        <f t="shared" si="33"/>
        <v>000600陈怀东</v>
      </c>
      <c r="I703" s="67" t="str">
        <f t="shared" si="34"/>
        <v>0787</v>
      </c>
    </row>
    <row r="704" spans="1:9" x14ac:dyDescent="0.15">
      <c r="A704" s="67" t="s">
        <v>1680</v>
      </c>
      <c r="B704" s="67" t="s">
        <v>1681</v>
      </c>
      <c r="C704" s="67" t="s">
        <v>5454</v>
      </c>
      <c r="D704" s="67" t="s">
        <v>5452</v>
      </c>
      <c r="E704" s="67" t="s">
        <v>5455</v>
      </c>
      <c r="F704" s="67" t="s">
        <v>4336</v>
      </c>
      <c r="G704" s="67">
        <f t="shared" si="32"/>
        <v>2</v>
      </c>
      <c r="H704" s="67" t="str">
        <f t="shared" si="33"/>
        <v>000778陈怀东</v>
      </c>
      <c r="I704" s="67" t="str">
        <f t="shared" si="34"/>
        <v>0787</v>
      </c>
    </row>
    <row r="705" spans="1:9" x14ac:dyDescent="0.15">
      <c r="A705" s="67" t="s">
        <v>1682</v>
      </c>
      <c r="B705" s="67" t="s">
        <v>1683</v>
      </c>
      <c r="C705" s="67" t="s">
        <v>5456</v>
      </c>
      <c r="D705" s="67" t="s">
        <v>5457</v>
      </c>
      <c r="E705" s="67" t="s">
        <v>5458</v>
      </c>
      <c r="F705" s="67" t="s">
        <v>4336</v>
      </c>
      <c r="G705" s="67">
        <f t="shared" si="32"/>
        <v>1</v>
      </c>
      <c r="H705" s="67" t="str">
        <f t="shared" si="33"/>
        <v>000602陈祥伟</v>
      </c>
      <c r="I705" s="67" t="str">
        <f t="shared" si="34"/>
        <v>0788</v>
      </c>
    </row>
    <row r="706" spans="1:9" x14ac:dyDescent="0.15">
      <c r="A706" s="67" t="s">
        <v>1684</v>
      </c>
      <c r="B706" s="67" t="s">
        <v>1685</v>
      </c>
      <c r="C706" s="67" t="s">
        <v>5459</v>
      </c>
      <c r="D706" s="67" t="s">
        <v>5460</v>
      </c>
      <c r="E706" s="67" t="s">
        <v>5461</v>
      </c>
      <c r="F706" s="67" t="s">
        <v>4336</v>
      </c>
      <c r="G706" s="67">
        <f t="shared" si="32"/>
        <v>1</v>
      </c>
      <c r="H706" s="67" t="str">
        <f t="shared" si="33"/>
        <v>000604单乾坤</v>
      </c>
      <c r="I706" s="67" t="str">
        <f t="shared" si="34"/>
        <v>0789</v>
      </c>
    </row>
    <row r="707" spans="1:9" x14ac:dyDescent="0.15">
      <c r="A707" s="67" t="s">
        <v>5462</v>
      </c>
      <c r="B707" s="67" t="s">
        <v>5463</v>
      </c>
      <c r="C707" s="67" t="s">
        <v>5464</v>
      </c>
      <c r="D707" s="67" t="s">
        <v>5397</v>
      </c>
      <c r="E707" s="67" t="s">
        <v>5398</v>
      </c>
      <c r="F707" s="67" t="s">
        <v>4336</v>
      </c>
      <c r="G707" s="67">
        <f t="shared" ref="G707:G770" si="35">COUNTIFS(B:B,B707)</f>
        <v>1</v>
      </c>
      <c r="H707" s="67" t="str">
        <f t="shared" ref="H707:H770" si="36">C707&amp;B707</f>
        <v>000816临时工79</v>
      </c>
      <c r="I707" s="67" t="str">
        <f t="shared" ref="I707:I770" si="37">A707</f>
        <v>079</v>
      </c>
    </row>
    <row r="708" spans="1:9" x14ac:dyDescent="0.15">
      <c r="A708" s="67" t="s">
        <v>1686</v>
      </c>
      <c r="B708" s="67" t="s">
        <v>1687</v>
      </c>
      <c r="C708" s="67" t="s">
        <v>5465</v>
      </c>
      <c r="D708" s="67" t="s">
        <v>5460</v>
      </c>
      <c r="E708" s="67" t="s">
        <v>5466</v>
      </c>
      <c r="F708" s="67" t="s">
        <v>4336</v>
      </c>
      <c r="G708" s="67">
        <f t="shared" si="35"/>
        <v>2</v>
      </c>
      <c r="H708" s="67" t="str">
        <f t="shared" si="36"/>
        <v>000607王明</v>
      </c>
      <c r="I708" s="67" t="str">
        <f t="shared" si="37"/>
        <v>0790</v>
      </c>
    </row>
    <row r="709" spans="1:9" x14ac:dyDescent="0.15">
      <c r="A709" s="67" t="s">
        <v>1686</v>
      </c>
      <c r="B709" s="67" t="s">
        <v>1687</v>
      </c>
      <c r="C709" s="67" t="s">
        <v>5467</v>
      </c>
      <c r="D709" s="67" t="s">
        <v>5460</v>
      </c>
      <c r="E709" s="67" t="s">
        <v>5468</v>
      </c>
      <c r="F709" s="67" t="s">
        <v>4336</v>
      </c>
      <c r="G709" s="67">
        <f t="shared" si="35"/>
        <v>2</v>
      </c>
      <c r="H709" s="67" t="str">
        <f t="shared" si="36"/>
        <v>000638王明</v>
      </c>
      <c r="I709" s="67" t="str">
        <f t="shared" si="37"/>
        <v>0790</v>
      </c>
    </row>
    <row r="710" spans="1:9" x14ac:dyDescent="0.15">
      <c r="A710" s="67" t="s">
        <v>1688</v>
      </c>
      <c r="B710" s="67" t="s">
        <v>1380</v>
      </c>
      <c r="C710" s="67" t="s">
        <v>5469</v>
      </c>
      <c r="D710" s="67" t="s">
        <v>5460</v>
      </c>
      <c r="E710" s="67" t="s">
        <v>5466</v>
      </c>
      <c r="F710" s="67" t="s">
        <v>4336</v>
      </c>
      <c r="G710" s="67">
        <f t="shared" si="35"/>
        <v>3</v>
      </c>
      <c r="H710" s="67" t="str">
        <f t="shared" si="36"/>
        <v>000605王婷婷</v>
      </c>
      <c r="I710" s="67" t="str">
        <f t="shared" si="37"/>
        <v>0791</v>
      </c>
    </row>
    <row r="711" spans="1:9" x14ac:dyDescent="0.15">
      <c r="A711" s="67" t="s">
        <v>1689</v>
      </c>
      <c r="B711" s="67" t="s">
        <v>1690</v>
      </c>
      <c r="C711" s="67" t="s">
        <v>5470</v>
      </c>
      <c r="D711" s="67" t="s">
        <v>5460</v>
      </c>
      <c r="E711" s="67" t="s">
        <v>5466</v>
      </c>
      <c r="F711" s="67" t="s">
        <v>4336</v>
      </c>
      <c r="G711" s="67">
        <f t="shared" si="35"/>
        <v>1</v>
      </c>
      <c r="H711" s="67" t="str">
        <f t="shared" si="36"/>
        <v>000606王晓飞</v>
      </c>
      <c r="I711" s="67" t="str">
        <f t="shared" si="37"/>
        <v>0792</v>
      </c>
    </row>
    <row r="712" spans="1:9" x14ac:dyDescent="0.15">
      <c r="A712" s="67" t="s">
        <v>1691</v>
      </c>
      <c r="B712" s="67" t="s">
        <v>1692</v>
      </c>
      <c r="C712" s="67" t="s">
        <v>5471</v>
      </c>
      <c r="D712" s="67" t="s">
        <v>4640</v>
      </c>
      <c r="E712" s="67" t="s">
        <v>5472</v>
      </c>
      <c r="F712" s="67" t="s">
        <v>4336</v>
      </c>
      <c r="G712" s="67">
        <f t="shared" si="35"/>
        <v>1</v>
      </c>
      <c r="H712" s="67" t="str">
        <f t="shared" si="36"/>
        <v>000608苏沈华</v>
      </c>
      <c r="I712" s="67" t="str">
        <f t="shared" si="37"/>
        <v>0793</v>
      </c>
    </row>
    <row r="713" spans="1:9" x14ac:dyDescent="0.15">
      <c r="A713" s="67" t="s">
        <v>1693</v>
      </c>
      <c r="B713" s="67" t="s">
        <v>1694</v>
      </c>
      <c r="C713" s="67" t="s">
        <v>5473</v>
      </c>
      <c r="D713" s="67" t="s">
        <v>4640</v>
      </c>
      <c r="E713" s="67" t="s">
        <v>5474</v>
      </c>
      <c r="F713" s="67" t="s">
        <v>4336</v>
      </c>
      <c r="G713" s="67">
        <f t="shared" si="35"/>
        <v>1</v>
      </c>
      <c r="H713" s="67" t="str">
        <f t="shared" si="36"/>
        <v>000612李正青</v>
      </c>
      <c r="I713" s="67" t="str">
        <f t="shared" si="37"/>
        <v>0794</v>
      </c>
    </row>
    <row r="714" spans="1:9" x14ac:dyDescent="0.15">
      <c r="A714" s="67" t="s">
        <v>1695</v>
      </c>
      <c r="B714" s="67" t="s">
        <v>1696</v>
      </c>
      <c r="C714" s="67" t="s">
        <v>5475</v>
      </c>
      <c r="D714" s="67" t="s">
        <v>4640</v>
      </c>
      <c r="E714" s="67" t="s">
        <v>5476</v>
      </c>
      <c r="F714" s="67" t="s">
        <v>4336</v>
      </c>
      <c r="G714" s="67">
        <f t="shared" si="35"/>
        <v>1</v>
      </c>
      <c r="H714" s="67" t="str">
        <f t="shared" si="36"/>
        <v>000610郭瑞奇</v>
      </c>
      <c r="I714" s="67" t="str">
        <f t="shared" si="37"/>
        <v>0795</v>
      </c>
    </row>
    <row r="715" spans="1:9" x14ac:dyDescent="0.15">
      <c r="A715" s="67" t="s">
        <v>1697</v>
      </c>
      <c r="B715" s="67" t="s">
        <v>1698</v>
      </c>
      <c r="C715" s="67" t="s">
        <v>5477</v>
      </c>
      <c r="D715" s="67" t="s">
        <v>4640</v>
      </c>
      <c r="E715" s="67" t="s">
        <v>5478</v>
      </c>
      <c r="F715" s="67" t="s">
        <v>4336</v>
      </c>
      <c r="G715" s="67">
        <f t="shared" si="35"/>
        <v>1</v>
      </c>
      <c r="H715" s="67" t="str">
        <f t="shared" si="36"/>
        <v>000611周韧</v>
      </c>
      <c r="I715" s="67" t="str">
        <f t="shared" si="37"/>
        <v>0796</v>
      </c>
    </row>
    <row r="716" spans="1:9" x14ac:dyDescent="0.15">
      <c r="A716" s="67" t="s">
        <v>1699</v>
      </c>
      <c r="B716" s="67" t="s">
        <v>1700</v>
      </c>
      <c r="C716" s="67" t="s">
        <v>5479</v>
      </c>
      <c r="D716" s="67" t="s">
        <v>4640</v>
      </c>
      <c r="E716" s="67" t="s">
        <v>5472</v>
      </c>
      <c r="F716" s="67" t="s">
        <v>4336</v>
      </c>
      <c r="G716" s="67">
        <f t="shared" si="35"/>
        <v>1</v>
      </c>
      <c r="H716" s="67" t="str">
        <f t="shared" si="36"/>
        <v>000613顾宇杰</v>
      </c>
      <c r="I716" s="67" t="str">
        <f t="shared" si="37"/>
        <v>0797</v>
      </c>
    </row>
    <row r="717" spans="1:9" x14ac:dyDescent="0.15">
      <c r="A717" s="67" t="s">
        <v>1701</v>
      </c>
      <c r="B717" s="67" t="s">
        <v>1702</v>
      </c>
      <c r="C717" s="67" t="s">
        <v>5480</v>
      </c>
      <c r="D717" s="67" t="s">
        <v>4643</v>
      </c>
      <c r="E717" s="67" t="s">
        <v>4644</v>
      </c>
      <c r="F717" s="67" t="s">
        <v>4336</v>
      </c>
      <c r="G717" s="67">
        <f t="shared" si="35"/>
        <v>2</v>
      </c>
      <c r="H717" s="67" t="str">
        <f t="shared" si="36"/>
        <v>000701彭小雨</v>
      </c>
      <c r="I717" s="67" t="str">
        <f t="shared" si="37"/>
        <v>0798</v>
      </c>
    </row>
    <row r="718" spans="1:9" x14ac:dyDescent="0.15">
      <c r="A718" s="67" t="s">
        <v>1701</v>
      </c>
      <c r="B718" s="67" t="s">
        <v>1702</v>
      </c>
      <c r="C718" s="67" t="s">
        <v>5481</v>
      </c>
      <c r="D718" s="67" t="s">
        <v>4346</v>
      </c>
      <c r="E718" s="67" t="s">
        <v>5482</v>
      </c>
      <c r="F718" s="67" t="s">
        <v>4336</v>
      </c>
      <c r="G718" s="67">
        <f t="shared" si="35"/>
        <v>2</v>
      </c>
      <c r="H718" s="67" t="str">
        <f t="shared" si="36"/>
        <v>000513彭小雨</v>
      </c>
      <c r="I718" s="67" t="str">
        <f t="shared" si="37"/>
        <v>0798</v>
      </c>
    </row>
    <row r="719" spans="1:9" x14ac:dyDescent="0.15">
      <c r="A719" s="67" t="s">
        <v>1703</v>
      </c>
      <c r="B719" s="67" t="s">
        <v>1704</v>
      </c>
      <c r="C719" s="67" t="s">
        <v>5483</v>
      </c>
      <c r="D719" s="67" t="s">
        <v>4640</v>
      </c>
      <c r="E719" s="67" t="s">
        <v>5484</v>
      </c>
      <c r="F719" s="67" t="s">
        <v>4336</v>
      </c>
      <c r="G719" s="67">
        <f t="shared" si="35"/>
        <v>1</v>
      </c>
      <c r="H719" s="67" t="str">
        <f t="shared" si="36"/>
        <v>000609金磊</v>
      </c>
      <c r="I719" s="67" t="str">
        <f t="shared" si="37"/>
        <v>0799</v>
      </c>
    </row>
    <row r="720" spans="1:9" x14ac:dyDescent="0.15">
      <c r="A720" s="67" t="s">
        <v>5485</v>
      </c>
      <c r="B720" s="67" t="s">
        <v>5486</v>
      </c>
      <c r="C720" s="67" t="s">
        <v>5487</v>
      </c>
      <c r="D720" s="67" t="s">
        <v>5397</v>
      </c>
      <c r="E720" s="67" t="s">
        <v>5398</v>
      </c>
      <c r="F720" s="67" t="s">
        <v>4336</v>
      </c>
      <c r="G720" s="67">
        <f t="shared" si="35"/>
        <v>1</v>
      </c>
      <c r="H720" s="67" t="str">
        <f t="shared" si="36"/>
        <v>000817临时工80</v>
      </c>
      <c r="I720" s="67" t="str">
        <f t="shared" si="37"/>
        <v>080</v>
      </c>
    </row>
    <row r="721" spans="1:9" x14ac:dyDescent="0.15">
      <c r="A721" s="67" t="s">
        <v>1705</v>
      </c>
      <c r="B721" s="67" t="s">
        <v>1706</v>
      </c>
      <c r="C721" s="67" t="s">
        <v>5488</v>
      </c>
      <c r="D721" s="67" t="s">
        <v>4640</v>
      </c>
      <c r="E721" s="67" t="s">
        <v>5472</v>
      </c>
      <c r="F721" s="67" t="s">
        <v>4336</v>
      </c>
      <c r="G721" s="67">
        <f t="shared" si="35"/>
        <v>1</v>
      </c>
      <c r="H721" s="67" t="str">
        <f t="shared" si="36"/>
        <v>000616化新友</v>
      </c>
      <c r="I721" s="67" t="str">
        <f t="shared" si="37"/>
        <v>0800</v>
      </c>
    </row>
    <row r="722" spans="1:9" x14ac:dyDescent="0.15">
      <c r="A722" s="67" t="s">
        <v>1707</v>
      </c>
      <c r="B722" s="67" t="s">
        <v>1708</v>
      </c>
      <c r="C722" s="67" t="s">
        <v>5489</v>
      </c>
      <c r="D722" s="67" t="s">
        <v>4640</v>
      </c>
      <c r="E722" s="67" t="s">
        <v>5490</v>
      </c>
      <c r="F722" s="67" t="s">
        <v>4336</v>
      </c>
      <c r="G722" s="67">
        <f t="shared" si="35"/>
        <v>1</v>
      </c>
      <c r="H722" s="67" t="str">
        <f t="shared" si="36"/>
        <v>000615柳丹宇</v>
      </c>
      <c r="I722" s="67" t="str">
        <f t="shared" si="37"/>
        <v>0801</v>
      </c>
    </row>
    <row r="723" spans="1:9" x14ac:dyDescent="0.15">
      <c r="A723" s="67" t="s">
        <v>1709</v>
      </c>
      <c r="B723" s="67" t="s">
        <v>1710</v>
      </c>
      <c r="C723" s="67" t="s">
        <v>5491</v>
      </c>
      <c r="D723" s="67" t="s">
        <v>4640</v>
      </c>
      <c r="E723" s="67" t="s">
        <v>5492</v>
      </c>
      <c r="F723" s="67" t="s">
        <v>4336</v>
      </c>
      <c r="G723" s="67">
        <f t="shared" si="35"/>
        <v>1</v>
      </c>
      <c r="H723" s="67" t="str">
        <f t="shared" si="36"/>
        <v>000617马财春</v>
      </c>
      <c r="I723" s="67" t="str">
        <f t="shared" si="37"/>
        <v>0802</v>
      </c>
    </row>
    <row r="724" spans="1:9" x14ac:dyDescent="0.15">
      <c r="A724" s="67" t="s">
        <v>1715</v>
      </c>
      <c r="B724" s="67" t="s">
        <v>1716</v>
      </c>
      <c r="C724" s="67" t="s">
        <v>5493</v>
      </c>
      <c r="D724" s="67" t="s">
        <v>4882</v>
      </c>
      <c r="E724" s="67" t="s">
        <v>4883</v>
      </c>
      <c r="F724" s="67" t="s">
        <v>4336</v>
      </c>
      <c r="G724" s="67">
        <f t="shared" si="35"/>
        <v>1</v>
      </c>
      <c r="H724" s="67" t="str">
        <f t="shared" si="36"/>
        <v>000760孙广旭</v>
      </c>
      <c r="I724" s="67" t="str">
        <f t="shared" si="37"/>
        <v>0805</v>
      </c>
    </row>
    <row r="725" spans="1:9" x14ac:dyDescent="0.15">
      <c r="A725" s="67" t="s">
        <v>1719</v>
      </c>
      <c r="B725" s="67" t="s">
        <v>1720</v>
      </c>
      <c r="C725" s="67" t="s">
        <v>5494</v>
      </c>
      <c r="D725" s="67" t="s">
        <v>5495</v>
      </c>
      <c r="E725" s="67" t="s">
        <v>5496</v>
      </c>
      <c r="F725" s="67" t="s">
        <v>4336</v>
      </c>
      <c r="G725" s="67">
        <f t="shared" si="35"/>
        <v>1</v>
      </c>
      <c r="H725" s="67" t="str">
        <f t="shared" si="36"/>
        <v>000637毛驰航</v>
      </c>
      <c r="I725" s="67" t="str">
        <f t="shared" si="37"/>
        <v>0807</v>
      </c>
    </row>
    <row r="726" spans="1:9" x14ac:dyDescent="0.15">
      <c r="A726" s="67" t="s">
        <v>1721</v>
      </c>
      <c r="B726" s="67" t="s">
        <v>1722</v>
      </c>
      <c r="C726" s="67" t="s">
        <v>5497</v>
      </c>
      <c r="D726" s="67" t="s">
        <v>5498</v>
      </c>
      <c r="E726" s="67" t="s">
        <v>5499</v>
      </c>
      <c r="F726" s="67" t="s">
        <v>4336</v>
      </c>
      <c r="G726" s="67">
        <f t="shared" si="35"/>
        <v>1</v>
      </c>
      <c r="H726" s="67" t="str">
        <f t="shared" si="36"/>
        <v>000624孙遨</v>
      </c>
      <c r="I726" s="67" t="str">
        <f t="shared" si="37"/>
        <v>0808</v>
      </c>
    </row>
    <row r="727" spans="1:9" x14ac:dyDescent="0.15">
      <c r="A727" s="67" t="s">
        <v>1723</v>
      </c>
      <c r="B727" s="67" t="s">
        <v>1724</v>
      </c>
      <c r="C727" s="67" t="s">
        <v>5500</v>
      </c>
      <c r="D727" s="67" t="s">
        <v>5498</v>
      </c>
      <c r="E727" s="67" t="s">
        <v>5499</v>
      </c>
      <c r="F727" s="67" t="s">
        <v>4336</v>
      </c>
      <c r="G727" s="67">
        <f t="shared" si="35"/>
        <v>1</v>
      </c>
      <c r="H727" s="67" t="str">
        <f t="shared" si="36"/>
        <v>000619田发旭</v>
      </c>
      <c r="I727" s="67" t="str">
        <f t="shared" si="37"/>
        <v>0809</v>
      </c>
    </row>
    <row r="728" spans="1:9" x14ac:dyDescent="0.15">
      <c r="A728" s="67" t="s">
        <v>5501</v>
      </c>
      <c r="B728" s="67" t="s">
        <v>5502</v>
      </c>
      <c r="C728" s="67" t="s">
        <v>5503</v>
      </c>
      <c r="D728" s="67" t="s">
        <v>5504</v>
      </c>
      <c r="E728" s="67" t="s">
        <v>5505</v>
      </c>
      <c r="F728" s="67" t="s">
        <v>4336</v>
      </c>
      <c r="G728" s="67">
        <f t="shared" si="35"/>
        <v>1</v>
      </c>
      <c r="H728" s="67" t="str">
        <f t="shared" si="36"/>
        <v>000832临时工81</v>
      </c>
      <c r="I728" s="67" t="str">
        <f t="shared" si="37"/>
        <v>081</v>
      </c>
    </row>
    <row r="729" spans="1:9" x14ac:dyDescent="0.15">
      <c r="A729" s="67" t="s">
        <v>1725</v>
      </c>
      <c r="B729" s="67" t="s">
        <v>1726</v>
      </c>
      <c r="C729" s="67" t="s">
        <v>5506</v>
      </c>
      <c r="D729" s="67" t="s">
        <v>5498</v>
      </c>
      <c r="E729" s="67" t="s">
        <v>5499</v>
      </c>
      <c r="F729" s="67" t="s">
        <v>4336</v>
      </c>
      <c r="G729" s="67">
        <f t="shared" si="35"/>
        <v>1</v>
      </c>
      <c r="H729" s="67" t="str">
        <f t="shared" si="36"/>
        <v>000618周泽</v>
      </c>
      <c r="I729" s="67" t="str">
        <f t="shared" si="37"/>
        <v>0810</v>
      </c>
    </row>
    <row r="730" spans="1:9" x14ac:dyDescent="0.15">
      <c r="A730" s="67" t="s">
        <v>1727</v>
      </c>
      <c r="B730" s="67" t="s">
        <v>1728</v>
      </c>
      <c r="C730" s="67" t="s">
        <v>5507</v>
      </c>
      <c r="D730" s="67" t="s">
        <v>5498</v>
      </c>
      <c r="E730" s="67" t="s">
        <v>5499</v>
      </c>
      <c r="F730" s="67" t="s">
        <v>4336</v>
      </c>
      <c r="G730" s="67">
        <f t="shared" si="35"/>
        <v>1</v>
      </c>
      <c r="H730" s="67" t="str">
        <f t="shared" si="36"/>
        <v>000621黎海波</v>
      </c>
      <c r="I730" s="67" t="str">
        <f t="shared" si="37"/>
        <v>0811</v>
      </c>
    </row>
    <row r="731" spans="1:9" x14ac:dyDescent="0.15">
      <c r="A731" s="67" t="s">
        <v>1729</v>
      </c>
      <c r="B731" s="67" t="s">
        <v>1730</v>
      </c>
      <c r="C731" s="67" t="s">
        <v>5508</v>
      </c>
      <c r="D731" s="67" t="s">
        <v>5498</v>
      </c>
      <c r="E731" s="67" t="s">
        <v>5499</v>
      </c>
      <c r="F731" s="67" t="s">
        <v>4336</v>
      </c>
      <c r="G731" s="67">
        <f t="shared" si="35"/>
        <v>1</v>
      </c>
      <c r="H731" s="67" t="str">
        <f t="shared" si="36"/>
        <v>000623高波</v>
      </c>
      <c r="I731" s="67" t="str">
        <f t="shared" si="37"/>
        <v>0812</v>
      </c>
    </row>
    <row r="732" spans="1:9" x14ac:dyDescent="0.15">
      <c r="A732" s="67" t="s">
        <v>1731</v>
      </c>
      <c r="B732" s="67" t="s">
        <v>1732</v>
      </c>
      <c r="C732" s="67" t="s">
        <v>5509</v>
      </c>
      <c r="D732" s="67" t="s">
        <v>5498</v>
      </c>
      <c r="E732" s="67" t="s">
        <v>5499</v>
      </c>
      <c r="F732" s="67" t="s">
        <v>4336</v>
      </c>
      <c r="G732" s="67">
        <f t="shared" si="35"/>
        <v>1</v>
      </c>
      <c r="H732" s="67" t="str">
        <f t="shared" si="36"/>
        <v>000622杨春雨</v>
      </c>
      <c r="I732" s="67" t="str">
        <f t="shared" si="37"/>
        <v>0813</v>
      </c>
    </row>
    <row r="733" spans="1:9" x14ac:dyDescent="0.15">
      <c r="A733" s="67" t="s">
        <v>1733</v>
      </c>
      <c r="B733" s="67" t="s">
        <v>1734</v>
      </c>
      <c r="C733" s="67" t="s">
        <v>5510</v>
      </c>
      <c r="D733" s="67" t="s">
        <v>5498</v>
      </c>
      <c r="E733" s="67" t="s">
        <v>5499</v>
      </c>
      <c r="F733" s="67" t="s">
        <v>4336</v>
      </c>
      <c r="G733" s="67">
        <f t="shared" si="35"/>
        <v>1</v>
      </c>
      <c r="H733" s="67" t="str">
        <f t="shared" si="36"/>
        <v>000620常振敏</v>
      </c>
      <c r="I733" s="67" t="str">
        <f t="shared" si="37"/>
        <v>0814</v>
      </c>
    </row>
    <row r="734" spans="1:9" x14ac:dyDescent="0.15">
      <c r="A734" s="67" t="s">
        <v>1735</v>
      </c>
      <c r="B734" s="67" t="s">
        <v>1736</v>
      </c>
      <c r="C734" s="67" t="s">
        <v>5511</v>
      </c>
      <c r="D734" s="67" t="s">
        <v>5498</v>
      </c>
      <c r="E734" s="67" t="s">
        <v>5512</v>
      </c>
      <c r="F734" s="67" t="s">
        <v>4336</v>
      </c>
      <c r="G734" s="67">
        <f t="shared" si="35"/>
        <v>1</v>
      </c>
      <c r="H734" s="67" t="str">
        <f t="shared" si="36"/>
        <v>000631罗维祯</v>
      </c>
      <c r="I734" s="67" t="str">
        <f t="shared" si="37"/>
        <v>0815</v>
      </c>
    </row>
    <row r="735" spans="1:9" x14ac:dyDescent="0.15">
      <c r="A735" s="67" t="s">
        <v>1737</v>
      </c>
      <c r="B735" s="67" t="s">
        <v>1738</v>
      </c>
      <c r="C735" s="67" t="s">
        <v>5513</v>
      </c>
      <c r="D735" s="67" t="s">
        <v>5498</v>
      </c>
      <c r="E735" s="67" t="s">
        <v>5499</v>
      </c>
      <c r="F735" s="67" t="s">
        <v>4336</v>
      </c>
      <c r="G735" s="67">
        <f t="shared" si="35"/>
        <v>1</v>
      </c>
      <c r="H735" s="67" t="str">
        <f t="shared" si="36"/>
        <v>000630吴冰</v>
      </c>
      <c r="I735" s="67" t="str">
        <f t="shared" si="37"/>
        <v>0816</v>
      </c>
    </row>
    <row r="736" spans="1:9" x14ac:dyDescent="0.15">
      <c r="A736" s="67" t="s">
        <v>1739</v>
      </c>
      <c r="B736" s="67" t="s">
        <v>1740</v>
      </c>
      <c r="C736" s="67" t="s">
        <v>5514</v>
      </c>
      <c r="D736" s="67" t="s">
        <v>5498</v>
      </c>
      <c r="E736" s="67" t="s">
        <v>5499</v>
      </c>
      <c r="F736" s="67" t="s">
        <v>4336</v>
      </c>
      <c r="G736" s="67">
        <f t="shared" si="35"/>
        <v>1</v>
      </c>
      <c r="H736" s="67" t="str">
        <f t="shared" si="36"/>
        <v>000629杜丹</v>
      </c>
      <c r="I736" s="67" t="str">
        <f t="shared" si="37"/>
        <v>0817</v>
      </c>
    </row>
    <row r="737" spans="1:9" x14ac:dyDescent="0.15">
      <c r="A737" s="67" t="s">
        <v>1741</v>
      </c>
      <c r="B737" s="67" t="s">
        <v>1742</v>
      </c>
      <c r="C737" s="67" t="s">
        <v>5515</v>
      </c>
      <c r="D737" s="67" t="s">
        <v>5498</v>
      </c>
      <c r="E737" s="67" t="s">
        <v>5499</v>
      </c>
      <c r="F737" s="67" t="s">
        <v>4336</v>
      </c>
      <c r="G737" s="67">
        <f t="shared" si="35"/>
        <v>1</v>
      </c>
      <c r="H737" s="67" t="str">
        <f t="shared" si="36"/>
        <v>000628陈丹</v>
      </c>
      <c r="I737" s="67" t="str">
        <f t="shared" si="37"/>
        <v>0818</v>
      </c>
    </row>
    <row r="738" spans="1:9" x14ac:dyDescent="0.15">
      <c r="A738" s="67" t="s">
        <v>1743</v>
      </c>
      <c r="B738" s="67" t="s">
        <v>1744</v>
      </c>
      <c r="C738" s="67" t="s">
        <v>5516</v>
      </c>
      <c r="D738" s="67" t="s">
        <v>5498</v>
      </c>
      <c r="E738" s="67" t="s">
        <v>5499</v>
      </c>
      <c r="F738" s="67" t="s">
        <v>4336</v>
      </c>
      <c r="G738" s="67">
        <f t="shared" si="35"/>
        <v>2</v>
      </c>
      <c r="H738" s="67" t="str">
        <f t="shared" si="36"/>
        <v>000626赫连晓倩</v>
      </c>
      <c r="I738" s="67" t="str">
        <f t="shared" si="37"/>
        <v>0819</v>
      </c>
    </row>
    <row r="739" spans="1:9" x14ac:dyDescent="0.15">
      <c r="A739" s="67" t="s">
        <v>1743</v>
      </c>
      <c r="B739" s="67" t="s">
        <v>1744</v>
      </c>
      <c r="C739" s="67" t="s">
        <v>5517</v>
      </c>
      <c r="D739" s="67" t="s">
        <v>5498</v>
      </c>
      <c r="E739" s="67" t="s">
        <v>5499</v>
      </c>
      <c r="F739" s="67" t="s">
        <v>4409</v>
      </c>
      <c r="G739" s="67">
        <f t="shared" si="35"/>
        <v>2</v>
      </c>
      <c r="H739" s="67" t="str">
        <f t="shared" si="36"/>
        <v>000627赫连晓倩</v>
      </c>
      <c r="I739" s="67" t="str">
        <f t="shared" si="37"/>
        <v>0819</v>
      </c>
    </row>
    <row r="740" spans="1:9" x14ac:dyDescent="0.15">
      <c r="A740" s="67" t="s">
        <v>5518</v>
      </c>
      <c r="B740" s="67" t="s">
        <v>5519</v>
      </c>
      <c r="C740" s="67" t="s">
        <v>5520</v>
      </c>
      <c r="D740" s="67" t="s">
        <v>5504</v>
      </c>
      <c r="E740" s="67" t="s">
        <v>5505</v>
      </c>
      <c r="F740" s="67" t="s">
        <v>4336</v>
      </c>
      <c r="G740" s="67">
        <f t="shared" si="35"/>
        <v>1</v>
      </c>
      <c r="H740" s="67" t="str">
        <f t="shared" si="36"/>
        <v>000833临时工82</v>
      </c>
      <c r="I740" s="67" t="str">
        <f t="shared" si="37"/>
        <v>082</v>
      </c>
    </row>
    <row r="741" spans="1:9" x14ac:dyDescent="0.15">
      <c r="A741" s="67" t="s">
        <v>1745</v>
      </c>
      <c r="B741" s="67" t="s">
        <v>1746</v>
      </c>
      <c r="C741" s="67" t="s">
        <v>5521</v>
      </c>
      <c r="D741" s="67" t="s">
        <v>5498</v>
      </c>
      <c r="E741" s="67" t="s">
        <v>5499</v>
      </c>
      <c r="F741" s="67" t="s">
        <v>4336</v>
      </c>
      <c r="G741" s="67">
        <f t="shared" si="35"/>
        <v>1</v>
      </c>
      <c r="H741" s="67" t="str">
        <f t="shared" si="36"/>
        <v>000625过佩文</v>
      </c>
      <c r="I741" s="67" t="str">
        <f t="shared" si="37"/>
        <v>0820</v>
      </c>
    </row>
    <row r="742" spans="1:9" x14ac:dyDescent="0.15">
      <c r="A742" s="67" t="s">
        <v>1747</v>
      </c>
      <c r="B742" s="67" t="s">
        <v>1748</v>
      </c>
      <c r="C742" s="67" t="s">
        <v>5522</v>
      </c>
      <c r="D742" s="67" t="s">
        <v>5523</v>
      </c>
      <c r="E742" s="67" t="s">
        <v>5524</v>
      </c>
      <c r="F742" s="67" t="s">
        <v>4336</v>
      </c>
      <c r="G742" s="67">
        <f t="shared" si="35"/>
        <v>1</v>
      </c>
      <c r="H742" s="67" t="str">
        <f t="shared" si="36"/>
        <v>000632周忠明</v>
      </c>
      <c r="I742" s="67" t="str">
        <f t="shared" si="37"/>
        <v>0821</v>
      </c>
    </row>
    <row r="743" spans="1:9" x14ac:dyDescent="0.15">
      <c r="A743" s="67" t="s">
        <v>1749</v>
      </c>
      <c r="B743" s="67" t="s">
        <v>1750</v>
      </c>
      <c r="C743" s="67" t="s">
        <v>5525</v>
      </c>
      <c r="D743" s="67" t="s">
        <v>5523</v>
      </c>
      <c r="E743" s="67" t="s">
        <v>5526</v>
      </c>
      <c r="F743" s="67" t="s">
        <v>4336</v>
      </c>
      <c r="G743" s="67">
        <f t="shared" si="35"/>
        <v>1</v>
      </c>
      <c r="H743" s="67" t="str">
        <f t="shared" si="36"/>
        <v>000635周边炜</v>
      </c>
      <c r="I743" s="67" t="str">
        <f t="shared" si="37"/>
        <v>0822</v>
      </c>
    </row>
    <row r="744" spans="1:9" x14ac:dyDescent="0.15">
      <c r="A744" s="67" t="s">
        <v>1751</v>
      </c>
      <c r="B744" s="67" t="s">
        <v>1752</v>
      </c>
      <c r="C744" s="67" t="s">
        <v>5527</v>
      </c>
      <c r="D744" s="67" t="s">
        <v>5523</v>
      </c>
      <c r="E744" s="67" t="s">
        <v>5528</v>
      </c>
      <c r="F744" s="67" t="s">
        <v>4336</v>
      </c>
      <c r="G744" s="67">
        <f t="shared" si="35"/>
        <v>1</v>
      </c>
      <c r="H744" s="67" t="str">
        <f t="shared" si="36"/>
        <v>000634吕智刚</v>
      </c>
      <c r="I744" s="67" t="str">
        <f t="shared" si="37"/>
        <v>0823</v>
      </c>
    </row>
    <row r="745" spans="1:9" x14ac:dyDescent="0.15">
      <c r="A745" s="67" t="s">
        <v>1753</v>
      </c>
      <c r="B745" s="67" t="s">
        <v>1754</v>
      </c>
      <c r="C745" s="67" t="s">
        <v>5529</v>
      </c>
      <c r="D745" s="67" t="s">
        <v>5495</v>
      </c>
      <c r="E745" s="67" t="s">
        <v>5530</v>
      </c>
      <c r="F745" s="67" t="s">
        <v>4336</v>
      </c>
      <c r="G745" s="67">
        <f t="shared" si="35"/>
        <v>2</v>
      </c>
      <c r="H745" s="67" t="str">
        <f t="shared" si="36"/>
        <v>000641蔡中刚</v>
      </c>
      <c r="I745" s="67" t="str">
        <f t="shared" si="37"/>
        <v>0824</v>
      </c>
    </row>
    <row r="746" spans="1:9" x14ac:dyDescent="0.15">
      <c r="A746" s="67" t="s">
        <v>1753</v>
      </c>
      <c r="B746" s="67" t="s">
        <v>1754</v>
      </c>
      <c r="C746" s="67" t="s">
        <v>5531</v>
      </c>
      <c r="D746" s="67" t="s">
        <v>5495</v>
      </c>
      <c r="E746" s="67" t="s">
        <v>5530</v>
      </c>
      <c r="F746" s="67" t="s">
        <v>4336</v>
      </c>
      <c r="G746" s="67">
        <f t="shared" si="35"/>
        <v>2</v>
      </c>
      <c r="H746" s="67" t="str">
        <f t="shared" si="36"/>
        <v>000877蔡中刚</v>
      </c>
      <c r="I746" s="67" t="str">
        <f t="shared" si="37"/>
        <v>0824</v>
      </c>
    </row>
    <row r="747" spans="1:9" x14ac:dyDescent="0.15">
      <c r="A747" s="67" t="s">
        <v>1755</v>
      </c>
      <c r="B747" s="67" t="s">
        <v>1756</v>
      </c>
      <c r="C747" s="67" t="s">
        <v>5532</v>
      </c>
      <c r="D747" s="67" t="s">
        <v>5495</v>
      </c>
      <c r="E747" s="67" t="s">
        <v>5533</v>
      </c>
      <c r="F747" s="67" t="s">
        <v>4336</v>
      </c>
      <c r="G747" s="67">
        <f t="shared" si="35"/>
        <v>1</v>
      </c>
      <c r="H747" s="67" t="str">
        <f t="shared" si="36"/>
        <v>000639张慈顺</v>
      </c>
      <c r="I747" s="67" t="str">
        <f t="shared" si="37"/>
        <v>0825</v>
      </c>
    </row>
    <row r="748" spans="1:9" x14ac:dyDescent="0.15">
      <c r="A748" s="67" t="s">
        <v>1757</v>
      </c>
      <c r="B748" s="67" t="s">
        <v>1758</v>
      </c>
      <c r="C748" s="67" t="s">
        <v>5534</v>
      </c>
      <c r="D748" s="67" t="s">
        <v>5495</v>
      </c>
      <c r="E748" s="67" t="s">
        <v>5530</v>
      </c>
      <c r="F748" s="67" t="s">
        <v>4336</v>
      </c>
      <c r="G748" s="67">
        <f t="shared" si="35"/>
        <v>1</v>
      </c>
      <c r="H748" s="67" t="str">
        <f t="shared" si="36"/>
        <v>000640刘钢强</v>
      </c>
      <c r="I748" s="67" t="str">
        <f t="shared" si="37"/>
        <v>0826</v>
      </c>
    </row>
    <row r="749" spans="1:9" x14ac:dyDescent="0.15">
      <c r="A749" s="67" t="s">
        <v>1759</v>
      </c>
      <c r="B749" s="67" t="s">
        <v>1760</v>
      </c>
      <c r="C749" s="67" t="s">
        <v>5535</v>
      </c>
      <c r="D749" s="67" t="s">
        <v>5536</v>
      </c>
      <c r="E749" s="67" t="s">
        <v>5537</v>
      </c>
      <c r="F749" s="67" t="s">
        <v>4336</v>
      </c>
      <c r="G749" s="67">
        <f t="shared" si="35"/>
        <v>1</v>
      </c>
      <c r="H749" s="67" t="str">
        <f t="shared" si="36"/>
        <v>000642邵贺朋</v>
      </c>
      <c r="I749" s="67" t="str">
        <f t="shared" si="37"/>
        <v>0827</v>
      </c>
    </row>
    <row r="750" spans="1:9" x14ac:dyDescent="0.15">
      <c r="A750" s="67" t="s">
        <v>1761</v>
      </c>
      <c r="B750" s="67" t="s">
        <v>1762</v>
      </c>
      <c r="C750" s="67" t="s">
        <v>5538</v>
      </c>
      <c r="D750" s="67" t="s">
        <v>5536</v>
      </c>
      <c r="E750" s="67" t="s">
        <v>5537</v>
      </c>
      <c r="F750" s="67" t="s">
        <v>4336</v>
      </c>
      <c r="G750" s="67">
        <f t="shared" si="35"/>
        <v>2</v>
      </c>
      <c r="H750" s="67" t="str">
        <f t="shared" si="36"/>
        <v>000643李晓沛</v>
      </c>
      <c r="I750" s="67" t="str">
        <f t="shared" si="37"/>
        <v>0828</v>
      </c>
    </row>
    <row r="751" spans="1:9" x14ac:dyDescent="0.15">
      <c r="A751" s="67" t="s">
        <v>1761</v>
      </c>
      <c r="B751" s="67" t="s">
        <v>1762</v>
      </c>
      <c r="C751" s="67" t="s">
        <v>5539</v>
      </c>
      <c r="D751" s="67" t="s">
        <v>5536</v>
      </c>
      <c r="E751" s="67" t="s">
        <v>5537</v>
      </c>
      <c r="F751" s="67" t="s">
        <v>4336</v>
      </c>
      <c r="G751" s="67">
        <f t="shared" si="35"/>
        <v>2</v>
      </c>
      <c r="H751" s="67" t="str">
        <f t="shared" si="36"/>
        <v>000893李晓沛</v>
      </c>
      <c r="I751" s="67" t="str">
        <f t="shared" si="37"/>
        <v>0828</v>
      </c>
    </row>
    <row r="752" spans="1:9" x14ac:dyDescent="0.15">
      <c r="A752" s="67" t="s">
        <v>1763</v>
      </c>
      <c r="B752" s="67" t="s">
        <v>1764</v>
      </c>
      <c r="C752" s="67" t="s">
        <v>5540</v>
      </c>
      <c r="D752" s="67" t="s">
        <v>5536</v>
      </c>
      <c r="E752" s="67" t="s">
        <v>5541</v>
      </c>
      <c r="F752" s="67" t="s">
        <v>4336</v>
      </c>
      <c r="G752" s="67">
        <f t="shared" si="35"/>
        <v>1</v>
      </c>
      <c r="H752" s="67" t="str">
        <f t="shared" si="36"/>
        <v>000646袁野</v>
      </c>
      <c r="I752" s="67" t="str">
        <f t="shared" si="37"/>
        <v>0829</v>
      </c>
    </row>
    <row r="753" spans="1:9" x14ac:dyDescent="0.15">
      <c r="A753" s="67" t="s">
        <v>5542</v>
      </c>
      <c r="B753" s="67" t="s">
        <v>5543</v>
      </c>
      <c r="C753" s="67" t="s">
        <v>5544</v>
      </c>
      <c r="D753" s="67" t="s">
        <v>5504</v>
      </c>
      <c r="E753" s="67" t="s">
        <v>5505</v>
      </c>
      <c r="F753" s="67" t="s">
        <v>4336</v>
      </c>
      <c r="G753" s="67">
        <f t="shared" si="35"/>
        <v>1</v>
      </c>
      <c r="H753" s="67" t="str">
        <f t="shared" si="36"/>
        <v>000834临时工83</v>
      </c>
      <c r="I753" s="67" t="str">
        <f t="shared" si="37"/>
        <v>083</v>
      </c>
    </row>
    <row r="754" spans="1:9" x14ac:dyDescent="0.15">
      <c r="A754" s="67" t="s">
        <v>1765</v>
      </c>
      <c r="B754" s="67" t="s">
        <v>1766</v>
      </c>
      <c r="C754" s="67" t="s">
        <v>5545</v>
      </c>
      <c r="D754" s="67" t="s">
        <v>5536</v>
      </c>
      <c r="E754" s="67" t="s">
        <v>5537</v>
      </c>
      <c r="F754" s="67" t="s">
        <v>4336</v>
      </c>
      <c r="G754" s="67">
        <f t="shared" si="35"/>
        <v>1</v>
      </c>
      <c r="H754" s="67" t="str">
        <f t="shared" si="36"/>
        <v>000645刘继豪</v>
      </c>
      <c r="I754" s="67" t="str">
        <f t="shared" si="37"/>
        <v>0830</v>
      </c>
    </row>
    <row r="755" spans="1:9" x14ac:dyDescent="0.15">
      <c r="A755" s="67" t="s">
        <v>1767</v>
      </c>
      <c r="B755" s="67" t="s">
        <v>1768</v>
      </c>
      <c r="C755" s="67" t="s">
        <v>5546</v>
      </c>
      <c r="D755" s="67" t="s">
        <v>4761</v>
      </c>
      <c r="E755" s="67" t="s">
        <v>4762</v>
      </c>
      <c r="F755" s="67" t="s">
        <v>4336</v>
      </c>
      <c r="G755" s="67">
        <f t="shared" si="35"/>
        <v>1</v>
      </c>
      <c r="H755" s="67" t="str">
        <f t="shared" si="36"/>
        <v>000648范同云</v>
      </c>
      <c r="I755" s="67" t="str">
        <f t="shared" si="37"/>
        <v>0831</v>
      </c>
    </row>
    <row r="756" spans="1:9" x14ac:dyDescent="0.15">
      <c r="A756" s="67" t="s">
        <v>1769</v>
      </c>
      <c r="B756" s="67" t="s">
        <v>1770</v>
      </c>
      <c r="C756" s="67" t="s">
        <v>5547</v>
      </c>
      <c r="D756" s="67" t="s">
        <v>5548</v>
      </c>
      <c r="E756" s="67" t="s">
        <v>5549</v>
      </c>
      <c r="F756" s="67" t="s">
        <v>4336</v>
      </c>
      <c r="G756" s="67">
        <f t="shared" si="35"/>
        <v>1</v>
      </c>
      <c r="H756" s="67" t="str">
        <f t="shared" si="36"/>
        <v>000654董磊</v>
      </c>
      <c r="I756" s="67" t="str">
        <f t="shared" si="37"/>
        <v>0832</v>
      </c>
    </row>
    <row r="757" spans="1:9" x14ac:dyDescent="0.15">
      <c r="A757" s="67" t="s">
        <v>1771</v>
      </c>
      <c r="B757" s="67" t="s">
        <v>1772</v>
      </c>
      <c r="C757" s="67" t="s">
        <v>5550</v>
      </c>
      <c r="D757" s="67" t="s">
        <v>5551</v>
      </c>
      <c r="E757" s="67" t="s">
        <v>5552</v>
      </c>
      <c r="F757" s="67" t="s">
        <v>4336</v>
      </c>
      <c r="G757" s="67">
        <f t="shared" si="35"/>
        <v>1</v>
      </c>
      <c r="H757" s="67" t="str">
        <f t="shared" si="36"/>
        <v>000656陈开勇</v>
      </c>
      <c r="I757" s="67" t="str">
        <f t="shared" si="37"/>
        <v>0833</v>
      </c>
    </row>
    <row r="758" spans="1:9" x14ac:dyDescent="0.15">
      <c r="A758" s="67" t="s">
        <v>1773</v>
      </c>
      <c r="B758" s="67" t="s">
        <v>1774</v>
      </c>
      <c r="C758" s="67" t="s">
        <v>5553</v>
      </c>
      <c r="D758" s="67" t="s">
        <v>5551</v>
      </c>
      <c r="E758" s="67" t="s">
        <v>5554</v>
      </c>
      <c r="F758" s="67" t="s">
        <v>4336</v>
      </c>
      <c r="G758" s="67">
        <f t="shared" si="35"/>
        <v>1</v>
      </c>
      <c r="H758" s="67" t="str">
        <f t="shared" si="36"/>
        <v>000657义海青</v>
      </c>
      <c r="I758" s="67" t="str">
        <f t="shared" si="37"/>
        <v>0834</v>
      </c>
    </row>
    <row r="759" spans="1:9" x14ac:dyDescent="0.15">
      <c r="A759" s="67" t="s">
        <v>1775</v>
      </c>
      <c r="B759" s="67" t="s">
        <v>1776</v>
      </c>
      <c r="C759" s="67" t="s">
        <v>5555</v>
      </c>
      <c r="D759" s="67" t="s">
        <v>4783</v>
      </c>
      <c r="E759" s="67" t="s">
        <v>4784</v>
      </c>
      <c r="F759" s="67" t="s">
        <v>4336</v>
      </c>
      <c r="G759" s="67">
        <f t="shared" si="35"/>
        <v>2</v>
      </c>
      <c r="H759" s="67" t="str">
        <f t="shared" si="36"/>
        <v>000669廉鹏</v>
      </c>
      <c r="I759" s="67" t="str">
        <f t="shared" si="37"/>
        <v>0835</v>
      </c>
    </row>
    <row r="760" spans="1:9" x14ac:dyDescent="0.15">
      <c r="A760" s="67" t="s">
        <v>1777</v>
      </c>
      <c r="B760" s="67" t="s">
        <v>1778</v>
      </c>
      <c r="C760" s="67" t="s">
        <v>5556</v>
      </c>
      <c r="D760" s="67" t="s">
        <v>5551</v>
      </c>
      <c r="E760" s="67" t="s">
        <v>5552</v>
      </c>
      <c r="F760" s="67" t="s">
        <v>4336</v>
      </c>
      <c r="G760" s="67">
        <f t="shared" si="35"/>
        <v>1</v>
      </c>
      <c r="H760" s="67" t="str">
        <f t="shared" si="36"/>
        <v>000659张金顺</v>
      </c>
      <c r="I760" s="67" t="str">
        <f t="shared" si="37"/>
        <v>0836</v>
      </c>
    </row>
    <row r="761" spans="1:9" x14ac:dyDescent="0.15">
      <c r="A761" s="67" t="s">
        <v>1779</v>
      </c>
      <c r="B761" s="67" t="s">
        <v>1780</v>
      </c>
      <c r="C761" s="67" t="s">
        <v>5557</v>
      </c>
      <c r="D761" s="67" t="s">
        <v>5551</v>
      </c>
      <c r="E761" s="67" t="s">
        <v>5558</v>
      </c>
      <c r="F761" s="67" t="s">
        <v>4336</v>
      </c>
      <c r="G761" s="67">
        <f t="shared" si="35"/>
        <v>1</v>
      </c>
      <c r="H761" s="67" t="str">
        <f t="shared" si="36"/>
        <v>000661张克胜</v>
      </c>
      <c r="I761" s="67" t="str">
        <f t="shared" si="37"/>
        <v>0837</v>
      </c>
    </row>
    <row r="762" spans="1:9" x14ac:dyDescent="0.15">
      <c r="A762" s="67" t="s">
        <v>1781</v>
      </c>
      <c r="B762" s="67" t="s">
        <v>1782</v>
      </c>
      <c r="C762" s="67" t="s">
        <v>5559</v>
      </c>
      <c r="D762" s="67" t="s">
        <v>5051</v>
      </c>
      <c r="E762" s="67" t="s">
        <v>5052</v>
      </c>
      <c r="F762" s="67" t="s">
        <v>4336</v>
      </c>
      <c r="G762" s="67">
        <f t="shared" si="35"/>
        <v>1</v>
      </c>
      <c r="H762" s="67" t="str">
        <f t="shared" si="36"/>
        <v>000662石勇要</v>
      </c>
      <c r="I762" s="67" t="str">
        <f t="shared" si="37"/>
        <v>0838</v>
      </c>
    </row>
    <row r="763" spans="1:9" x14ac:dyDescent="0.15">
      <c r="A763" s="67" t="s">
        <v>1783</v>
      </c>
      <c r="B763" s="67" t="s">
        <v>1784</v>
      </c>
      <c r="C763" s="67" t="s">
        <v>5560</v>
      </c>
      <c r="D763" s="67" t="s">
        <v>5051</v>
      </c>
      <c r="E763" s="67" t="s">
        <v>5561</v>
      </c>
      <c r="F763" s="67" t="s">
        <v>4336</v>
      </c>
      <c r="G763" s="67">
        <f t="shared" si="35"/>
        <v>1</v>
      </c>
      <c r="H763" s="67" t="str">
        <f t="shared" si="36"/>
        <v>000663耿朋</v>
      </c>
      <c r="I763" s="67" t="str">
        <f t="shared" si="37"/>
        <v>0839</v>
      </c>
    </row>
    <row r="764" spans="1:9" x14ac:dyDescent="0.15">
      <c r="A764" s="67" t="s">
        <v>5562</v>
      </c>
      <c r="B764" s="67" t="s">
        <v>5563</v>
      </c>
      <c r="C764" s="67" t="s">
        <v>5564</v>
      </c>
      <c r="D764" s="67" t="s">
        <v>5504</v>
      </c>
      <c r="E764" s="67" t="s">
        <v>5505</v>
      </c>
      <c r="F764" s="67" t="s">
        <v>4336</v>
      </c>
      <c r="G764" s="67">
        <f t="shared" si="35"/>
        <v>1</v>
      </c>
      <c r="H764" s="67" t="str">
        <f t="shared" si="36"/>
        <v>000835临时工84</v>
      </c>
      <c r="I764" s="67" t="str">
        <f t="shared" si="37"/>
        <v>084</v>
      </c>
    </row>
    <row r="765" spans="1:9" x14ac:dyDescent="0.15">
      <c r="A765" s="67" t="s">
        <v>1785</v>
      </c>
      <c r="B765" s="67" t="s">
        <v>1786</v>
      </c>
      <c r="C765" s="67" t="s">
        <v>5565</v>
      </c>
      <c r="D765" s="67" t="s">
        <v>5051</v>
      </c>
      <c r="E765" s="67" t="s">
        <v>5566</v>
      </c>
      <c r="F765" s="67" t="s">
        <v>4336</v>
      </c>
      <c r="G765" s="67">
        <f t="shared" si="35"/>
        <v>1</v>
      </c>
      <c r="H765" s="67" t="str">
        <f t="shared" si="36"/>
        <v>000664李肖俊</v>
      </c>
      <c r="I765" s="67" t="str">
        <f t="shared" si="37"/>
        <v>0840</v>
      </c>
    </row>
    <row r="766" spans="1:9" x14ac:dyDescent="0.15">
      <c r="A766" s="67" t="s">
        <v>1787</v>
      </c>
      <c r="B766" s="67" t="s">
        <v>1788</v>
      </c>
      <c r="C766" s="67" t="s">
        <v>5567</v>
      </c>
      <c r="D766" s="67" t="s">
        <v>5051</v>
      </c>
      <c r="E766" s="67" t="s">
        <v>5568</v>
      </c>
      <c r="F766" s="67" t="s">
        <v>4336</v>
      </c>
      <c r="G766" s="67">
        <f t="shared" si="35"/>
        <v>1</v>
      </c>
      <c r="H766" s="67" t="str">
        <f t="shared" si="36"/>
        <v>000665智荣坤</v>
      </c>
      <c r="I766" s="67" t="str">
        <f t="shared" si="37"/>
        <v>0841</v>
      </c>
    </row>
    <row r="767" spans="1:9" x14ac:dyDescent="0.15">
      <c r="A767" s="67" t="s">
        <v>1789</v>
      </c>
      <c r="B767" s="67" t="s">
        <v>1790</v>
      </c>
      <c r="C767" s="67" t="s">
        <v>5569</v>
      </c>
      <c r="D767" s="67" t="s">
        <v>5051</v>
      </c>
      <c r="E767" s="67" t="s">
        <v>5570</v>
      </c>
      <c r="F767" s="67" t="s">
        <v>4336</v>
      </c>
      <c r="G767" s="67">
        <f t="shared" si="35"/>
        <v>1</v>
      </c>
      <c r="H767" s="67" t="str">
        <f t="shared" si="36"/>
        <v>000666韩龙平</v>
      </c>
      <c r="I767" s="67" t="str">
        <f t="shared" si="37"/>
        <v>0842</v>
      </c>
    </row>
    <row r="768" spans="1:9" x14ac:dyDescent="0.15">
      <c r="A768" s="67" t="s">
        <v>1791</v>
      </c>
      <c r="B768" s="67" t="s">
        <v>1792</v>
      </c>
      <c r="C768" s="67" t="s">
        <v>5571</v>
      </c>
      <c r="D768" s="67" t="s">
        <v>4783</v>
      </c>
      <c r="E768" s="67" t="s">
        <v>5572</v>
      </c>
      <c r="F768" s="67" t="s">
        <v>4336</v>
      </c>
      <c r="G768" s="67">
        <f t="shared" si="35"/>
        <v>1</v>
      </c>
      <c r="H768" s="67" t="str">
        <f t="shared" si="36"/>
        <v>000673何如华</v>
      </c>
      <c r="I768" s="67" t="str">
        <f t="shared" si="37"/>
        <v>0843</v>
      </c>
    </row>
    <row r="769" spans="1:9" x14ac:dyDescent="0.15">
      <c r="A769" s="67" t="s">
        <v>1793</v>
      </c>
      <c r="B769" s="67" t="s">
        <v>1794</v>
      </c>
      <c r="C769" s="67" t="s">
        <v>5573</v>
      </c>
      <c r="D769" s="67" t="s">
        <v>4783</v>
      </c>
      <c r="E769" s="67" t="s">
        <v>5574</v>
      </c>
      <c r="F769" s="67" t="s">
        <v>4336</v>
      </c>
      <c r="G769" s="67">
        <f t="shared" si="35"/>
        <v>1</v>
      </c>
      <c r="H769" s="67" t="str">
        <f t="shared" si="36"/>
        <v>000674邱智民</v>
      </c>
      <c r="I769" s="67" t="str">
        <f t="shared" si="37"/>
        <v>0844</v>
      </c>
    </row>
    <row r="770" spans="1:9" x14ac:dyDescent="0.15">
      <c r="A770" s="67" t="s">
        <v>1795</v>
      </c>
      <c r="B770" s="67" t="s">
        <v>1796</v>
      </c>
      <c r="C770" s="67" t="s">
        <v>5575</v>
      </c>
      <c r="D770" s="67" t="s">
        <v>4783</v>
      </c>
      <c r="E770" s="67" t="s">
        <v>5576</v>
      </c>
      <c r="F770" s="67" t="s">
        <v>4336</v>
      </c>
      <c r="G770" s="67">
        <f t="shared" si="35"/>
        <v>1</v>
      </c>
      <c r="H770" s="67" t="str">
        <f t="shared" si="36"/>
        <v>000675张付龙</v>
      </c>
      <c r="I770" s="67" t="str">
        <f t="shared" si="37"/>
        <v>0845</v>
      </c>
    </row>
    <row r="771" spans="1:9" x14ac:dyDescent="0.15">
      <c r="A771" s="67" t="s">
        <v>1797</v>
      </c>
      <c r="B771" s="67" t="s">
        <v>1798</v>
      </c>
      <c r="C771" s="67" t="s">
        <v>5577</v>
      </c>
      <c r="D771" s="67" t="s">
        <v>4812</v>
      </c>
      <c r="E771" s="67" t="s">
        <v>4813</v>
      </c>
      <c r="F771" s="67" t="s">
        <v>4336</v>
      </c>
      <c r="G771" s="67">
        <f t="shared" ref="G771:G834" si="38">COUNTIFS(B:B,B771)</f>
        <v>1</v>
      </c>
      <c r="H771" s="67" t="str">
        <f t="shared" ref="H771:H834" si="39">C771&amp;B771</f>
        <v>000678周云龙</v>
      </c>
      <c r="I771" s="67" t="str">
        <f t="shared" ref="I771:I834" si="40">A771</f>
        <v>0846</v>
      </c>
    </row>
    <row r="772" spans="1:9" x14ac:dyDescent="0.15">
      <c r="A772" s="67" t="s">
        <v>1799</v>
      </c>
      <c r="B772" s="67" t="s">
        <v>1800</v>
      </c>
      <c r="C772" s="67" t="s">
        <v>5578</v>
      </c>
      <c r="D772" s="67" t="s">
        <v>5579</v>
      </c>
      <c r="E772" s="67" t="s">
        <v>5580</v>
      </c>
      <c r="F772" s="67" t="s">
        <v>4336</v>
      </c>
      <c r="G772" s="67">
        <f t="shared" si="38"/>
        <v>1</v>
      </c>
      <c r="H772" s="67" t="str">
        <f t="shared" si="39"/>
        <v>000683莫燕玲</v>
      </c>
      <c r="I772" s="67" t="str">
        <f t="shared" si="40"/>
        <v>0847</v>
      </c>
    </row>
    <row r="773" spans="1:9" x14ac:dyDescent="0.15">
      <c r="A773" s="67" t="s">
        <v>1801</v>
      </c>
      <c r="B773" s="67" t="s">
        <v>1802</v>
      </c>
      <c r="C773" s="67" t="s">
        <v>5581</v>
      </c>
      <c r="D773" s="67" t="s">
        <v>5579</v>
      </c>
      <c r="E773" s="67" t="s">
        <v>5582</v>
      </c>
      <c r="F773" s="67" t="s">
        <v>4336</v>
      </c>
      <c r="G773" s="67">
        <f t="shared" si="38"/>
        <v>1</v>
      </c>
      <c r="H773" s="67" t="str">
        <f t="shared" si="39"/>
        <v>000684钱光锦</v>
      </c>
      <c r="I773" s="67" t="str">
        <f t="shared" si="40"/>
        <v>0848</v>
      </c>
    </row>
    <row r="774" spans="1:9" x14ac:dyDescent="0.15">
      <c r="A774" s="67" t="s">
        <v>1803</v>
      </c>
      <c r="B774" s="67" t="s">
        <v>1804</v>
      </c>
      <c r="C774" s="67" t="s">
        <v>5583</v>
      </c>
      <c r="D774" s="67" t="s">
        <v>5579</v>
      </c>
      <c r="E774" s="67" t="s">
        <v>5582</v>
      </c>
      <c r="F774" s="67" t="s">
        <v>4336</v>
      </c>
      <c r="G774" s="67">
        <f t="shared" si="38"/>
        <v>1</v>
      </c>
      <c r="H774" s="67" t="str">
        <f t="shared" si="39"/>
        <v>000685刘恩志</v>
      </c>
      <c r="I774" s="67" t="str">
        <f t="shared" si="40"/>
        <v>0849</v>
      </c>
    </row>
    <row r="775" spans="1:9" x14ac:dyDescent="0.15">
      <c r="A775" s="67" t="s">
        <v>5584</v>
      </c>
      <c r="B775" s="67" t="s">
        <v>5585</v>
      </c>
      <c r="C775" s="67" t="s">
        <v>5586</v>
      </c>
      <c r="D775" s="67" t="s">
        <v>5504</v>
      </c>
      <c r="E775" s="67" t="s">
        <v>5505</v>
      </c>
      <c r="F775" s="67" t="s">
        <v>4336</v>
      </c>
      <c r="G775" s="67">
        <f t="shared" si="38"/>
        <v>1</v>
      </c>
      <c r="H775" s="67" t="str">
        <f t="shared" si="39"/>
        <v>000836临时工85</v>
      </c>
      <c r="I775" s="67" t="str">
        <f t="shared" si="40"/>
        <v>085</v>
      </c>
    </row>
    <row r="776" spans="1:9" x14ac:dyDescent="0.15">
      <c r="A776" s="67" t="s">
        <v>1805</v>
      </c>
      <c r="B776" s="67" t="s">
        <v>1806</v>
      </c>
      <c r="C776" s="67" t="s">
        <v>5587</v>
      </c>
      <c r="D776" s="67" t="s">
        <v>5579</v>
      </c>
      <c r="E776" s="67" t="s">
        <v>5582</v>
      </c>
      <c r="F776" s="67" t="s">
        <v>4336</v>
      </c>
      <c r="G776" s="67">
        <f t="shared" si="38"/>
        <v>1</v>
      </c>
      <c r="H776" s="67" t="str">
        <f t="shared" si="39"/>
        <v>000686石恒胜</v>
      </c>
      <c r="I776" s="67" t="str">
        <f t="shared" si="40"/>
        <v>0850</v>
      </c>
    </row>
    <row r="777" spans="1:9" x14ac:dyDescent="0.15">
      <c r="A777" s="67" t="s">
        <v>1807</v>
      </c>
      <c r="B777" s="67" t="s">
        <v>1808</v>
      </c>
      <c r="C777" s="67" t="s">
        <v>5588</v>
      </c>
      <c r="D777" s="67" t="s">
        <v>5589</v>
      </c>
      <c r="E777" s="67" t="s">
        <v>5590</v>
      </c>
      <c r="F777" s="67" t="s">
        <v>4336</v>
      </c>
      <c r="G777" s="67">
        <f t="shared" si="38"/>
        <v>1</v>
      </c>
      <c r="H777" s="67" t="str">
        <f t="shared" si="39"/>
        <v>000688李凤祥</v>
      </c>
      <c r="I777" s="67" t="str">
        <f t="shared" si="40"/>
        <v>0851</v>
      </c>
    </row>
    <row r="778" spans="1:9" x14ac:dyDescent="0.15">
      <c r="A778" s="67" t="s">
        <v>1809</v>
      </c>
      <c r="B778" s="67" t="s">
        <v>1810</v>
      </c>
      <c r="C778" s="67" t="s">
        <v>5591</v>
      </c>
      <c r="D778" s="67" t="s">
        <v>5589</v>
      </c>
      <c r="E778" s="67" t="s">
        <v>5590</v>
      </c>
      <c r="F778" s="67" t="s">
        <v>4336</v>
      </c>
      <c r="G778" s="67">
        <f t="shared" si="38"/>
        <v>3</v>
      </c>
      <c r="H778" s="67" t="str">
        <f t="shared" si="39"/>
        <v>000689叶小伟</v>
      </c>
      <c r="I778" s="67" t="str">
        <f t="shared" si="40"/>
        <v>0852</v>
      </c>
    </row>
    <row r="779" spans="1:9" x14ac:dyDescent="0.15">
      <c r="A779" s="67" t="s">
        <v>1809</v>
      </c>
      <c r="B779" s="67" t="s">
        <v>1810</v>
      </c>
      <c r="C779" s="67" t="s">
        <v>5592</v>
      </c>
      <c r="D779" s="67" t="s">
        <v>5589</v>
      </c>
      <c r="E779" s="67" t="s">
        <v>5593</v>
      </c>
      <c r="F779" s="67" t="s">
        <v>4336</v>
      </c>
      <c r="G779" s="67">
        <f t="shared" si="38"/>
        <v>3</v>
      </c>
      <c r="H779" s="67" t="str">
        <f t="shared" si="39"/>
        <v>000695叶小伟</v>
      </c>
      <c r="I779" s="67" t="str">
        <f t="shared" si="40"/>
        <v>0852</v>
      </c>
    </row>
    <row r="780" spans="1:9" x14ac:dyDescent="0.15">
      <c r="A780" s="67" t="s">
        <v>1809</v>
      </c>
      <c r="B780" s="67" t="s">
        <v>1810</v>
      </c>
      <c r="C780" s="67" t="s">
        <v>5594</v>
      </c>
      <c r="D780" s="67" t="s">
        <v>5595</v>
      </c>
      <c r="E780" s="67" t="s">
        <v>5596</v>
      </c>
      <c r="F780" s="67" t="s">
        <v>4336</v>
      </c>
      <c r="G780" s="67">
        <f t="shared" si="38"/>
        <v>3</v>
      </c>
      <c r="H780" s="67" t="str">
        <f t="shared" si="39"/>
        <v>000698叶小伟</v>
      </c>
      <c r="I780" s="67" t="str">
        <f t="shared" si="40"/>
        <v>0852</v>
      </c>
    </row>
    <row r="781" spans="1:9" x14ac:dyDescent="0.15">
      <c r="A781" s="67" t="s">
        <v>1811</v>
      </c>
      <c r="B781" s="67" t="s">
        <v>1812</v>
      </c>
      <c r="C781" s="67" t="s">
        <v>5597</v>
      </c>
      <c r="D781" s="67" t="s">
        <v>5319</v>
      </c>
      <c r="E781" s="67" t="s">
        <v>5320</v>
      </c>
      <c r="F781" s="67" t="s">
        <v>4336</v>
      </c>
      <c r="G781" s="67">
        <f t="shared" si="38"/>
        <v>1</v>
      </c>
      <c r="H781" s="67" t="str">
        <f t="shared" si="39"/>
        <v>000690吉东升</v>
      </c>
      <c r="I781" s="67" t="str">
        <f t="shared" si="40"/>
        <v>0853</v>
      </c>
    </row>
    <row r="782" spans="1:9" x14ac:dyDescent="0.15">
      <c r="A782" s="67" t="s">
        <v>1813</v>
      </c>
      <c r="B782" s="67" t="s">
        <v>1814</v>
      </c>
      <c r="C782" s="67" t="s">
        <v>5598</v>
      </c>
      <c r="D782" s="67" t="s">
        <v>5319</v>
      </c>
      <c r="E782" s="67" t="s">
        <v>5320</v>
      </c>
      <c r="F782" s="67" t="s">
        <v>4336</v>
      </c>
      <c r="G782" s="67">
        <f t="shared" si="38"/>
        <v>1</v>
      </c>
      <c r="H782" s="67" t="str">
        <f t="shared" si="39"/>
        <v>000691李峰</v>
      </c>
      <c r="I782" s="67" t="str">
        <f t="shared" si="40"/>
        <v>0854</v>
      </c>
    </row>
    <row r="783" spans="1:9" x14ac:dyDescent="0.15">
      <c r="A783" s="67" t="s">
        <v>1815</v>
      </c>
      <c r="B783" s="67" t="s">
        <v>1816</v>
      </c>
      <c r="C783" s="67" t="s">
        <v>5599</v>
      </c>
      <c r="D783" s="67" t="s">
        <v>5319</v>
      </c>
      <c r="E783" s="67" t="s">
        <v>5600</v>
      </c>
      <c r="F783" s="67" t="s">
        <v>4336</v>
      </c>
      <c r="G783" s="67">
        <f t="shared" si="38"/>
        <v>3</v>
      </c>
      <c r="H783" s="67" t="str">
        <f t="shared" si="39"/>
        <v>000693徐顺阳</v>
      </c>
      <c r="I783" s="67" t="str">
        <f t="shared" si="40"/>
        <v>0855</v>
      </c>
    </row>
    <row r="784" spans="1:9" x14ac:dyDescent="0.15">
      <c r="A784" s="67" t="s">
        <v>1815</v>
      </c>
      <c r="B784" s="67" t="s">
        <v>1816</v>
      </c>
      <c r="C784" s="67" t="s">
        <v>5601</v>
      </c>
      <c r="D784" s="67" t="s">
        <v>4643</v>
      </c>
      <c r="E784" s="67" t="s">
        <v>4644</v>
      </c>
      <c r="F784" s="67" t="s">
        <v>4336</v>
      </c>
      <c r="G784" s="67">
        <f t="shared" si="38"/>
        <v>3</v>
      </c>
      <c r="H784" s="67" t="str">
        <f t="shared" si="39"/>
        <v>000699徐顺阳</v>
      </c>
      <c r="I784" s="67" t="str">
        <f t="shared" si="40"/>
        <v>0855</v>
      </c>
    </row>
    <row r="785" spans="1:9" x14ac:dyDescent="0.15">
      <c r="A785" s="67" t="s">
        <v>1815</v>
      </c>
      <c r="B785" s="67" t="s">
        <v>1816</v>
      </c>
      <c r="C785" s="67" t="s">
        <v>5602</v>
      </c>
      <c r="D785" s="67" t="s">
        <v>4643</v>
      </c>
      <c r="E785" s="67" t="s">
        <v>4644</v>
      </c>
      <c r="F785" s="67" t="s">
        <v>4336</v>
      </c>
      <c r="G785" s="67">
        <f t="shared" si="38"/>
        <v>3</v>
      </c>
      <c r="H785" s="67" t="str">
        <f t="shared" si="39"/>
        <v>000771徐顺阳</v>
      </c>
      <c r="I785" s="67" t="str">
        <f t="shared" si="40"/>
        <v>0855</v>
      </c>
    </row>
    <row r="786" spans="1:9" x14ac:dyDescent="0.15">
      <c r="A786" s="67" t="s">
        <v>1817</v>
      </c>
      <c r="B786" s="67" t="s">
        <v>1818</v>
      </c>
      <c r="C786" s="67" t="s">
        <v>5603</v>
      </c>
      <c r="D786" s="67" t="s">
        <v>5604</v>
      </c>
      <c r="E786" s="67" t="s">
        <v>5605</v>
      </c>
      <c r="F786" s="67" t="s">
        <v>4336</v>
      </c>
      <c r="G786" s="67">
        <f t="shared" si="38"/>
        <v>2</v>
      </c>
      <c r="H786" s="67" t="str">
        <f t="shared" si="39"/>
        <v>000694叶鑫</v>
      </c>
      <c r="I786" s="67" t="str">
        <f t="shared" si="40"/>
        <v>0856</v>
      </c>
    </row>
    <row r="787" spans="1:9" x14ac:dyDescent="0.15">
      <c r="A787" s="67" t="s">
        <v>1819</v>
      </c>
      <c r="B787" s="67" t="s">
        <v>1820</v>
      </c>
      <c r="C787" s="67" t="s">
        <v>5606</v>
      </c>
      <c r="D787" s="67" t="s">
        <v>5604</v>
      </c>
      <c r="E787" s="67" t="s">
        <v>5607</v>
      </c>
      <c r="F787" s="67" t="s">
        <v>4336</v>
      </c>
      <c r="G787" s="67">
        <f t="shared" si="38"/>
        <v>3</v>
      </c>
      <c r="H787" s="67" t="str">
        <f t="shared" si="39"/>
        <v>000696高俊</v>
      </c>
      <c r="I787" s="67" t="str">
        <f t="shared" si="40"/>
        <v>0857</v>
      </c>
    </row>
    <row r="788" spans="1:9" x14ac:dyDescent="0.15">
      <c r="A788" s="67" t="s">
        <v>1819</v>
      </c>
      <c r="B788" s="67" t="s">
        <v>1820</v>
      </c>
      <c r="C788" s="67" t="s">
        <v>5608</v>
      </c>
      <c r="D788" s="67" t="s">
        <v>4643</v>
      </c>
      <c r="E788" s="67" t="s">
        <v>5609</v>
      </c>
      <c r="F788" s="67" t="s">
        <v>4336</v>
      </c>
      <c r="G788" s="67">
        <f t="shared" si="38"/>
        <v>3</v>
      </c>
      <c r="H788" s="67" t="str">
        <f t="shared" si="39"/>
        <v>000700高俊</v>
      </c>
      <c r="I788" s="67" t="str">
        <f t="shared" si="40"/>
        <v>0857</v>
      </c>
    </row>
    <row r="789" spans="1:9" x14ac:dyDescent="0.15">
      <c r="A789" s="67" t="s">
        <v>1819</v>
      </c>
      <c r="B789" s="67" t="s">
        <v>1820</v>
      </c>
      <c r="C789" s="67" t="s">
        <v>5610</v>
      </c>
      <c r="D789" s="67" t="s">
        <v>5611</v>
      </c>
      <c r="E789" s="67" t="s">
        <v>5612</v>
      </c>
      <c r="F789" s="67" t="s">
        <v>4336</v>
      </c>
      <c r="G789" s="67">
        <f t="shared" si="38"/>
        <v>3</v>
      </c>
      <c r="H789" s="67" t="str">
        <f t="shared" si="39"/>
        <v>000704高俊</v>
      </c>
      <c r="I789" s="67" t="str">
        <f t="shared" si="40"/>
        <v>0857</v>
      </c>
    </row>
    <row r="790" spans="1:9" x14ac:dyDescent="0.15">
      <c r="A790" s="67" t="s">
        <v>1821</v>
      </c>
      <c r="B790" s="67" t="s">
        <v>1822</v>
      </c>
      <c r="C790" s="67" t="s">
        <v>5613</v>
      </c>
      <c r="D790" s="67" t="s">
        <v>5611</v>
      </c>
      <c r="E790" s="67" t="s">
        <v>5614</v>
      </c>
      <c r="F790" s="67" t="s">
        <v>4336</v>
      </c>
      <c r="G790" s="67">
        <f t="shared" si="38"/>
        <v>2</v>
      </c>
      <c r="H790" s="67" t="str">
        <f t="shared" si="39"/>
        <v>000705万孝远</v>
      </c>
      <c r="I790" s="67" t="str">
        <f t="shared" si="40"/>
        <v>0858</v>
      </c>
    </row>
    <row r="791" spans="1:9" x14ac:dyDescent="0.15">
      <c r="A791" s="67" t="s">
        <v>1821</v>
      </c>
      <c r="B791" s="67" t="s">
        <v>1822</v>
      </c>
      <c r="C791" s="67" t="s">
        <v>5615</v>
      </c>
      <c r="D791" s="67" t="s">
        <v>5604</v>
      </c>
      <c r="E791" s="67" t="s">
        <v>5616</v>
      </c>
      <c r="F791" s="67" t="s">
        <v>4336</v>
      </c>
      <c r="G791" s="67">
        <f t="shared" si="38"/>
        <v>2</v>
      </c>
      <c r="H791" s="67" t="str">
        <f t="shared" si="39"/>
        <v>000697万孝远</v>
      </c>
      <c r="I791" s="67" t="str">
        <f t="shared" si="40"/>
        <v>0858</v>
      </c>
    </row>
    <row r="792" spans="1:9" x14ac:dyDescent="0.15">
      <c r="A792" s="67" t="s">
        <v>1823</v>
      </c>
      <c r="B792" s="67" t="s">
        <v>1824</v>
      </c>
      <c r="C792" s="67" t="s">
        <v>5617</v>
      </c>
      <c r="D792" s="67" t="s">
        <v>5611</v>
      </c>
      <c r="E792" s="67" t="s">
        <v>5614</v>
      </c>
      <c r="F792" s="67" t="s">
        <v>4336</v>
      </c>
      <c r="G792" s="67">
        <f t="shared" si="38"/>
        <v>1</v>
      </c>
      <c r="H792" s="67" t="str">
        <f t="shared" si="39"/>
        <v>000706曹磊</v>
      </c>
      <c r="I792" s="67" t="str">
        <f t="shared" si="40"/>
        <v>0859</v>
      </c>
    </row>
    <row r="793" spans="1:9" x14ac:dyDescent="0.15">
      <c r="A793" s="67" t="s">
        <v>5618</v>
      </c>
      <c r="B793" s="67" t="s">
        <v>5619</v>
      </c>
      <c r="C793" s="67" t="s">
        <v>5620</v>
      </c>
      <c r="D793" s="67" t="s">
        <v>5621</v>
      </c>
      <c r="E793" s="67" t="s">
        <v>5622</v>
      </c>
      <c r="F793" s="67" t="s">
        <v>4336</v>
      </c>
      <c r="G793" s="67">
        <f t="shared" si="38"/>
        <v>1</v>
      </c>
      <c r="H793" s="67" t="str">
        <f t="shared" si="39"/>
        <v>000838临时工86</v>
      </c>
      <c r="I793" s="67" t="str">
        <f t="shared" si="40"/>
        <v>086</v>
      </c>
    </row>
    <row r="794" spans="1:9" x14ac:dyDescent="0.15">
      <c r="A794" s="67" t="s">
        <v>1825</v>
      </c>
      <c r="B794" s="67" t="s">
        <v>1826</v>
      </c>
      <c r="C794" s="67" t="s">
        <v>5623</v>
      </c>
      <c r="D794" s="67" t="s">
        <v>5611</v>
      </c>
      <c r="E794" s="67" t="s">
        <v>5614</v>
      </c>
      <c r="F794" s="67" t="s">
        <v>4336</v>
      </c>
      <c r="G794" s="67">
        <f t="shared" si="38"/>
        <v>1</v>
      </c>
      <c r="H794" s="67" t="str">
        <f t="shared" si="39"/>
        <v>000707李宝军</v>
      </c>
      <c r="I794" s="67" t="str">
        <f t="shared" si="40"/>
        <v>0860</v>
      </c>
    </row>
    <row r="795" spans="1:9" x14ac:dyDescent="0.15">
      <c r="A795" s="67" t="s">
        <v>1827</v>
      </c>
      <c r="B795" s="67" t="s">
        <v>1828</v>
      </c>
      <c r="C795" s="67" t="s">
        <v>5624</v>
      </c>
      <c r="D795" s="67" t="s">
        <v>5625</v>
      </c>
      <c r="E795" s="67" t="s">
        <v>5626</v>
      </c>
      <c r="F795" s="67" t="s">
        <v>4336</v>
      </c>
      <c r="G795" s="67">
        <f t="shared" si="38"/>
        <v>1</v>
      </c>
      <c r="H795" s="67" t="str">
        <f t="shared" si="39"/>
        <v>000714王大东</v>
      </c>
      <c r="I795" s="67" t="str">
        <f t="shared" si="40"/>
        <v>0861</v>
      </c>
    </row>
    <row r="796" spans="1:9" x14ac:dyDescent="0.15">
      <c r="A796" s="67" t="s">
        <v>1829</v>
      </c>
      <c r="B796" s="67" t="s">
        <v>1830</v>
      </c>
      <c r="C796" s="67" t="s">
        <v>5627</v>
      </c>
      <c r="D796" s="67" t="s">
        <v>5625</v>
      </c>
      <c r="E796" s="67" t="s">
        <v>5628</v>
      </c>
      <c r="F796" s="67" t="s">
        <v>4336</v>
      </c>
      <c r="G796" s="67">
        <f t="shared" si="38"/>
        <v>2</v>
      </c>
      <c r="H796" s="67" t="str">
        <f t="shared" si="39"/>
        <v>000715王许伟</v>
      </c>
      <c r="I796" s="67" t="str">
        <f t="shared" si="40"/>
        <v>0862</v>
      </c>
    </row>
    <row r="797" spans="1:9" x14ac:dyDescent="0.15">
      <c r="A797" s="67" t="s">
        <v>1829</v>
      </c>
      <c r="B797" s="67" t="s">
        <v>1830</v>
      </c>
      <c r="C797" s="67" t="s">
        <v>5629</v>
      </c>
      <c r="D797" s="67" t="s">
        <v>5630</v>
      </c>
      <c r="E797" s="67" t="s">
        <v>5631</v>
      </c>
      <c r="F797" s="67" t="s">
        <v>4336</v>
      </c>
      <c r="G797" s="67">
        <f t="shared" si="38"/>
        <v>2</v>
      </c>
      <c r="H797" s="67" t="str">
        <f t="shared" si="39"/>
        <v>000719王许伟</v>
      </c>
      <c r="I797" s="67" t="str">
        <f t="shared" si="40"/>
        <v>0862</v>
      </c>
    </row>
    <row r="798" spans="1:9" x14ac:dyDescent="0.15">
      <c r="A798" s="67" t="s">
        <v>1831</v>
      </c>
      <c r="B798" s="67" t="s">
        <v>1832</v>
      </c>
      <c r="C798" s="67" t="s">
        <v>5632</v>
      </c>
      <c r="D798" s="67" t="s">
        <v>5625</v>
      </c>
      <c r="E798" s="67" t="s">
        <v>5633</v>
      </c>
      <c r="F798" s="67" t="s">
        <v>4336</v>
      </c>
      <c r="G798" s="67">
        <f t="shared" si="38"/>
        <v>1</v>
      </c>
      <c r="H798" s="67" t="str">
        <f t="shared" si="39"/>
        <v>000716王海峰</v>
      </c>
      <c r="I798" s="67" t="str">
        <f t="shared" si="40"/>
        <v>0863</v>
      </c>
    </row>
    <row r="799" spans="1:9" x14ac:dyDescent="0.15">
      <c r="A799" s="67" t="s">
        <v>1833</v>
      </c>
      <c r="B799" s="67" t="s">
        <v>1834</v>
      </c>
      <c r="C799" s="67" t="s">
        <v>5634</v>
      </c>
      <c r="D799" s="67" t="s">
        <v>5635</v>
      </c>
      <c r="E799" s="67" t="s">
        <v>5636</v>
      </c>
      <c r="F799" s="67" t="s">
        <v>4336</v>
      </c>
      <c r="G799" s="67">
        <f t="shared" si="38"/>
        <v>1</v>
      </c>
      <c r="H799" s="67" t="str">
        <f t="shared" si="39"/>
        <v>000717刘志</v>
      </c>
      <c r="I799" s="67" t="str">
        <f t="shared" si="40"/>
        <v>0864</v>
      </c>
    </row>
    <row r="800" spans="1:9" x14ac:dyDescent="0.15">
      <c r="A800" s="67" t="s">
        <v>1835</v>
      </c>
      <c r="B800" s="67" t="s">
        <v>1836</v>
      </c>
      <c r="C800" s="67" t="s">
        <v>5637</v>
      </c>
      <c r="D800" s="67" t="s">
        <v>5638</v>
      </c>
      <c r="E800" s="67" t="s">
        <v>5639</v>
      </c>
      <c r="F800" s="67" t="s">
        <v>4336</v>
      </c>
      <c r="G800" s="67">
        <f t="shared" si="38"/>
        <v>2</v>
      </c>
      <c r="H800" s="67" t="str">
        <f t="shared" si="39"/>
        <v>000718刘艳华</v>
      </c>
      <c r="I800" s="67" t="str">
        <f t="shared" si="40"/>
        <v>0865</v>
      </c>
    </row>
    <row r="801" spans="1:9" x14ac:dyDescent="0.15">
      <c r="A801" s="67" t="s">
        <v>1835</v>
      </c>
      <c r="B801" s="67" t="s">
        <v>1836</v>
      </c>
      <c r="C801" s="67" t="s">
        <v>5640</v>
      </c>
      <c r="D801" s="67" t="s">
        <v>5638</v>
      </c>
      <c r="E801" s="67" t="s">
        <v>5641</v>
      </c>
      <c r="F801" s="67" t="s">
        <v>4336</v>
      </c>
      <c r="G801" s="67">
        <f t="shared" si="38"/>
        <v>2</v>
      </c>
      <c r="H801" s="67" t="str">
        <f t="shared" si="39"/>
        <v>000726刘艳华</v>
      </c>
      <c r="I801" s="67" t="str">
        <f t="shared" si="40"/>
        <v>0865</v>
      </c>
    </row>
    <row r="802" spans="1:9" x14ac:dyDescent="0.15">
      <c r="A802" s="67" t="s">
        <v>1837</v>
      </c>
      <c r="B802" s="67" t="s">
        <v>1838</v>
      </c>
      <c r="C802" s="67" t="s">
        <v>5642</v>
      </c>
      <c r="D802" s="67" t="s">
        <v>5643</v>
      </c>
      <c r="E802" s="67" t="s">
        <v>5644</v>
      </c>
      <c r="F802" s="67" t="s">
        <v>4336</v>
      </c>
      <c r="G802" s="67">
        <f t="shared" si="38"/>
        <v>1</v>
      </c>
      <c r="H802" s="67" t="str">
        <f t="shared" si="39"/>
        <v>000721赵晓光</v>
      </c>
      <c r="I802" s="67" t="str">
        <f t="shared" si="40"/>
        <v>0866</v>
      </c>
    </row>
    <row r="803" spans="1:9" x14ac:dyDescent="0.15">
      <c r="A803" s="67" t="s">
        <v>1839</v>
      </c>
      <c r="B803" s="67" t="s">
        <v>1840</v>
      </c>
      <c r="C803" s="67" t="s">
        <v>5645</v>
      </c>
      <c r="D803" s="67" t="s">
        <v>4984</v>
      </c>
      <c r="E803" s="67" t="s">
        <v>4985</v>
      </c>
      <c r="F803" s="67" t="s">
        <v>4336</v>
      </c>
      <c r="G803" s="67">
        <f t="shared" si="38"/>
        <v>1</v>
      </c>
      <c r="H803" s="67" t="str">
        <f t="shared" si="39"/>
        <v>000723霍爱兰</v>
      </c>
      <c r="I803" s="67" t="str">
        <f t="shared" si="40"/>
        <v>0867</v>
      </c>
    </row>
    <row r="804" spans="1:9" x14ac:dyDescent="0.15">
      <c r="A804" s="67" t="s">
        <v>1841</v>
      </c>
      <c r="B804" s="67" t="s">
        <v>1842</v>
      </c>
      <c r="C804" s="67" t="s">
        <v>5646</v>
      </c>
      <c r="D804" s="67" t="s">
        <v>5647</v>
      </c>
      <c r="E804" s="67" t="s">
        <v>5648</v>
      </c>
      <c r="F804" s="67" t="s">
        <v>4336</v>
      </c>
      <c r="G804" s="67">
        <f t="shared" si="38"/>
        <v>1</v>
      </c>
      <c r="H804" s="67" t="str">
        <f t="shared" si="39"/>
        <v>000727范光全</v>
      </c>
      <c r="I804" s="67" t="str">
        <f t="shared" si="40"/>
        <v>0868</v>
      </c>
    </row>
    <row r="805" spans="1:9" x14ac:dyDescent="0.15">
      <c r="A805" s="67" t="s">
        <v>1843</v>
      </c>
      <c r="B805" s="67" t="s">
        <v>1844</v>
      </c>
      <c r="C805" s="67" t="s">
        <v>5649</v>
      </c>
      <c r="D805" s="67" t="s">
        <v>5650</v>
      </c>
      <c r="E805" s="67" t="s">
        <v>5651</v>
      </c>
      <c r="F805" s="67" t="s">
        <v>4336</v>
      </c>
      <c r="G805" s="67">
        <f t="shared" si="38"/>
        <v>1</v>
      </c>
      <c r="H805" s="67" t="str">
        <f t="shared" si="39"/>
        <v>000729段青</v>
      </c>
      <c r="I805" s="67" t="str">
        <f t="shared" si="40"/>
        <v>0869</v>
      </c>
    </row>
    <row r="806" spans="1:9" x14ac:dyDescent="0.15">
      <c r="A806" s="67" t="s">
        <v>1845</v>
      </c>
      <c r="B806" s="67" t="s">
        <v>1846</v>
      </c>
      <c r="C806" s="67" t="s">
        <v>5652</v>
      </c>
      <c r="D806" s="67" t="s">
        <v>5650</v>
      </c>
      <c r="E806" s="67" t="s">
        <v>5651</v>
      </c>
      <c r="F806" s="67" t="s">
        <v>4336</v>
      </c>
      <c r="G806" s="67">
        <f t="shared" si="38"/>
        <v>1</v>
      </c>
      <c r="H806" s="67" t="str">
        <f t="shared" si="39"/>
        <v>000730刘宗伍</v>
      </c>
      <c r="I806" s="67" t="str">
        <f t="shared" si="40"/>
        <v>0870</v>
      </c>
    </row>
    <row r="807" spans="1:9" x14ac:dyDescent="0.15">
      <c r="A807" s="67" t="s">
        <v>1847</v>
      </c>
      <c r="B807" s="67" t="s">
        <v>1848</v>
      </c>
      <c r="C807" s="67" t="s">
        <v>5653</v>
      </c>
      <c r="D807" s="67" t="s">
        <v>5654</v>
      </c>
      <c r="E807" s="67" t="s">
        <v>5655</v>
      </c>
      <c r="F807" s="67" t="s">
        <v>4336</v>
      </c>
      <c r="G807" s="67">
        <f t="shared" si="38"/>
        <v>2</v>
      </c>
      <c r="H807" s="67" t="str">
        <f t="shared" si="39"/>
        <v>000731孙标标</v>
      </c>
      <c r="I807" s="67" t="str">
        <f t="shared" si="40"/>
        <v>0871</v>
      </c>
    </row>
    <row r="808" spans="1:9" x14ac:dyDescent="0.15">
      <c r="A808" s="67" t="s">
        <v>1847</v>
      </c>
      <c r="B808" s="67" t="s">
        <v>1848</v>
      </c>
      <c r="C808" s="67" t="s">
        <v>5656</v>
      </c>
      <c r="D808" s="67" t="s">
        <v>5654</v>
      </c>
      <c r="E808" s="67" t="s">
        <v>5655</v>
      </c>
      <c r="F808" s="67" t="s">
        <v>4336</v>
      </c>
      <c r="G808" s="67">
        <f t="shared" si="38"/>
        <v>2</v>
      </c>
      <c r="H808" s="67" t="str">
        <f t="shared" si="39"/>
        <v>000784孙标标</v>
      </c>
      <c r="I808" s="67" t="str">
        <f t="shared" si="40"/>
        <v>0871</v>
      </c>
    </row>
    <row r="809" spans="1:9" x14ac:dyDescent="0.15">
      <c r="A809" s="67" t="s">
        <v>1849</v>
      </c>
      <c r="B809" s="67" t="s">
        <v>1850</v>
      </c>
      <c r="C809" s="67" t="s">
        <v>5657</v>
      </c>
      <c r="D809" s="67" t="s">
        <v>5654</v>
      </c>
      <c r="E809" s="67" t="s">
        <v>5655</v>
      </c>
      <c r="F809" s="67" t="s">
        <v>4336</v>
      </c>
      <c r="G809" s="67">
        <f t="shared" si="38"/>
        <v>1</v>
      </c>
      <c r="H809" s="67" t="str">
        <f t="shared" si="39"/>
        <v>000732苏仕强</v>
      </c>
      <c r="I809" s="67" t="str">
        <f t="shared" si="40"/>
        <v>0872</v>
      </c>
    </row>
    <row r="810" spans="1:9" x14ac:dyDescent="0.15">
      <c r="A810" s="67" t="s">
        <v>1851</v>
      </c>
      <c r="B810" s="67" t="s">
        <v>1852</v>
      </c>
      <c r="C810" s="67" t="s">
        <v>5658</v>
      </c>
      <c r="D810" s="67" t="s">
        <v>5659</v>
      </c>
      <c r="E810" s="67" t="s">
        <v>5660</v>
      </c>
      <c r="F810" s="67" t="s">
        <v>4336</v>
      </c>
      <c r="G810" s="67">
        <f t="shared" si="38"/>
        <v>1</v>
      </c>
      <c r="H810" s="67" t="str">
        <f t="shared" si="39"/>
        <v>000733母元超</v>
      </c>
      <c r="I810" s="67" t="str">
        <f t="shared" si="40"/>
        <v>0873</v>
      </c>
    </row>
    <row r="811" spans="1:9" x14ac:dyDescent="0.15">
      <c r="A811" s="67" t="s">
        <v>1853</v>
      </c>
      <c r="B811" s="67" t="s">
        <v>1854</v>
      </c>
      <c r="C811" s="67" t="s">
        <v>5661</v>
      </c>
      <c r="D811" s="67" t="s">
        <v>4882</v>
      </c>
      <c r="E811" s="67" t="s">
        <v>4883</v>
      </c>
      <c r="F811" s="67" t="s">
        <v>4336</v>
      </c>
      <c r="G811" s="67">
        <f t="shared" si="38"/>
        <v>1</v>
      </c>
      <c r="H811" s="67" t="str">
        <f t="shared" si="39"/>
        <v>000734赵欢欢</v>
      </c>
      <c r="I811" s="67" t="str">
        <f t="shared" si="40"/>
        <v>0874</v>
      </c>
    </row>
    <row r="812" spans="1:9" x14ac:dyDescent="0.15">
      <c r="A812" s="67" t="s">
        <v>1855</v>
      </c>
      <c r="B812" s="67" t="s">
        <v>1856</v>
      </c>
      <c r="C812" s="67" t="s">
        <v>5662</v>
      </c>
      <c r="D812" s="67" t="s">
        <v>5663</v>
      </c>
      <c r="E812" s="67" t="s">
        <v>5664</v>
      </c>
      <c r="F812" s="67" t="s">
        <v>4336</v>
      </c>
      <c r="G812" s="67">
        <f t="shared" si="38"/>
        <v>1</v>
      </c>
      <c r="H812" s="67" t="str">
        <f t="shared" si="39"/>
        <v>000763刘洋</v>
      </c>
      <c r="I812" s="67" t="str">
        <f t="shared" si="40"/>
        <v>0875</v>
      </c>
    </row>
    <row r="813" spans="1:9" x14ac:dyDescent="0.15">
      <c r="A813" s="67" t="s">
        <v>1857</v>
      </c>
      <c r="B813" s="67" t="s">
        <v>1858</v>
      </c>
      <c r="C813" s="67" t="s">
        <v>5665</v>
      </c>
      <c r="D813" s="67" t="s">
        <v>5663</v>
      </c>
      <c r="E813" s="67" t="s">
        <v>5666</v>
      </c>
      <c r="F813" s="67" t="s">
        <v>4336</v>
      </c>
      <c r="G813" s="67">
        <f t="shared" si="38"/>
        <v>1</v>
      </c>
      <c r="H813" s="67" t="str">
        <f t="shared" si="39"/>
        <v>000764杨建华</v>
      </c>
      <c r="I813" s="67" t="str">
        <f t="shared" si="40"/>
        <v>0876</v>
      </c>
    </row>
    <row r="814" spans="1:9" x14ac:dyDescent="0.15">
      <c r="A814" s="67" t="s">
        <v>1859</v>
      </c>
      <c r="B814" s="67" t="s">
        <v>1860</v>
      </c>
      <c r="C814" s="67" t="s">
        <v>5667</v>
      </c>
      <c r="D814" s="67" t="s">
        <v>5668</v>
      </c>
      <c r="E814" s="67" t="s">
        <v>5669</v>
      </c>
      <c r="F814" s="67" t="s">
        <v>4336</v>
      </c>
      <c r="G814" s="67">
        <f t="shared" si="38"/>
        <v>1</v>
      </c>
      <c r="H814" s="67" t="str">
        <f t="shared" si="39"/>
        <v>000766才晓莉</v>
      </c>
      <c r="I814" s="67" t="str">
        <f t="shared" si="40"/>
        <v>0877</v>
      </c>
    </row>
    <row r="815" spans="1:9" x14ac:dyDescent="0.15">
      <c r="A815" s="67" t="s">
        <v>1861</v>
      </c>
      <c r="B815" s="67" t="s">
        <v>1862</v>
      </c>
      <c r="C815" s="67" t="s">
        <v>5670</v>
      </c>
      <c r="D815" s="67" t="s">
        <v>5671</v>
      </c>
      <c r="E815" s="67" t="s">
        <v>5672</v>
      </c>
      <c r="F815" s="67" t="s">
        <v>4336</v>
      </c>
      <c r="G815" s="67">
        <f t="shared" si="38"/>
        <v>2</v>
      </c>
      <c r="H815" s="67" t="str">
        <f t="shared" si="39"/>
        <v>000772张英豪</v>
      </c>
      <c r="I815" s="67" t="str">
        <f t="shared" si="40"/>
        <v>0878</v>
      </c>
    </row>
    <row r="816" spans="1:9" x14ac:dyDescent="0.15">
      <c r="A816" s="67" t="s">
        <v>1861</v>
      </c>
      <c r="B816" s="67" t="s">
        <v>1862</v>
      </c>
      <c r="C816" s="67" t="s">
        <v>5673</v>
      </c>
      <c r="D816" s="67" t="s">
        <v>5671</v>
      </c>
      <c r="E816" s="67" t="s">
        <v>5674</v>
      </c>
      <c r="F816" s="67" t="s">
        <v>4336</v>
      </c>
      <c r="G816" s="67">
        <f t="shared" si="38"/>
        <v>2</v>
      </c>
      <c r="H816" s="67" t="str">
        <f t="shared" si="39"/>
        <v>000773张英豪</v>
      </c>
      <c r="I816" s="67" t="str">
        <f t="shared" si="40"/>
        <v>0878</v>
      </c>
    </row>
    <row r="817" spans="1:9" x14ac:dyDescent="0.15">
      <c r="A817" s="67" t="s">
        <v>1863</v>
      </c>
      <c r="B817" s="67" t="s">
        <v>1864</v>
      </c>
      <c r="C817" s="67" t="s">
        <v>5675</v>
      </c>
      <c r="D817" s="67" t="s">
        <v>5671</v>
      </c>
      <c r="E817" s="67" t="s">
        <v>5676</v>
      </c>
      <c r="F817" s="67" t="s">
        <v>4336</v>
      </c>
      <c r="G817" s="67">
        <f t="shared" si="38"/>
        <v>1</v>
      </c>
      <c r="H817" s="67" t="str">
        <f t="shared" si="39"/>
        <v>000774文鹏</v>
      </c>
      <c r="I817" s="67" t="str">
        <f t="shared" si="40"/>
        <v>0879</v>
      </c>
    </row>
    <row r="818" spans="1:9" x14ac:dyDescent="0.15">
      <c r="A818" s="67" t="s">
        <v>1865</v>
      </c>
      <c r="B818" s="67" t="s">
        <v>1866</v>
      </c>
      <c r="C818" s="67" t="s">
        <v>5677</v>
      </c>
      <c r="D818" s="67" t="s">
        <v>5678</v>
      </c>
      <c r="E818" s="67" t="s">
        <v>5679</v>
      </c>
      <c r="F818" s="67" t="s">
        <v>4336</v>
      </c>
      <c r="G818" s="67">
        <f t="shared" si="38"/>
        <v>3</v>
      </c>
      <c r="H818" s="67" t="str">
        <f t="shared" si="39"/>
        <v>000777熊彬</v>
      </c>
      <c r="I818" s="67" t="str">
        <f t="shared" si="40"/>
        <v>0880</v>
      </c>
    </row>
    <row r="819" spans="1:9" x14ac:dyDescent="0.15">
      <c r="A819" s="67" t="s">
        <v>1865</v>
      </c>
      <c r="B819" s="67" t="s">
        <v>1866</v>
      </c>
      <c r="C819" s="67" t="s">
        <v>5680</v>
      </c>
      <c r="D819" s="67" t="s">
        <v>5678</v>
      </c>
      <c r="E819" s="67" t="s">
        <v>5679</v>
      </c>
      <c r="F819" s="67" t="s">
        <v>4336</v>
      </c>
      <c r="G819" s="67">
        <f t="shared" si="38"/>
        <v>3</v>
      </c>
      <c r="H819" s="67" t="str">
        <f t="shared" si="39"/>
        <v>000852熊彬</v>
      </c>
      <c r="I819" s="67" t="str">
        <f t="shared" si="40"/>
        <v>0880</v>
      </c>
    </row>
    <row r="820" spans="1:9" x14ac:dyDescent="0.15">
      <c r="A820" s="67" t="s">
        <v>1865</v>
      </c>
      <c r="B820" s="67" t="s">
        <v>1866</v>
      </c>
      <c r="C820" s="67" t="s">
        <v>5681</v>
      </c>
      <c r="D820" s="67" t="s">
        <v>5678</v>
      </c>
      <c r="E820" s="67" t="s">
        <v>5679</v>
      </c>
      <c r="F820" s="67" t="s">
        <v>4336</v>
      </c>
      <c r="G820" s="67">
        <f t="shared" si="38"/>
        <v>3</v>
      </c>
      <c r="H820" s="67" t="str">
        <f t="shared" si="39"/>
        <v>000859熊彬</v>
      </c>
      <c r="I820" s="67" t="str">
        <f t="shared" si="40"/>
        <v>0880</v>
      </c>
    </row>
    <row r="821" spans="1:9" x14ac:dyDescent="0.15">
      <c r="A821" s="67" t="s">
        <v>1867</v>
      </c>
      <c r="B821" s="67" t="s">
        <v>1868</v>
      </c>
      <c r="C821" s="67" t="s">
        <v>5682</v>
      </c>
      <c r="D821" s="67" t="s">
        <v>5683</v>
      </c>
      <c r="E821" s="67" t="s">
        <v>5684</v>
      </c>
      <c r="F821" s="67" t="s">
        <v>4336</v>
      </c>
      <c r="G821" s="67">
        <f t="shared" si="38"/>
        <v>1</v>
      </c>
      <c r="H821" s="67" t="str">
        <f t="shared" si="39"/>
        <v>000779孙培</v>
      </c>
      <c r="I821" s="67" t="str">
        <f t="shared" si="40"/>
        <v>0881</v>
      </c>
    </row>
    <row r="822" spans="1:9" x14ac:dyDescent="0.15">
      <c r="A822" s="67" t="s">
        <v>1869</v>
      </c>
      <c r="B822" s="67" t="s">
        <v>1870</v>
      </c>
      <c r="C822" s="67" t="s">
        <v>5685</v>
      </c>
      <c r="D822" s="67" t="s">
        <v>5683</v>
      </c>
      <c r="E822" s="67" t="s">
        <v>5684</v>
      </c>
      <c r="F822" s="67" t="s">
        <v>4336</v>
      </c>
      <c r="G822" s="67">
        <f t="shared" si="38"/>
        <v>1</v>
      </c>
      <c r="H822" s="67" t="str">
        <f t="shared" si="39"/>
        <v>000780王建</v>
      </c>
      <c r="I822" s="67" t="str">
        <f t="shared" si="40"/>
        <v>0882</v>
      </c>
    </row>
    <row r="823" spans="1:9" x14ac:dyDescent="0.15">
      <c r="A823" s="67" t="s">
        <v>1871</v>
      </c>
      <c r="B823" s="67" t="s">
        <v>1872</v>
      </c>
      <c r="C823" s="67" t="s">
        <v>5686</v>
      </c>
      <c r="D823" s="67" t="s">
        <v>5683</v>
      </c>
      <c r="E823" s="67" t="s">
        <v>5684</v>
      </c>
      <c r="F823" s="67" t="s">
        <v>4336</v>
      </c>
      <c r="G823" s="67">
        <f t="shared" si="38"/>
        <v>1</v>
      </c>
      <c r="H823" s="67" t="str">
        <f t="shared" si="39"/>
        <v>000782陶烨</v>
      </c>
      <c r="I823" s="67" t="str">
        <f t="shared" si="40"/>
        <v>0883</v>
      </c>
    </row>
    <row r="824" spans="1:9" x14ac:dyDescent="0.15">
      <c r="A824" s="67" t="s">
        <v>1873</v>
      </c>
      <c r="B824" s="67" t="s">
        <v>1874</v>
      </c>
      <c r="C824" s="67" t="s">
        <v>5687</v>
      </c>
      <c r="D824" s="67" t="s">
        <v>4495</v>
      </c>
      <c r="E824" s="67" t="s">
        <v>4496</v>
      </c>
      <c r="F824" s="67" t="s">
        <v>4336</v>
      </c>
      <c r="G824" s="67">
        <f t="shared" si="38"/>
        <v>1</v>
      </c>
      <c r="H824" s="67" t="str">
        <f t="shared" si="39"/>
        <v>000785李先进</v>
      </c>
      <c r="I824" s="67" t="str">
        <f t="shared" si="40"/>
        <v>0884</v>
      </c>
    </row>
    <row r="825" spans="1:9" x14ac:dyDescent="0.15">
      <c r="A825" s="67" t="s">
        <v>1875</v>
      </c>
      <c r="B825" s="67" t="s">
        <v>1876</v>
      </c>
      <c r="C825" s="67" t="s">
        <v>5688</v>
      </c>
      <c r="D825" s="67" t="s">
        <v>4495</v>
      </c>
      <c r="E825" s="67" t="s">
        <v>5689</v>
      </c>
      <c r="F825" s="67" t="s">
        <v>4336</v>
      </c>
      <c r="G825" s="67">
        <f t="shared" si="38"/>
        <v>4</v>
      </c>
      <c r="H825" s="67" t="str">
        <f t="shared" si="39"/>
        <v>000786康洹铨</v>
      </c>
      <c r="I825" s="67" t="str">
        <f t="shared" si="40"/>
        <v>0885</v>
      </c>
    </row>
    <row r="826" spans="1:9" x14ac:dyDescent="0.15">
      <c r="A826" s="67" t="s">
        <v>1875</v>
      </c>
      <c r="B826" s="67" t="s">
        <v>1876</v>
      </c>
      <c r="C826" s="67" t="s">
        <v>5690</v>
      </c>
      <c r="D826" s="67" t="s">
        <v>4495</v>
      </c>
      <c r="E826" s="67" t="s">
        <v>5691</v>
      </c>
      <c r="F826" s="67" t="s">
        <v>4336</v>
      </c>
      <c r="G826" s="67">
        <f t="shared" si="38"/>
        <v>4</v>
      </c>
      <c r="H826" s="67" t="str">
        <f t="shared" si="39"/>
        <v>000787康洹铨</v>
      </c>
      <c r="I826" s="67" t="str">
        <f t="shared" si="40"/>
        <v>0885</v>
      </c>
    </row>
    <row r="827" spans="1:9" x14ac:dyDescent="0.15">
      <c r="A827" s="67" t="s">
        <v>1875</v>
      </c>
      <c r="B827" s="67" t="s">
        <v>1876</v>
      </c>
      <c r="C827" s="67" t="s">
        <v>5692</v>
      </c>
      <c r="D827" s="67" t="s">
        <v>4495</v>
      </c>
      <c r="E827" s="67" t="s">
        <v>4496</v>
      </c>
      <c r="F827" s="67" t="s">
        <v>4336</v>
      </c>
      <c r="G827" s="67">
        <f t="shared" si="38"/>
        <v>4</v>
      </c>
      <c r="H827" s="67" t="str">
        <f t="shared" si="39"/>
        <v>000788康洹铨</v>
      </c>
      <c r="I827" s="67" t="str">
        <f t="shared" si="40"/>
        <v>0885</v>
      </c>
    </row>
    <row r="828" spans="1:9" x14ac:dyDescent="0.15">
      <c r="A828" s="67" t="s">
        <v>1875</v>
      </c>
      <c r="B828" s="67" t="s">
        <v>1876</v>
      </c>
      <c r="C828" s="67" t="s">
        <v>5693</v>
      </c>
      <c r="D828" s="67" t="s">
        <v>4495</v>
      </c>
      <c r="E828" s="67" t="s">
        <v>4496</v>
      </c>
      <c r="F828" s="67" t="s">
        <v>4336</v>
      </c>
      <c r="G828" s="67">
        <f t="shared" si="38"/>
        <v>4</v>
      </c>
      <c r="H828" s="67" t="str">
        <f t="shared" si="39"/>
        <v>000865康洹铨</v>
      </c>
      <c r="I828" s="67" t="str">
        <f t="shared" si="40"/>
        <v>0885</v>
      </c>
    </row>
    <row r="829" spans="1:9" x14ac:dyDescent="0.15">
      <c r="A829" s="67" t="s">
        <v>1877</v>
      </c>
      <c r="B829" s="67" t="s">
        <v>1878</v>
      </c>
      <c r="C829" s="67" t="s">
        <v>5694</v>
      </c>
      <c r="D829" s="67" t="s">
        <v>4660</v>
      </c>
      <c r="E829" s="67" t="s">
        <v>5695</v>
      </c>
      <c r="F829" s="67" t="s">
        <v>4336</v>
      </c>
      <c r="G829" s="67">
        <f t="shared" si="38"/>
        <v>3</v>
      </c>
      <c r="H829" s="67" t="str">
        <f t="shared" si="39"/>
        <v>000789涂龙兵</v>
      </c>
      <c r="I829" s="67" t="str">
        <f t="shared" si="40"/>
        <v>0886</v>
      </c>
    </row>
    <row r="830" spans="1:9" x14ac:dyDescent="0.15">
      <c r="A830" s="67" t="s">
        <v>1877</v>
      </c>
      <c r="B830" s="67" t="s">
        <v>1878</v>
      </c>
      <c r="C830" s="67" t="s">
        <v>5696</v>
      </c>
      <c r="D830" s="67" t="s">
        <v>4660</v>
      </c>
      <c r="E830" s="67" t="s">
        <v>5697</v>
      </c>
      <c r="F830" s="67" t="s">
        <v>4336</v>
      </c>
      <c r="G830" s="67">
        <f t="shared" si="38"/>
        <v>3</v>
      </c>
      <c r="H830" s="67" t="str">
        <f t="shared" si="39"/>
        <v>000790涂龙兵</v>
      </c>
      <c r="I830" s="67" t="str">
        <f t="shared" si="40"/>
        <v>0886</v>
      </c>
    </row>
    <row r="831" spans="1:9" x14ac:dyDescent="0.15">
      <c r="A831" s="67" t="s">
        <v>1877</v>
      </c>
      <c r="B831" s="67" t="s">
        <v>1878</v>
      </c>
      <c r="C831" s="67" t="s">
        <v>5698</v>
      </c>
      <c r="D831" s="67" t="s">
        <v>5699</v>
      </c>
      <c r="E831" s="67" t="s">
        <v>5700</v>
      </c>
      <c r="F831" s="67" t="s">
        <v>4336</v>
      </c>
      <c r="G831" s="67">
        <f t="shared" si="38"/>
        <v>3</v>
      </c>
      <c r="H831" s="67" t="str">
        <f t="shared" si="39"/>
        <v>000791涂龙兵</v>
      </c>
      <c r="I831" s="67" t="str">
        <f t="shared" si="40"/>
        <v>0886</v>
      </c>
    </row>
    <row r="832" spans="1:9" x14ac:dyDescent="0.15">
      <c r="A832" s="67" t="s">
        <v>1879</v>
      </c>
      <c r="B832" s="67" t="s">
        <v>1880</v>
      </c>
      <c r="C832" s="67" t="s">
        <v>5701</v>
      </c>
      <c r="D832" s="67" t="s">
        <v>5702</v>
      </c>
      <c r="E832" s="67" t="s">
        <v>5703</v>
      </c>
      <c r="F832" s="67" t="s">
        <v>4336</v>
      </c>
      <c r="G832" s="67">
        <f t="shared" si="38"/>
        <v>1</v>
      </c>
      <c r="H832" s="67" t="str">
        <f t="shared" si="39"/>
        <v>000792邵先付</v>
      </c>
      <c r="I832" s="67" t="str">
        <f t="shared" si="40"/>
        <v>0887</v>
      </c>
    </row>
    <row r="833" spans="1:9" x14ac:dyDescent="0.15">
      <c r="A833" s="67" t="s">
        <v>1881</v>
      </c>
      <c r="B833" s="67" t="s">
        <v>1882</v>
      </c>
      <c r="C833" s="67" t="s">
        <v>5704</v>
      </c>
      <c r="D833" s="67" t="s">
        <v>5220</v>
      </c>
      <c r="E833" s="67" t="s">
        <v>5221</v>
      </c>
      <c r="F833" s="67" t="s">
        <v>4336</v>
      </c>
      <c r="G833" s="67">
        <f t="shared" si="38"/>
        <v>1</v>
      </c>
      <c r="H833" s="67" t="str">
        <f t="shared" si="39"/>
        <v>000794王盛</v>
      </c>
      <c r="I833" s="67" t="str">
        <f t="shared" si="40"/>
        <v>0888</v>
      </c>
    </row>
    <row r="834" spans="1:9" x14ac:dyDescent="0.15">
      <c r="A834" s="67" t="s">
        <v>1883</v>
      </c>
      <c r="B834" s="67" t="s">
        <v>411</v>
      </c>
      <c r="C834" s="67" t="s">
        <v>5705</v>
      </c>
      <c r="D834" s="67" t="s">
        <v>5220</v>
      </c>
      <c r="E834" s="67" t="s">
        <v>5706</v>
      </c>
      <c r="F834" s="67" t="s">
        <v>4336</v>
      </c>
      <c r="G834" s="67">
        <f t="shared" si="38"/>
        <v>3</v>
      </c>
      <c r="H834" s="67" t="str">
        <f t="shared" si="39"/>
        <v>000804李杰</v>
      </c>
      <c r="I834" s="67" t="str">
        <f t="shared" si="40"/>
        <v>0889</v>
      </c>
    </row>
    <row r="835" spans="1:9" x14ac:dyDescent="0.15">
      <c r="A835" s="67" t="s">
        <v>1884</v>
      </c>
      <c r="B835" s="67" t="s">
        <v>1885</v>
      </c>
      <c r="C835" s="67" t="s">
        <v>5707</v>
      </c>
      <c r="D835" s="67" t="s">
        <v>5708</v>
      </c>
      <c r="E835" s="67" t="s">
        <v>5709</v>
      </c>
      <c r="F835" s="67" t="s">
        <v>4336</v>
      </c>
      <c r="G835" s="67">
        <f t="shared" ref="G835:G892" si="41">COUNTIFS(B:B,B835)</f>
        <v>1</v>
      </c>
      <c r="H835" s="67" t="str">
        <f t="shared" ref="H835:H892" si="42">C835&amp;B835</f>
        <v>000806陈凌峰</v>
      </c>
      <c r="I835" s="67" t="str">
        <f t="shared" ref="I835:I892" si="43">A835</f>
        <v>0890</v>
      </c>
    </row>
    <row r="836" spans="1:9" x14ac:dyDescent="0.15">
      <c r="A836" s="67" t="s">
        <v>1886</v>
      </c>
      <c r="B836" s="67" t="s">
        <v>1887</v>
      </c>
      <c r="C836" s="67" t="s">
        <v>5710</v>
      </c>
      <c r="D836" s="67" t="s">
        <v>5711</v>
      </c>
      <c r="E836" s="67" t="s">
        <v>5712</v>
      </c>
      <c r="F836" s="67" t="s">
        <v>4336</v>
      </c>
      <c r="G836" s="67">
        <f t="shared" si="41"/>
        <v>1</v>
      </c>
      <c r="H836" s="67" t="str">
        <f t="shared" si="42"/>
        <v>000807于长坤</v>
      </c>
      <c r="I836" s="67" t="str">
        <f t="shared" si="43"/>
        <v>0891</v>
      </c>
    </row>
    <row r="837" spans="1:9" x14ac:dyDescent="0.15">
      <c r="A837" s="67" t="s">
        <v>1888</v>
      </c>
      <c r="B837" s="67" t="s">
        <v>1889</v>
      </c>
      <c r="C837" s="67" t="s">
        <v>5713</v>
      </c>
      <c r="D837" s="67" t="s">
        <v>5711</v>
      </c>
      <c r="E837" s="67" t="s">
        <v>5714</v>
      </c>
      <c r="F837" s="67" t="s">
        <v>4336</v>
      </c>
      <c r="G837" s="67">
        <f t="shared" si="41"/>
        <v>1</v>
      </c>
      <c r="H837" s="67" t="str">
        <f t="shared" si="42"/>
        <v>000808孙浩</v>
      </c>
      <c r="I837" s="67" t="str">
        <f t="shared" si="43"/>
        <v>0892</v>
      </c>
    </row>
    <row r="838" spans="1:9" x14ac:dyDescent="0.15">
      <c r="A838" s="67" t="s">
        <v>1890</v>
      </c>
      <c r="B838" s="67" t="s">
        <v>1891</v>
      </c>
      <c r="C838" s="67" t="s">
        <v>5715</v>
      </c>
      <c r="D838" s="67" t="s">
        <v>5711</v>
      </c>
      <c r="E838" s="67" t="s">
        <v>5716</v>
      </c>
      <c r="F838" s="67" t="s">
        <v>4336</v>
      </c>
      <c r="G838" s="67">
        <f t="shared" si="41"/>
        <v>1</v>
      </c>
      <c r="H838" s="67" t="str">
        <f t="shared" si="42"/>
        <v>000810唐德循</v>
      </c>
      <c r="I838" s="67" t="str">
        <f t="shared" si="43"/>
        <v>0893</v>
      </c>
    </row>
    <row r="839" spans="1:9" x14ac:dyDescent="0.15">
      <c r="A839" s="67" t="s">
        <v>1892</v>
      </c>
      <c r="B839" s="67" t="s">
        <v>1893</v>
      </c>
      <c r="C839" s="67" t="s">
        <v>5717</v>
      </c>
      <c r="D839" s="67" t="s">
        <v>5718</v>
      </c>
      <c r="E839" s="67" t="s">
        <v>5719</v>
      </c>
      <c r="F839" s="67" t="s">
        <v>4336</v>
      </c>
      <c r="G839" s="67">
        <f t="shared" si="41"/>
        <v>1</v>
      </c>
      <c r="H839" s="67" t="str">
        <f t="shared" si="42"/>
        <v>000812侯振博</v>
      </c>
      <c r="I839" s="67" t="str">
        <f t="shared" si="43"/>
        <v>0894</v>
      </c>
    </row>
    <row r="840" spans="1:9" x14ac:dyDescent="0.15">
      <c r="A840" s="67" t="s">
        <v>1894</v>
      </c>
      <c r="B840" s="67" t="s">
        <v>1895</v>
      </c>
      <c r="C840" s="67" t="s">
        <v>5720</v>
      </c>
      <c r="D840" s="67" t="s">
        <v>5721</v>
      </c>
      <c r="E840" s="67" t="s">
        <v>5722</v>
      </c>
      <c r="F840" s="67" t="s">
        <v>4336</v>
      </c>
      <c r="G840" s="67">
        <f t="shared" si="41"/>
        <v>1</v>
      </c>
      <c r="H840" s="67" t="str">
        <f t="shared" si="42"/>
        <v>000818顾洋</v>
      </c>
      <c r="I840" s="67" t="str">
        <f t="shared" si="43"/>
        <v>0895</v>
      </c>
    </row>
    <row r="841" spans="1:9" x14ac:dyDescent="0.15">
      <c r="A841" s="67" t="s">
        <v>1896</v>
      </c>
      <c r="B841" s="67" t="s">
        <v>1897</v>
      </c>
      <c r="C841" s="67" t="s">
        <v>5723</v>
      </c>
      <c r="D841" s="67" t="s">
        <v>5721</v>
      </c>
      <c r="E841" s="67" t="s">
        <v>5724</v>
      </c>
      <c r="F841" s="67" t="s">
        <v>4336</v>
      </c>
      <c r="G841" s="67">
        <f t="shared" si="41"/>
        <v>1</v>
      </c>
      <c r="H841" s="67" t="str">
        <f t="shared" si="42"/>
        <v>000819刘亚</v>
      </c>
      <c r="I841" s="67" t="str">
        <f t="shared" si="43"/>
        <v>0896</v>
      </c>
    </row>
    <row r="842" spans="1:9" x14ac:dyDescent="0.15">
      <c r="A842" s="67" t="s">
        <v>1898</v>
      </c>
      <c r="B842" s="67" t="s">
        <v>1899</v>
      </c>
      <c r="C842" s="67" t="s">
        <v>5725</v>
      </c>
      <c r="D842" s="67" t="s">
        <v>5721</v>
      </c>
      <c r="E842" s="67" t="s">
        <v>5724</v>
      </c>
      <c r="F842" s="67" t="s">
        <v>4336</v>
      </c>
      <c r="G842" s="67">
        <f t="shared" si="41"/>
        <v>1</v>
      </c>
      <c r="H842" s="67" t="str">
        <f t="shared" si="42"/>
        <v>000820朱晓鹏</v>
      </c>
      <c r="I842" s="67" t="str">
        <f t="shared" si="43"/>
        <v>0897</v>
      </c>
    </row>
    <row r="843" spans="1:9" x14ac:dyDescent="0.15">
      <c r="A843" s="67" t="s">
        <v>1900</v>
      </c>
      <c r="B843" s="67" t="s">
        <v>1901</v>
      </c>
      <c r="C843" s="67" t="s">
        <v>5726</v>
      </c>
      <c r="D843" s="67" t="s">
        <v>5727</v>
      </c>
      <c r="E843" s="67" t="s">
        <v>5728</v>
      </c>
      <c r="F843" s="67" t="s">
        <v>4336</v>
      </c>
      <c r="G843" s="67">
        <f t="shared" si="41"/>
        <v>1</v>
      </c>
      <c r="H843" s="67" t="str">
        <f t="shared" si="42"/>
        <v>000821倪军之</v>
      </c>
      <c r="I843" s="67" t="str">
        <f t="shared" si="43"/>
        <v>0898</v>
      </c>
    </row>
    <row r="844" spans="1:9" x14ac:dyDescent="0.15">
      <c r="A844" s="67" t="s">
        <v>1902</v>
      </c>
      <c r="B844" s="67" t="s">
        <v>1903</v>
      </c>
      <c r="C844" s="67" t="s">
        <v>5729</v>
      </c>
      <c r="D844" s="67" t="s">
        <v>5727</v>
      </c>
      <c r="E844" s="67" t="s">
        <v>5728</v>
      </c>
      <c r="F844" s="67" t="s">
        <v>4336</v>
      </c>
      <c r="G844" s="67">
        <f t="shared" si="41"/>
        <v>2</v>
      </c>
      <c r="H844" s="67" t="str">
        <f t="shared" si="42"/>
        <v>000822夏伟明</v>
      </c>
      <c r="I844" s="67" t="str">
        <f t="shared" si="43"/>
        <v>0899</v>
      </c>
    </row>
    <row r="845" spans="1:9" x14ac:dyDescent="0.15">
      <c r="A845" s="67" t="s">
        <v>1902</v>
      </c>
      <c r="B845" s="67" t="s">
        <v>1903</v>
      </c>
      <c r="C845" s="67" t="s">
        <v>5730</v>
      </c>
      <c r="D845" s="67" t="s">
        <v>5711</v>
      </c>
      <c r="E845" s="67" t="s">
        <v>5731</v>
      </c>
      <c r="F845" s="67" t="s">
        <v>4336</v>
      </c>
      <c r="G845" s="67">
        <f t="shared" si="41"/>
        <v>2</v>
      </c>
      <c r="H845" s="67" t="str">
        <f t="shared" si="42"/>
        <v>000809夏伟明</v>
      </c>
      <c r="I845" s="67" t="str">
        <f t="shared" si="43"/>
        <v>0899</v>
      </c>
    </row>
    <row r="846" spans="1:9" x14ac:dyDescent="0.15">
      <c r="A846" s="67" t="s">
        <v>1904</v>
      </c>
      <c r="B846" s="67" t="s">
        <v>1905</v>
      </c>
      <c r="C846" s="67" t="s">
        <v>5732</v>
      </c>
      <c r="D846" s="67" t="s">
        <v>5733</v>
      </c>
      <c r="E846" s="67" t="s">
        <v>5734</v>
      </c>
      <c r="F846" s="67" t="s">
        <v>4336</v>
      </c>
      <c r="G846" s="67">
        <f t="shared" si="41"/>
        <v>1</v>
      </c>
      <c r="H846" s="67" t="str">
        <f t="shared" si="42"/>
        <v>000823申兰贵</v>
      </c>
      <c r="I846" s="67" t="str">
        <f t="shared" si="43"/>
        <v>0900</v>
      </c>
    </row>
    <row r="847" spans="1:9" x14ac:dyDescent="0.15">
      <c r="A847" s="67" t="s">
        <v>1906</v>
      </c>
      <c r="B847" s="67" t="s">
        <v>1907</v>
      </c>
      <c r="C847" s="67" t="s">
        <v>5735</v>
      </c>
      <c r="D847" s="67" t="s">
        <v>5736</v>
      </c>
      <c r="E847" s="67" t="s">
        <v>5737</v>
      </c>
      <c r="F847" s="67" t="s">
        <v>4336</v>
      </c>
      <c r="G847" s="67">
        <f t="shared" si="41"/>
        <v>1</v>
      </c>
      <c r="H847" s="67" t="str">
        <f t="shared" si="42"/>
        <v>000825何志伟</v>
      </c>
      <c r="I847" s="67" t="str">
        <f t="shared" si="43"/>
        <v>0901</v>
      </c>
    </row>
    <row r="848" spans="1:9" x14ac:dyDescent="0.15">
      <c r="A848" s="67" t="s">
        <v>1908</v>
      </c>
      <c r="B848" s="67" t="s">
        <v>1909</v>
      </c>
      <c r="C848" s="67" t="s">
        <v>5738</v>
      </c>
      <c r="D848" s="67" t="s">
        <v>4688</v>
      </c>
      <c r="E848" s="67" t="s">
        <v>5739</v>
      </c>
      <c r="F848" s="67" t="s">
        <v>4336</v>
      </c>
      <c r="G848" s="67">
        <f t="shared" si="41"/>
        <v>1</v>
      </c>
      <c r="H848" s="67" t="str">
        <f t="shared" si="42"/>
        <v>000826吴梦杰</v>
      </c>
      <c r="I848" s="67" t="str">
        <f t="shared" si="43"/>
        <v>0902</v>
      </c>
    </row>
    <row r="849" spans="1:9" x14ac:dyDescent="0.15">
      <c r="A849" s="67" t="s">
        <v>1910</v>
      </c>
      <c r="B849" s="67" t="s">
        <v>1911</v>
      </c>
      <c r="C849" s="67" t="s">
        <v>5740</v>
      </c>
      <c r="D849" s="67" t="s">
        <v>5741</v>
      </c>
      <c r="E849" s="67" t="s">
        <v>5742</v>
      </c>
      <c r="F849" s="67" t="s">
        <v>4336</v>
      </c>
      <c r="G849" s="67">
        <f t="shared" si="41"/>
        <v>1</v>
      </c>
      <c r="H849" s="67" t="str">
        <f t="shared" si="42"/>
        <v>000827张李宏</v>
      </c>
      <c r="I849" s="67" t="str">
        <f t="shared" si="43"/>
        <v>0903</v>
      </c>
    </row>
    <row r="850" spans="1:9" x14ac:dyDescent="0.15">
      <c r="A850" s="67" t="s">
        <v>1912</v>
      </c>
      <c r="B850" s="67" t="s">
        <v>1913</v>
      </c>
      <c r="C850" s="67" t="s">
        <v>5743</v>
      </c>
      <c r="D850" s="67" t="s">
        <v>4629</v>
      </c>
      <c r="E850" s="67" t="s">
        <v>5744</v>
      </c>
      <c r="F850" s="67" t="s">
        <v>4336</v>
      </c>
      <c r="G850" s="67">
        <f t="shared" si="41"/>
        <v>1</v>
      </c>
      <c r="H850" s="67" t="str">
        <f t="shared" si="42"/>
        <v>000828王小斌</v>
      </c>
      <c r="I850" s="67" t="str">
        <f t="shared" si="43"/>
        <v>0904</v>
      </c>
    </row>
    <row r="851" spans="1:9" x14ac:dyDescent="0.15">
      <c r="A851" s="67" t="s">
        <v>1914</v>
      </c>
      <c r="B851" s="67" t="s">
        <v>1915</v>
      </c>
      <c r="C851" s="67" t="s">
        <v>5745</v>
      </c>
      <c r="D851" s="67" t="s">
        <v>4629</v>
      </c>
      <c r="E851" s="67" t="s">
        <v>5746</v>
      </c>
      <c r="F851" s="67" t="s">
        <v>4336</v>
      </c>
      <c r="G851" s="67">
        <f t="shared" si="41"/>
        <v>1</v>
      </c>
      <c r="H851" s="67" t="str">
        <f t="shared" si="42"/>
        <v>000829任军</v>
      </c>
      <c r="I851" s="67" t="str">
        <f t="shared" si="43"/>
        <v>0905</v>
      </c>
    </row>
    <row r="852" spans="1:9" x14ac:dyDescent="0.15">
      <c r="A852" s="67" t="s">
        <v>1916</v>
      </c>
      <c r="B852" s="67" t="s">
        <v>1917</v>
      </c>
      <c r="C852" s="67" t="s">
        <v>5747</v>
      </c>
      <c r="D852" s="67" t="s">
        <v>5504</v>
      </c>
      <c r="E852" s="67" t="s">
        <v>5748</v>
      </c>
      <c r="F852" s="67" t="s">
        <v>4336</v>
      </c>
      <c r="G852" s="67">
        <f t="shared" si="41"/>
        <v>1</v>
      </c>
      <c r="H852" s="67" t="str">
        <f t="shared" si="42"/>
        <v>000831黄名文</v>
      </c>
      <c r="I852" s="67" t="str">
        <f t="shared" si="43"/>
        <v>0906</v>
      </c>
    </row>
    <row r="853" spans="1:9" x14ac:dyDescent="0.15">
      <c r="A853" s="67" t="s">
        <v>1918</v>
      </c>
      <c r="B853" s="67" t="s">
        <v>1919</v>
      </c>
      <c r="C853" s="67" t="s">
        <v>5749</v>
      </c>
      <c r="D853" s="67" t="s">
        <v>5750</v>
      </c>
      <c r="E853" s="67" t="s">
        <v>5751</v>
      </c>
      <c r="F853" s="67" t="s">
        <v>4336</v>
      </c>
      <c r="G853" s="67">
        <f t="shared" si="41"/>
        <v>1</v>
      </c>
      <c r="H853" s="67" t="str">
        <f t="shared" si="42"/>
        <v>000837李金龙</v>
      </c>
      <c r="I853" s="67" t="str">
        <f t="shared" si="43"/>
        <v>0907</v>
      </c>
    </row>
    <row r="854" spans="1:9" x14ac:dyDescent="0.15">
      <c r="A854" s="67" t="s">
        <v>1920</v>
      </c>
      <c r="B854" s="67" t="s">
        <v>1921</v>
      </c>
      <c r="C854" s="67" t="s">
        <v>5752</v>
      </c>
      <c r="D854" s="67" t="s">
        <v>5621</v>
      </c>
      <c r="E854" s="67" t="s">
        <v>5622</v>
      </c>
      <c r="F854" s="67" t="s">
        <v>4336</v>
      </c>
      <c r="G854" s="67">
        <f t="shared" si="41"/>
        <v>1</v>
      </c>
      <c r="H854" s="67" t="str">
        <f t="shared" si="42"/>
        <v>000839魏昊</v>
      </c>
      <c r="I854" s="67" t="str">
        <f t="shared" si="43"/>
        <v>0908</v>
      </c>
    </row>
    <row r="855" spans="1:9" x14ac:dyDescent="0.15">
      <c r="A855" s="67" t="s">
        <v>1922</v>
      </c>
      <c r="B855" s="67" t="s">
        <v>1923</v>
      </c>
      <c r="C855" s="67" t="s">
        <v>5753</v>
      </c>
      <c r="D855" s="67" t="s">
        <v>5621</v>
      </c>
      <c r="E855" s="67" t="s">
        <v>5622</v>
      </c>
      <c r="F855" s="67" t="s">
        <v>4336</v>
      </c>
      <c r="G855" s="67">
        <f t="shared" si="41"/>
        <v>1</v>
      </c>
      <c r="H855" s="67" t="str">
        <f t="shared" si="42"/>
        <v>000840张明辉</v>
      </c>
      <c r="I855" s="67" t="str">
        <f t="shared" si="43"/>
        <v>0909</v>
      </c>
    </row>
    <row r="856" spans="1:9" x14ac:dyDescent="0.15">
      <c r="A856" s="67" t="s">
        <v>1924</v>
      </c>
      <c r="B856" s="67" t="s">
        <v>1925</v>
      </c>
      <c r="C856" s="67" t="s">
        <v>5754</v>
      </c>
      <c r="D856" s="67" t="s">
        <v>5621</v>
      </c>
      <c r="E856" s="67" t="s">
        <v>5622</v>
      </c>
      <c r="F856" s="67" t="s">
        <v>4336</v>
      </c>
      <c r="G856" s="67">
        <f t="shared" si="41"/>
        <v>1</v>
      </c>
      <c r="H856" s="67" t="str">
        <f t="shared" si="42"/>
        <v>000841关鹏飞</v>
      </c>
      <c r="I856" s="67" t="str">
        <f t="shared" si="43"/>
        <v>0910</v>
      </c>
    </row>
    <row r="857" spans="1:9" x14ac:dyDescent="0.15">
      <c r="A857" s="67" t="s">
        <v>1926</v>
      </c>
      <c r="B857" s="67" t="s">
        <v>1927</v>
      </c>
      <c r="C857" s="67" t="s">
        <v>5755</v>
      </c>
      <c r="D857" s="67" t="s">
        <v>5756</v>
      </c>
      <c r="E857" s="67" t="s">
        <v>5757</v>
      </c>
      <c r="F857" s="67" t="s">
        <v>4336</v>
      </c>
      <c r="G857" s="67">
        <f t="shared" si="41"/>
        <v>1</v>
      </c>
      <c r="H857" s="67" t="str">
        <f t="shared" si="42"/>
        <v>000842何力明</v>
      </c>
      <c r="I857" s="67" t="str">
        <f t="shared" si="43"/>
        <v>0911</v>
      </c>
    </row>
    <row r="858" spans="1:9" x14ac:dyDescent="0.15">
      <c r="A858" s="67" t="s">
        <v>1928</v>
      </c>
      <c r="B858" s="67" t="s">
        <v>1929</v>
      </c>
      <c r="C858" s="67" t="s">
        <v>5758</v>
      </c>
      <c r="D858" s="67" t="s">
        <v>4993</v>
      </c>
      <c r="E858" s="67" t="s">
        <v>4994</v>
      </c>
      <c r="F858" s="67" t="s">
        <v>4336</v>
      </c>
      <c r="G858" s="67">
        <f t="shared" si="41"/>
        <v>1</v>
      </c>
      <c r="H858" s="67" t="str">
        <f t="shared" si="42"/>
        <v>000844龙勇亮</v>
      </c>
      <c r="I858" s="67" t="str">
        <f t="shared" si="43"/>
        <v>0912</v>
      </c>
    </row>
    <row r="859" spans="1:9" x14ac:dyDescent="0.15">
      <c r="A859" s="67" t="s">
        <v>1930</v>
      </c>
      <c r="B859" s="67" t="s">
        <v>1931</v>
      </c>
      <c r="C859" s="67" t="s">
        <v>5759</v>
      </c>
      <c r="D859" s="67" t="s">
        <v>5760</v>
      </c>
      <c r="E859" s="67" t="s">
        <v>5761</v>
      </c>
      <c r="F859" s="67" t="s">
        <v>4336</v>
      </c>
      <c r="G859" s="67">
        <f t="shared" si="41"/>
        <v>1</v>
      </c>
      <c r="H859" s="67" t="str">
        <f t="shared" si="42"/>
        <v>000847朱文锋</v>
      </c>
      <c r="I859" s="67" t="str">
        <f t="shared" si="43"/>
        <v>0913</v>
      </c>
    </row>
    <row r="860" spans="1:9" x14ac:dyDescent="0.15">
      <c r="A860" s="67" t="s">
        <v>1932</v>
      </c>
      <c r="B860" s="67" t="s">
        <v>1933</v>
      </c>
      <c r="C860" s="67" t="s">
        <v>5762</v>
      </c>
      <c r="D860" s="67" t="s">
        <v>5763</v>
      </c>
      <c r="E860" s="67" t="s">
        <v>5764</v>
      </c>
      <c r="F860" s="67" t="s">
        <v>4336</v>
      </c>
      <c r="G860" s="67">
        <f t="shared" si="41"/>
        <v>1</v>
      </c>
      <c r="H860" s="67" t="str">
        <f t="shared" si="42"/>
        <v>000848赵志情</v>
      </c>
      <c r="I860" s="67" t="str">
        <f t="shared" si="43"/>
        <v>0914</v>
      </c>
    </row>
    <row r="861" spans="1:9" x14ac:dyDescent="0.15">
      <c r="A861" s="67" t="s">
        <v>1934</v>
      </c>
      <c r="B861" s="67" t="s">
        <v>1935</v>
      </c>
      <c r="C861" s="67" t="s">
        <v>5765</v>
      </c>
      <c r="D861" s="67" t="s">
        <v>5763</v>
      </c>
      <c r="E861" s="67" t="s">
        <v>5764</v>
      </c>
      <c r="F861" s="67" t="s">
        <v>4336</v>
      </c>
      <c r="G861" s="67">
        <f t="shared" si="41"/>
        <v>1</v>
      </c>
      <c r="H861" s="67" t="str">
        <f t="shared" si="42"/>
        <v>000849李见锋</v>
      </c>
      <c r="I861" s="67" t="str">
        <f t="shared" si="43"/>
        <v>0915</v>
      </c>
    </row>
    <row r="862" spans="1:9" x14ac:dyDescent="0.15">
      <c r="A862" s="67" t="s">
        <v>1936</v>
      </c>
      <c r="B862" s="67" t="s">
        <v>1937</v>
      </c>
      <c r="C862" s="67" t="s">
        <v>5766</v>
      </c>
      <c r="D862" s="67" t="s">
        <v>5767</v>
      </c>
      <c r="E862" s="67" t="s">
        <v>5768</v>
      </c>
      <c r="F862" s="67" t="s">
        <v>4336</v>
      </c>
      <c r="G862" s="67">
        <f t="shared" si="41"/>
        <v>1</v>
      </c>
      <c r="H862" s="67" t="str">
        <f t="shared" si="42"/>
        <v>000850季凌雨</v>
      </c>
      <c r="I862" s="67" t="str">
        <f t="shared" si="43"/>
        <v>0916</v>
      </c>
    </row>
    <row r="863" spans="1:9" x14ac:dyDescent="0.15">
      <c r="A863" s="67" t="s">
        <v>1938</v>
      </c>
      <c r="B863" s="67" t="s">
        <v>1939</v>
      </c>
      <c r="C863" s="67" t="s">
        <v>5769</v>
      </c>
      <c r="D863" s="67" t="s">
        <v>5767</v>
      </c>
      <c r="E863" s="67" t="s">
        <v>5768</v>
      </c>
      <c r="F863" s="67" t="s">
        <v>4336</v>
      </c>
      <c r="G863" s="67">
        <f t="shared" si="41"/>
        <v>1</v>
      </c>
      <c r="H863" s="67" t="str">
        <f t="shared" si="42"/>
        <v>000851张家铭</v>
      </c>
      <c r="I863" s="67" t="str">
        <f t="shared" si="43"/>
        <v>0917</v>
      </c>
    </row>
    <row r="864" spans="1:9" x14ac:dyDescent="0.15">
      <c r="A864" s="67" t="s">
        <v>1940</v>
      </c>
      <c r="B864" s="67" t="s">
        <v>1941</v>
      </c>
      <c r="C864" s="67" t="s">
        <v>5770</v>
      </c>
      <c r="D864" s="67" t="s">
        <v>5771</v>
      </c>
      <c r="E864" s="67" t="s">
        <v>5772</v>
      </c>
      <c r="F864" s="67" t="s">
        <v>4336</v>
      </c>
      <c r="G864" s="67">
        <f t="shared" si="41"/>
        <v>2</v>
      </c>
      <c r="H864" s="67" t="str">
        <f t="shared" si="42"/>
        <v>000853桂丽萍</v>
      </c>
      <c r="I864" s="67" t="str">
        <f t="shared" si="43"/>
        <v>0918</v>
      </c>
    </row>
    <row r="865" spans="1:9" x14ac:dyDescent="0.15">
      <c r="A865" s="67" t="s">
        <v>1940</v>
      </c>
      <c r="B865" s="67" t="s">
        <v>1941</v>
      </c>
      <c r="C865" s="67" t="s">
        <v>5773</v>
      </c>
      <c r="D865" s="67" t="s">
        <v>5771</v>
      </c>
      <c r="E865" s="67" t="s">
        <v>5772</v>
      </c>
      <c r="F865" s="67" t="s">
        <v>4336</v>
      </c>
      <c r="G865" s="67">
        <f t="shared" si="41"/>
        <v>2</v>
      </c>
      <c r="H865" s="67" t="str">
        <f t="shared" si="42"/>
        <v>000868桂丽萍</v>
      </c>
      <c r="I865" s="67" t="str">
        <f t="shared" si="43"/>
        <v>0918</v>
      </c>
    </row>
    <row r="866" spans="1:9" x14ac:dyDescent="0.15">
      <c r="A866" s="67" t="s">
        <v>1942</v>
      </c>
      <c r="B866" s="67" t="s">
        <v>1943</v>
      </c>
      <c r="C866" s="67" t="s">
        <v>5774</v>
      </c>
      <c r="D866" s="67" t="s">
        <v>5771</v>
      </c>
      <c r="E866" s="67" t="s">
        <v>5772</v>
      </c>
      <c r="F866" s="67" t="s">
        <v>4336</v>
      </c>
      <c r="G866" s="67">
        <f t="shared" si="41"/>
        <v>1</v>
      </c>
      <c r="H866" s="67" t="str">
        <f t="shared" si="42"/>
        <v>000854石立伟</v>
      </c>
      <c r="I866" s="67" t="str">
        <f t="shared" si="43"/>
        <v>0919</v>
      </c>
    </row>
    <row r="867" spans="1:9" x14ac:dyDescent="0.15">
      <c r="A867" s="67" t="s">
        <v>1944</v>
      </c>
      <c r="B867" s="67" t="s">
        <v>1945</v>
      </c>
      <c r="C867" s="67" t="s">
        <v>5775</v>
      </c>
      <c r="D867" s="67" t="s">
        <v>5771</v>
      </c>
      <c r="E867" s="67" t="s">
        <v>5772</v>
      </c>
      <c r="F867" s="67" t="s">
        <v>4336</v>
      </c>
      <c r="G867" s="67">
        <f t="shared" si="41"/>
        <v>1</v>
      </c>
      <c r="H867" s="67" t="str">
        <f t="shared" si="42"/>
        <v>000855余清云</v>
      </c>
      <c r="I867" s="67" t="str">
        <f t="shared" si="43"/>
        <v>0920</v>
      </c>
    </row>
    <row r="868" spans="1:9" x14ac:dyDescent="0.15">
      <c r="A868" s="67" t="s">
        <v>1946</v>
      </c>
      <c r="B868" s="67" t="s">
        <v>1947</v>
      </c>
      <c r="C868" s="67" t="s">
        <v>5776</v>
      </c>
      <c r="D868" s="67" t="s">
        <v>5777</v>
      </c>
      <c r="E868" s="67" t="s">
        <v>5778</v>
      </c>
      <c r="F868" s="67" t="s">
        <v>4336</v>
      </c>
      <c r="G868" s="67">
        <f t="shared" si="41"/>
        <v>1</v>
      </c>
      <c r="H868" s="67" t="str">
        <f t="shared" si="42"/>
        <v>000856李魁</v>
      </c>
      <c r="I868" s="67" t="str">
        <f t="shared" si="43"/>
        <v>0921</v>
      </c>
    </row>
    <row r="869" spans="1:9" x14ac:dyDescent="0.15">
      <c r="A869" s="67" t="s">
        <v>1948</v>
      </c>
      <c r="B869" s="67" t="s">
        <v>1949</v>
      </c>
      <c r="C869" s="67" t="s">
        <v>5779</v>
      </c>
      <c r="D869" s="67" t="s">
        <v>5777</v>
      </c>
      <c r="E869" s="67" t="s">
        <v>5780</v>
      </c>
      <c r="F869" s="67" t="s">
        <v>4336</v>
      </c>
      <c r="G869" s="67">
        <f t="shared" si="41"/>
        <v>1</v>
      </c>
      <c r="H869" s="67" t="str">
        <f t="shared" si="42"/>
        <v>000857肖辉</v>
      </c>
      <c r="I869" s="67" t="str">
        <f t="shared" si="43"/>
        <v>0922</v>
      </c>
    </row>
    <row r="870" spans="1:9" x14ac:dyDescent="0.15">
      <c r="A870" s="67" t="s">
        <v>1950</v>
      </c>
      <c r="B870" s="67" t="s">
        <v>1951</v>
      </c>
      <c r="C870" s="67" t="s">
        <v>5781</v>
      </c>
      <c r="D870" s="67" t="s">
        <v>5782</v>
      </c>
      <c r="E870" s="67" t="s">
        <v>5783</v>
      </c>
      <c r="F870" s="67" t="s">
        <v>4336</v>
      </c>
      <c r="G870" s="67">
        <f t="shared" si="41"/>
        <v>1</v>
      </c>
      <c r="H870" s="67" t="str">
        <f t="shared" si="42"/>
        <v>000858顾靖中</v>
      </c>
      <c r="I870" s="67" t="str">
        <f t="shared" si="43"/>
        <v>0923</v>
      </c>
    </row>
    <row r="871" spans="1:9" x14ac:dyDescent="0.15">
      <c r="A871" s="67" t="s">
        <v>1952</v>
      </c>
      <c r="B871" s="67" t="s">
        <v>1953</v>
      </c>
      <c r="C871" s="67" t="s">
        <v>5784</v>
      </c>
      <c r="D871" s="67" t="s">
        <v>5782</v>
      </c>
      <c r="E871" s="67" t="s">
        <v>5785</v>
      </c>
      <c r="F871" s="67" t="s">
        <v>4336</v>
      </c>
      <c r="G871" s="67">
        <f t="shared" si="41"/>
        <v>1</v>
      </c>
      <c r="H871" s="67" t="str">
        <f t="shared" si="42"/>
        <v>000860张金周</v>
      </c>
      <c r="I871" s="67" t="str">
        <f t="shared" si="43"/>
        <v>0924</v>
      </c>
    </row>
    <row r="872" spans="1:9" x14ac:dyDescent="0.15">
      <c r="A872" s="67" t="s">
        <v>1954</v>
      </c>
      <c r="B872" s="67" t="s">
        <v>1955</v>
      </c>
      <c r="C872" s="67" t="s">
        <v>5786</v>
      </c>
      <c r="D872" s="67" t="s">
        <v>5787</v>
      </c>
      <c r="E872" s="67" t="s">
        <v>5788</v>
      </c>
      <c r="F872" s="67" t="s">
        <v>4336</v>
      </c>
      <c r="G872" s="67">
        <f t="shared" si="41"/>
        <v>1</v>
      </c>
      <c r="H872" s="67" t="str">
        <f t="shared" si="42"/>
        <v>000861陈书峰</v>
      </c>
      <c r="I872" s="67" t="str">
        <f t="shared" si="43"/>
        <v>0925</v>
      </c>
    </row>
    <row r="873" spans="1:9" x14ac:dyDescent="0.15">
      <c r="A873" s="67" t="s">
        <v>1956</v>
      </c>
      <c r="B873" s="67" t="s">
        <v>1957</v>
      </c>
      <c r="C873" s="67" t="s">
        <v>5789</v>
      </c>
      <c r="D873" s="67" t="s">
        <v>5787</v>
      </c>
      <c r="E873" s="67" t="s">
        <v>5790</v>
      </c>
      <c r="F873" s="67" t="s">
        <v>4336</v>
      </c>
      <c r="G873" s="67">
        <f t="shared" si="41"/>
        <v>2</v>
      </c>
      <c r="H873" s="67" t="str">
        <f t="shared" si="42"/>
        <v>000862熊亚柳</v>
      </c>
      <c r="I873" s="67" t="str">
        <f t="shared" si="43"/>
        <v>0926</v>
      </c>
    </row>
    <row r="874" spans="1:9" x14ac:dyDescent="0.15">
      <c r="A874" s="67" t="s">
        <v>1956</v>
      </c>
      <c r="B874" s="67" t="s">
        <v>1957</v>
      </c>
      <c r="C874" s="67" t="s">
        <v>5791</v>
      </c>
      <c r="D874" s="67" t="s">
        <v>5792</v>
      </c>
      <c r="E874" s="67" t="s">
        <v>5793</v>
      </c>
      <c r="F874" s="67" t="s">
        <v>4336</v>
      </c>
      <c r="G874" s="67">
        <f t="shared" si="41"/>
        <v>2</v>
      </c>
      <c r="H874" s="67" t="str">
        <f t="shared" si="42"/>
        <v>000770熊亚柳</v>
      </c>
      <c r="I874" s="67" t="str">
        <f t="shared" si="43"/>
        <v>0926</v>
      </c>
    </row>
    <row r="875" spans="1:9" x14ac:dyDescent="0.15">
      <c r="A875" s="67" t="s">
        <v>1958</v>
      </c>
      <c r="B875" s="67" t="s">
        <v>1959</v>
      </c>
      <c r="C875" s="67" t="s">
        <v>5794</v>
      </c>
      <c r="D875" s="67" t="s">
        <v>5792</v>
      </c>
      <c r="E875" s="67" t="s">
        <v>5793</v>
      </c>
      <c r="F875" s="67" t="s">
        <v>4336</v>
      </c>
      <c r="G875" s="67">
        <f t="shared" si="41"/>
        <v>1</v>
      </c>
      <c r="H875" s="67" t="str">
        <f t="shared" si="42"/>
        <v>000864赵宏巍</v>
      </c>
      <c r="I875" s="67" t="str">
        <f t="shared" si="43"/>
        <v>0927</v>
      </c>
    </row>
    <row r="876" spans="1:9" x14ac:dyDescent="0.15">
      <c r="A876" s="67" t="s">
        <v>1960</v>
      </c>
      <c r="B876" s="67" t="s">
        <v>1961</v>
      </c>
      <c r="C876" s="67" t="s">
        <v>5795</v>
      </c>
      <c r="D876" s="67" t="s">
        <v>5796</v>
      </c>
      <c r="E876" s="67" t="s">
        <v>5797</v>
      </c>
      <c r="F876" s="67" t="s">
        <v>4336</v>
      </c>
      <c r="G876" s="67">
        <f t="shared" si="41"/>
        <v>2</v>
      </c>
      <c r="H876" s="67" t="str">
        <f t="shared" si="42"/>
        <v>000866庄浩伟</v>
      </c>
      <c r="I876" s="67" t="str">
        <f t="shared" si="43"/>
        <v>0928</v>
      </c>
    </row>
    <row r="877" spans="1:9" x14ac:dyDescent="0.15">
      <c r="A877" s="67" t="s">
        <v>1960</v>
      </c>
      <c r="B877" s="67" t="s">
        <v>1961</v>
      </c>
      <c r="C877" s="67" t="s">
        <v>5798</v>
      </c>
      <c r="D877" s="67" t="s">
        <v>5796</v>
      </c>
      <c r="E877" s="67" t="s">
        <v>5797</v>
      </c>
      <c r="F877" s="67" t="s">
        <v>4336</v>
      </c>
      <c r="G877" s="67">
        <f t="shared" si="41"/>
        <v>2</v>
      </c>
      <c r="H877" s="67" t="str">
        <f t="shared" si="42"/>
        <v>000883庄浩伟</v>
      </c>
      <c r="I877" s="67" t="str">
        <f t="shared" si="43"/>
        <v>0928</v>
      </c>
    </row>
    <row r="878" spans="1:9" x14ac:dyDescent="0.15">
      <c r="A878" s="67" t="s">
        <v>1962</v>
      </c>
      <c r="B878" s="67" t="s">
        <v>1963</v>
      </c>
      <c r="C878" s="67" t="s">
        <v>5799</v>
      </c>
      <c r="D878" s="67" t="s">
        <v>5800</v>
      </c>
      <c r="E878" s="67" t="s">
        <v>5801</v>
      </c>
      <c r="F878" s="67" t="s">
        <v>4336</v>
      </c>
      <c r="G878" s="67">
        <f t="shared" si="41"/>
        <v>1</v>
      </c>
      <c r="H878" s="67" t="str">
        <f t="shared" si="42"/>
        <v>000870常伟超</v>
      </c>
      <c r="I878" s="67" t="str">
        <f t="shared" si="43"/>
        <v>0929</v>
      </c>
    </row>
    <row r="879" spans="1:9" x14ac:dyDescent="0.15">
      <c r="A879" s="67" t="s">
        <v>1964</v>
      </c>
      <c r="B879" s="67" t="s">
        <v>1965</v>
      </c>
      <c r="C879" s="67" t="s">
        <v>5802</v>
      </c>
      <c r="D879" s="67" t="s">
        <v>5803</v>
      </c>
      <c r="E879" s="67" t="s">
        <v>5804</v>
      </c>
      <c r="F879" s="67" t="s">
        <v>4336</v>
      </c>
      <c r="G879" s="67">
        <f t="shared" si="41"/>
        <v>1</v>
      </c>
      <c r="H879" s="67" t="str">
        <f t="shared" si="42"/>
        <v>000871张菊华</v>
      </c>
      <c r="I879" s="67" t="str">
        <f t="shared" si="43"/>
        <v>0930</v>
      </c>
    </row>
    <row r="880" spans="1:9" x14ac:dyDescent="0.15">
      <c r="A880" s="67" t="s">
        <v>1966</v>
      </c>
      <c r="B880" s="67" t="s">
        <v>1967</v>
      </c>
      <c r="C880" s="67" t="s">
        <v>5805</v>
      </c>
      <c r="D880" s="67" t="s">
        <v>5803</v>
      </c>
      <c r="E880" s="67" t="s">
        <v>5804</v>
      </c>
      <c r="F880" s="67" t="s">
        <v>4336</v>
      </c>
      <c r="G880" s="67">
        <f t="shared" si="41"/>
        <v>1</v>
      </c>
      <c r="H880" s="67" t="str">
        <f t="shared" si="42"/>
        <v>000872雷玉</v>
      </c>
      <c r="I880" s="67" t="str">
        <f t="shared" si="43"/>
        <v>0931</v>
      </c>
    </row>
    <row r="881" spans="1:9" x14ac:dyDescent="0.15">
      <c r="A881" s="67" t="s">
        <v>1968</v>
      </c>
      <c r="B881" s="67" t="s">
        <v>1969</v>
      </c>
      <c r="C881" s="67" t="s">
        <v>5806</v>
      </c>
      <c r="D881" s="67" t="s">
        <v>5803</v>
      </c>
      <c r="E881" s="67" t="s">
        <v>5804</v>
      </c>
      <c r="F881" s="67" t="s">
        <v>4336</v>
      </c>
      <c r="G881" s="67">
        <f t="shared" si="41"/>
        <v>1</v>
      </c>
      <c r="H881" s="67" t="str">
        <f t="shared" si="42"/>
        <v>000873向海洋</v>
      </c>
      <c r="I881" s="67" t="str">
        <f t="shared" si="43"/>
        <v>0932</v>
      </c>
    </row>
    <row r="882" spans="1:9" x14ac:dyDescent="0.15">
      <c r="A882" s="67" t="s">
        <v>1970</v>
      </c>
      <c r="B882" s="67" t="s">
        <v>1971</v>
      </c>
      <c r="C882" s="67" t="s">
        <v>5807</v>
      </c>
      <c r="D882" s="67" t="s">
        <v>5808</v>
      </c>
      <c r="E882" s="67" t="s">
        <v>5809</v>
      </c>
      <c r="F882" s="67" t="s">
        <v>4336</v>
      </c>
      <c r="G882" s="67">
        <f t="shared" si="41"/>
        <v>1</v>
      </c>
      <c r="H882" s="67" t="str">
        <f t="shared" si="42"/>
        <v>000876高明新</v>
      </c>
      <c r="I882" s="67" t="str">
        <f t="shared" si="43"/>
        <v>0933</v>
      </c>
    </row>
    <row r="883" spans="1:9" x14ac:dyDescent="0.15">
      <c r="A883" s="67" t="s">
        <v>1972</v>
      </c>
      <c r="B883" s="67" t="s">
        <v>1973</v>
      </c>
      <c r="C883" s="67" t="s">
        <v>5810</v>
      </c>
      <c r="D883" s="67" t="s">
        <v>5811</v>
      </c>
      <c r="E883" s="67" t="s">
        <v>5812</v>
      </c>
      <c r="F883" s="67" t="s">
        <v>4336</v>
      </c>
      <c r="G883" s="67">
        <f t="shared" si="41"/>
        <v>1</v>
      </c>
      <c r="H883" s="67" t="str">
        <f t="shared" si="42"/>
        <v>000882周骏</v>
      </c>
      <c r="I883" s="67" t="str">
        <f t="shared" si="43"/>
        <v>0934</v>
      </c>
    </row>
    <row r="884" spans="1:9" x14ac:dyDescent="0.15">
      <c r="A884" s="67" t="s">
        <v>1974</v>
      </c>
      <c r="B884" s="67" t="s">
        <v>1975</v>
      </c>
      <c r="C884" s="67" t="s">
        <v>5813</v>
      </c>
      <c r="D884" s="67" t="s">
        <v>5811</v>
      </c>
      <c r="E884" s="67" t="s">
        <v>5812</v>
      </c>
      <c r="F884" s="67" t="s">
        <v>4336</v>
      </c>
      <c r="G884" s="67">
        <f t="shared" si="41"/>
        <v>1</v>
      </c>
      <c r="H884" s="67" t="str">
        <f t="shared" si="42"/>
        <v>000884昝家锡</v>
      </c>
      <c r="I884" s="67" t="str">
        <f t="shared" si="43"/>
        <v>0935</v>
      </c>
    </row>
    <row r="885" spans="1:9" x14ac:dyDescent="0.15">
      <c r="A885" s="67" t="s">
        <v>1976</v>
      </c>
      <c r="B885" s="67" t="s">
        <v>5814</v>
      </c>
      <c r="C885" s="67" t="s">
        <v>5815</v>
      </c>
      <c r="D885" s="67" t="s">
        <v>5816</v>
      </c>
      <c r="E885" s="67" t="s">
        <v>5817</v>
      </c>
      <c r="F885" s="67" t="s">
        <v>4336</v>
      </c>
      <c r="G885" s="67">
        <f t="shared" si="41"/>
        <v>1</v>
      </c>
      <c r="H885" s="67" t="str">
        <f t="shared" si="42"/>
        <v>000885周立峰</v>
      </c>
      <c r="I885" s="67" t="str">
        <f t="shared" si="43"/>
        <v>0936</v>
      </c>
    </row>
    <row r="886" spans="1:9" x14ac:dyDescent="0.15">
      <c r="A886" s="67" t="s">
        <v>1978</v>
      </c>
      <c r="B886" s="67" t="s">
        <v>1979</v>
      </c>
      <c r="C886" s="67" t="s">
        <v>5818</v>
      </c>
      <c r="D886" s="67" t="s">
        <v>5819</v>
      </c>
      <c r="E886" s="67" t="s">
        <v>5820</v>
      </c>
      <c r="F886" s="67" t="s">
        <v>4336</v>
      </c>
      <c r="G886" s="67">
        <f t="shared" si="41"/>
        <v>1</v>
      </c>
      <c r="H886" s="67" t="str">
        <f t="shared" si="42"/>
        <v>000887李婉娣</v>
      </c>
      <c r="I886" s="67" t="str">
        <f t="shared" si="43"/>
        <v>0937</v>
      </c>
    </row>
    <row r="887" spans="1:9" x14ac:dyDescent="0.15">
      <c r="A887" s="67" t="s">
        <v>1980</v>
      </c>
      <c r="B887" s="67" t="s">
        <v>1981</v>
      </c>
      <c r="C887" s="67" t="s">
        <v>5821</v>
      </c>
      <c r="D887" s="67" t="s">
        <v>5819</v>
      </c>
      <c r="E887" s="67" t="s">
        <v>5820</v>
      </c>
      <c r="F887" s="67" t="s">
        <v>4336</v>
      </c>
      <c r="G887" s="67">
        <f t="shared" si="41"/>
        <v>1</v>
      </c>
      <c r="H887" s="67" t="str">
        <f t="shared" si="42"/>
        <v>000888徐军伟</v>
      </c>
      <c r="I887" s="67" t="str">
        <f t="shared" si="43"/>
        <v>0938</v>
      </c>
    </row>
    <row r="888" spans="1:9" x14ac:dyDescent="0.15">
      <c r="A888" s="67" t="s">
        <v>1982</v>
      </c>
      <c r="B888" s="67" t="s">
        <v>1983</v>
      </c>
      <c r="C888" s="67" t="s">
        <v>5822</v>
      </c>
      <c r="D888" s="67" t="s">
        <v>5823</v>
      </c>
      <c r="E888" s="67" t="s">
        <v>5824</v>
      </c>
      <c r="F888" s="67" t="s">
        <v>4336</v>
      </c>
      <c r="G888" s="67">
        <f t="shared" si="41"/>
        <v>1</v>
      </c>
      <c r="H888" s="67" t="str">
        <f t="shared" si="42"/>
        <v>000890顾峰燕</v>
      </c>
      <c r="I888" s="67" t="str">
        <f t="shared" si="43"/>
        <v>0939</v>
      </c>
    </row>
    <row r="889" spans="1:9" x14ac:dyDescent="0.15">
      <c r="A889" s="67" t="s">
        <v>1984</v>
      </c>
      <c r="B889" s="67" t="s">
        <v>1985</v>
      </c>
      <c r="C889" s="67" t="s">
        <v>5825</v>
      </c>
      <c r="D889" s="67" t="s">
        <v>5823</v>
      </c>
      <c r="E889" s="67" t="s">
        <v>5824</v>
      </c>
      <c r="F889" s="67" t="s">
        <v>4336</v>
      </c>
      <c r="G889" s="67">
        <f t="shared" si="41"/>
        <v>1</v>
      </c>
      <c r="H889" s="67" t="str">
        <f t="shared" si="42"/>
        <v>000891王永念</v>
      </c>
      <c r="I889" s="67" t="str">
        <f t="shared" si="43"/>
        <v>0940</v>
      </c>
    </row>
    <row r="890" spans="1:9" x14ac:dyDescent="0.15">
      <c r="A890" s="67" t="s">
        <v>1986</v>
      </c>
      <c r="B890" s="67" t="s">
        <v>1987</v>
      </c>
      <c r="C890" s="67" t="s">
        <v>5826</v>
      </c>
      <c r="D890" s="67" t="s">
        <v>5827</v>
      </c>
      <c r="E890" s="67" t="s">
        <v>5828</v>
      </c>
      <c r="F890" s="67" t="s">
        <v>4336</v>
      </c>
      <c r="G890" s="67">
        <f t="shared" si="41"/>
        <v>1</v>
      </c>
      <c r="H890" s="67" t="str">
        <f t="shared" si="42"/>
        <v>000892刘永强</v>
      </c>
      <c r="I890" s="67" t="str">
        <f t="shared" si="43"/>
        <v>0941</v>
      </c>
    </row>
    <row r="891" spans="1:9" x14ac:dyDescent="0.15">
      <c r="A891" s="67" t="s">
        <v>5829</v>
      </c>
      <c r="B891" s="67" t="s">
        <v>1514</v>
      </c>
      <c r="C891" s="67" t="s">
        <v>5830</v>
      </c>
      <c r="D891" s="67" t="s">
        <v>4553</v>
      </c>
      <c r="E891" s="67" t="s">
        <v>5831</v>
      </c>
      <c r="F891" s="67" t="s">
        <v>4336</v>
      </c>
      <c r="G891" s="67">
        <f t="shared" si="41"/>
        <v>2</v>
      </c>
      <c r="H891" s="67" t="str">
        <f t="shared" si="42"/>
        <v>000434何发章</v>
      </c>
      <c r="I891" s="67" t="str">
        <f t="shared" si="43"/>
        <v>8025</v>
      </c>
    </row>
    <row r="892" spans="1:9" x14ac:dyDescent="0.15">
      <c r="A892" s="67" t="s">
        <v>5832</v>
      </c>
      <c r="B892" s="67" t="s">
        <v>1776</v>
      </c>
      <c r="C892" s="67" t="s">
        <v>5833</v>
      </c>
      <c r="D892" s="67" t="s">
        <v>5551</v>
      </c>
      <c r="E892" s="67" t="s">
        <v>5834</v>
      </c>
      <c r="F892" s="67" t="s">
        <v>4336</v>
      </c>
      <c r="G892" s="67">
        <f t="shared" si="41"/>
        <v>2</v>
      </c>
      <c r="H892" s="67" t="str">
        <f t="shared" si="42"/>
        <v>000655廉鹏</v>
      </c>
      <c r="I892" s="67" t="str">
        <f t="shared" si="43"/>
        <v>8035</v>
      </c>
    </row>
  </sheetData>
  <autoFilter ref="A1:W892" xr:uid="{00000000-0009-0000-0000-000008000000}"/>
  <phoneticPr fontId="1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H77"/>
  <sheetViews>
    <sheetView workbookViewId="0">
      <pane xSplit="3" ySplit="1" topLeftCell="D2" activePane="bottomRight" state="frozen"/>
      <selection pane="topRight"/>
      <selection pane="bottomLeft"/>
      <selection pane="bottomRight" activeCell="N29" sqref="N29"/>
    </sheetView>
  </sheetViews>
  <sheetFormatPr defaultColWidth="9" defaultRowHeight="14.25" x14ac:dyDescent="0.15"/>
  <cols>
    <col min="1" max="1" width="7.5" style="66" customWidth="1"/>
    <col min="2" max="2" width="12.75" style="66" customWidth="1"/>
    <col min="3" max="3" width="47.125" style="66" customWidth="1"/>
    <col min="4" max="4" width="9.5" style="66" customWidth="1"/>
    <col min="5" max="6" width="13.625" style="66" customWidth="1"/>
    <col min="7" max="7" width="15.875" style="66" customWidth="1"/>
    <col min="8" max="8" width="15" style="66" customWidth="1"/>
    <col min="9" max="16384" width="9" style="66"/>
  </cols>
  <sheetData>
    <row r="1" spans="1:8" x14ac:dyDescent="0.15">
      <c r="A1" s="66" t="s">
        <v>5835</v>
      </c>
      <c r="B1" s="66" t="s">
        <v>5836</v>
      </c>
      <c r="C1" s="66" t="s">
        <v>5837</v>
      </c>
      <c r="D1" s="66" t="s">
        <v>5838</v>
      </c>
      <c r="E1" s="66" t="s">
        <v>5839</v>
      </c>
      <c r="F1" s="66" t="s">
        <v>5840</v>
      </c>
      <c r="G1" s="66" t="s">
        <v>5841</v>
      </c>
      <c r="H1" s="66" t="s">
        <v>5842</v>
      </c>
    </row>
    <row r="2" spans="1:8" x14ac:dyDescent="0.15">
      <c r="A2" s="66">
        <v>140</v>
      </c>
      <c r="B2" s="66" t="s">
        <v>5843</v>
      </c>
      <c r="C2" s="66" t="s">
        <v>5844</v>
      </c>
      <c r="D2" s="66">
        <v>0</v>
      </c>
      <c r="E2" s="66" t="s">
        <v>129</v>
      </c>
      <c r="G2" s="66" t="s">
        <v>5845</v>
      </c>
    </row>
    <row r="3" spans="1:8" x14ac:dyDescent="0.15">
      <c r="A3" s="66">
        <v>131</v>
      </c>
      <c r="B3" s="66" t="s">
        <v>5846</v>
      </c>
      <c r="C3" s="66" t="s">
        <v>5847</v>
      </c>
      <c r="D3" s="66">
        <v>0</v>
      </c>
      <c r="E3" s="66" t="s">
        <v>129</v>
      </c>
      <c r="G3" s="66" t="s">
        <v>5848</v>
      </c>
    </row>
    <row r="4" spans="1:8" x14ac:dyDescent="0.15">
      <c r="A4" s="66">
        <v>65</v>
      </c>
      <c r="B4" s="66" t="s">
        <v>5849</v>
      </c>
      <c r="C4" s="66" t="s">
        <v>5850</v>
      </c>
      <c r="D4" s="66">
        <v>0</v>
      </c>
      <c r="E4" s="66" t="s">
        <v>129</v>
      </c>
      <c r="G4" s="66" t="s">
        <v>5851</v>
      </c>
    </row>
    <row r="5" spans="1:8" x14ac:dyDescent="0.15">
      <c r="A5" s="66">
        <v>72</v>
      </c>
      <c r="B5" s="66" t="s">
        <v>5852</v>
      </c>
      <c r="C5" s="66" t="s">
        <v>5853</v>
      </c>
      <c r="D5" s="66">
        <v>0</v>
      </c>
      <c r="E5" s="66" t="s">
        <v>129</v>
      </c>
      <c r="G5" s="66" t="s">
        <v>5851</v>
      </c>
      <c r="H5" s="66" t="s">
        <v>5854</v>
      </c>
    </row>
    <row r="6" spans="1:8" x14ac:dyDescent="0.15">
      <c r="A6" s="66">
        <v>75</v>
      </c>
      <c r="B6" s="66" t="s">
        <v>5855</v>
      </c>
      <c r="C6" s="66" t="s">
        <v>5856</v>
      </c>
      <c r="D6" s="66">
        <v>0</v>
      </c>
      <c r="E6" s="66" t="s">
        <v>129</v>
      </c>
      <c r="G6" s="66" t="s">
        <v>5857</v>
      </c>
      <c r="H6" s="66" t="s">
        <v>5858</v>
      </c>
    </row>
    <row r="7" spans="1:8" x14ac:dyDescent="0.15">
      <c r="A7" s="66">
        <v>76</v>
      </c>
      <c r="B7" s="66" t="s">
        <v>5859</v>
      </c>
      <c r="C7" s="66" t="s">
        <v>5860</v>
      </c>
      <c r="D7" s="66">
        <v>0</v>
      </c>
      <c r="E7" s="66" t="s">
        <v>129</v>
      </c>
      <c r="G7" s="66" t="s">
        <v>5857</v>
      </c>
      <c r="H7" s="66" t="s">
        <v>5861</v>
      </c>
    </row>
    <row r="8" spans="1:8" x14ac:dyDescent="0.15">
      <c r="A8" s="66">
        <v>77</v>
      </c>
      <c r="B8" s="66" t="s">
        <v>5862</v>
      </c>
      <c r="C8" s="66" t="s">
        <v>5863</v>
      </c>
      <c r="D8" s="66">
        <v>0</v>
      </c>
      <c r="E8" s="66" t="s">
        <v>129</v>
      </c>
      <c r="G8" s="66" t="s">
        <v>5851</v>
      </c>
      <c r="H8" s="66" t="s">
        <v>5864</v>
      </c>
    </row>
    <row r="9" spans="1:8" x14ac:dyDescent="0.15">
      <c r="A9" s="66">
        <v>78</v>
      </c>
      <c r="B9" s="66" t="s">
        <v>5865</v>
      </c>
      <c r="C9" s="66" t="s">
        <v>5866</v>
      </c>
      <c r="D9" s="66">
        <v>0</v>
      </c>
      <c r="E9" s="66" t="s">
        <v>129</v>
      </c>
      <c r="G9" s="66" t="s">
        <v>5851</v>
      </c>
      <c r="H9" s="66" t="s">
        <v>5867</v>
      </c>
    </row>
    <row r="10" spans="1:8" x14ac:dyDescent="0.15">
      <c r="A10" s="66">
        <v>79</v>
      </c>
      <c r="B10" s="66" t="s">
        <v>5868</v>
      </c>
      <c r="C10" s="66" t="s">
        <v>5869</v>
      </c>
      <c r="D10" s="66">
        <v>0</v>
      </c>
      <c r="E10" s="66" t="s">
        <v>129</v>
      </c>
      <c r="G10" s="66" t="s">
        <v>5851</v>
      </c>
      <c r="H10" s="66" t="s">
        <v>5870</v>
      </c>
    </row>
    <row r="11" spans="1:8" x14ac:dyDescent="0.15">
      <c r="A11" s="66">
        <v>148</v>
      </c>
      <c r="B11" s="66" t="s">
        <v>5871</v>
      </c>
      <c r="C11" s="66" t="s">
        <v>5872</v>
      </c>
      <c r="D11" s="66">
        <v>0</v>
      </c>
      <c r="E11" s="66" t="s">
        <v>129</v>
      </c>
      <c r="G11" s="66" t="s">
        <v>5851</v>
      </c>
      <c r="H11" s="66" t="s">
        <v>5873</v>
      </c>
    </row>
    <row r="12" spans="1:8" x14ac:dyDescent="0.15">
      <c r="A12" s="66">
        <v>89</v>
      </c>
      <c r="B12" s="66" t="s">
        <v>5874</v>
      </c>
      <c r="C12" s="66" t="s">
        <v>5875</v>
      </c>
      <c r="D12" s="66">
        <v>0</v>
      </c>
      <c r="E12" s="66" t="s">
        <v>129</v>
      </c>
      <c r="G12" s="66" t="s">
        <v>5876</v>
      </c>
      <c r="H12" s="66" t="s">
        <v>5877</v>
      </c>
    </row>
    <row r="13" spans="1:8" x14ac:dyDescent="0.15">
      <c r="A13" s="66">
        <v>88</v>
      </c>
      <c r="B13" s="66" t="s">
        <v>5878</v>
      </c>
      <c r="C13" s="66" t="s">
        <v>5879</v>
      </c>
      <c r="D13" s="66">
        <v>0</v>
      </c>
      <c r="E13" s="66" t="s">
        <v>129</v>
      </c>
      <c r="G13" s="66" t="s">
        <v>5857</v>
      </c>
      <c r="H13" s="66" t="s">
        <v>5880</v>
      </c>
    </row>
    <row r="14" spans="1:8" x14ac:dyDescent="0.15">
      <c r="A14" s="66">
        <v>91</v>
      </c>
      <c r="B14" s="66" t="s">
        <v>5881</v>
      </c>
      <c r="C14" s="66" t="s">
        <v>5882</v>
      </c>
      <c r="D14" s="66">
        <v>0</v>
      </c>
      <c r="E14" s="66" t="s">
        <v>129</v>
      </c>
      <c r="G14" s="66" t="s">
        <v>5851</v>
      </c>
      <c r="H14" s="66" t="s">
        <v>5883</v>
      </c>
    </row>
    <row r="15" spans="1:8" x14ac:dyDescent="0.15">
      <c r="A15" s="66">
        <v>149</v>
      </c>
      <c r="B15" s="66" t="s">
        <v>5884</v>
      </c>
      <c r="C15" s="66" t="s">
        <v>5885</v>
      </c>
      <c r="D15" s="66">
        <v>0</v>
      </c>
      <c r="E15" s="66" t="s">
        <v>129</v>
      </c>
      <c r="G15" s="66" t="s">
        <v>5851</v>
      </c>
      <c r="H15" s="66" t="s">
        <v>5886</v>
      </c>
    </row>
    <row r="16" spans="1:8" x14ac:dyDescent="0.15">
      <c r="A16" s="66">
        <v>90</v>
      </c>
      <c r="B16" s="66" t="s">
        <v>5887</v>
      </c>
      <c r="C16" s="66" t="s">
        <v>5888</v>
      </c>
      <c r="D16" s="66">
        <v>0</v>
      </c>
      <c r="E16" s="66" t="s">
        <v>129</v>
      </c>
      <c r="G16" s="66" t="s">
        <v>5889</v>
      </c>
      <c r="H16" s="66" t="s">
        <v>5890</v>
      </c>
    </row>
    <row r="17" spans="1:8" x14ac:dyDescent="0.15">
      <c r="A17" s="66">
        <v>94</v>
      </c>
      <c r="B17" s="66" t="s">
        <v>5891</v>
      </c>
      <c r="C17" s="66" t="s">
        <v>5892</v>
      </c>
      <c r="D17" s="66">
        <v>0</v>
      </c>
      <c r="E17" s="66" t="s">
        <v>129</v>
      </c>
      <c r="G17" s="66" t="s">
        <v>5889</v>
      </c>
      <c r="H17" s="66" t="s">
        <v>5893</v>
      </c>
    </row>
    <row r="18" spans="1:8" x14ac:dyDescent="0.15">
      <c r="A18" s="66">
        <v>93</v>
      </c>
      <c r="B18" s="66" t="s">
        <v>5894</v>
      </c>
      <c r="C18" s="66" t="s">
        <v>5895</v>
      </c>
      <c r="D18" s="66">
        <v>0</v>
      </c>
      <c r="E18" s="66" t="s">
        <v>129</v>
      </c>
      <c r="G18" s="66" t="s">
        <v>5876</v>
      </c>
      <c r="H18" s="66" t="s">
        <v>5896</v>
      </c>
    </row>
    <row r="19" spans="1:8" x14ac:dyDescent="0.15">
      <c r="A19" s="66">
        <v>95</v>
      </c>
      <c r="B19" s="66" t="s">
        <v>5897</v>
      </c>
      <c r="C19" s="66" t="s">
        <v>5898</v>
      </c>
      <c r="D19" s="66">
        <v>0</v>
      </c>
      <c r="E19" s="66" t="s">
        <v>129</v>
      </c>
      <c r="G19" s="66" t="s">
        <v>5889</v>
      </c>
      <c r="H19" s="66" t="s">
        <v>5899</v>
      </c>
    </row>
    <row r="20" spans="1:8" x14ac:dyDescent="0.15">
      <c r="A20" s="66">
        <v>98</v>
      </c>
      <c r="B20" s="66" t="s">
        <v>5900</v>
      </c>
      <c r="C20" s="66" t="s">
        <v>5901</v>
      </c>
      <c r="D20" s="66">
        <v>0</v>
      </c>
      <c r="E20" s="66" t="s">
        <v>129</v>
      </c>
      <c r="G20" s="66" t="s">
        <v>5902</v>
      </c>
      <c r="H20" s="66" t="s">
        <v>5903</v>
      </c>
    </row>
    <row r="21" spans="1:8" x14ac:dyDescent="0.15">
      <c r="A21" s="66">
        <v>97</v>
      </c>
      <c r="B21" s="66" t="s">
        <v>5904</v>
      </c>
      <c r="C21" s="66" t="s">
        <v>5905</v>
      </c>
      <c r="D21" s="66">
        <v>0</v>
      </c>
      <c r="E21" s="66" t="s">
        <v>129</v>
      </c>
      <c r="G21" s="66" t="s">
        <v>5876</v>
      </c>
      <c r="H21" s="66" t="s">
        <v>5906</v>
      </c>
    </row>
    <row r="22" spans="1:8" x14ac:dyDescent="0.15">
      <c r="A22" s="66">
        <v>99</v>
      </c>
      <c r="B22" s="66" t="s">
        <v>5907</v>
      </c>
      <c r="C22" s="66" t="s">
        <v>5908</v>
      </c>
      <c r="D22" s="66">
        <v>0</v>
      </c>
      <c r="E22" s="66" t="s">
        <v>129</v>
      </c>
      <c r="G22" s="66" t="s">
        <v>5909</v>
      </c>
      <c r="H22" s="66" t="s">
        <v>5910</v>
      </c>
    </row>
    <row r="23" spans="1:8" x14ac:dyDescent="0.15">
      <c r="A23" s="66">
        <v>107</v>
      </c>
      <c r="B23" s="66" t="s">
        <v>5911</v>
      </c>
      <c r="C23" s="66" t="s">
        <v>5912</v>
      </c>
      <c r="D23" s="66">
        <v>0</v>
      </c>
      <c r="E23" s="66" t="s">
        <v>129</v>
      </c>
      <c r="G23" s="66" t="s">
        <v>5889</v>
      </c>
      <c r="H23" s="66" t="s">
        <v>5913</v>
      </c>
    </row>
    <row r="24" spans="1:8" x14ac:dyDescent="0.15">
      <c r="A24" s="66">
        <v>108</v>
      </c>
      <c r="B24" s="66" t="s">
        <v>5914</v>
      </c>
      <c r="C24" s="66" t="s">
        <v>5915</v>
      </c>
      <c r="D24" s="66">
        <v>0</v>
      </c>
      <c r="E24" s="66" t="s">
        <v>129</v>
      </c>
      <c r="G24" s="66" t="s">
        <v>5889</v>
      </c>
      <c r="H24" s="66" t="s">
        <v>5916</v>
      </c>
    </row>
    <row r="25" spans="1:8" x14ac:dyDescent="0.15">
      <c r="A25" s="66">
        <v>115</v>
      </c>
      <c r="B25" s="66" t="s">
        <v>5917</v>
      </c>
      <c r="C25" s="66" t="s">
        <v>5918</v>
      </c>
      <c r="D25" s="66">
        <v>0</v>
      </c>
      <c r="E25" s="66" t="s">
        <v>129</v>
      </c>
      <c r="G25" s="66" t="s">
        <v>5889</v>
      </c>
      <c r="H25" s="66" t="s">
        <v>5919</v>
      </c>
    </row>
    <row r="26" spans="1:8" x14ac:dyDescent="0.15">
      <c r="A26" s="66">
        <v>116</v>
      </c>
      <c r="B26" s="66" t="s">
        <v>5920</v>
      </c>
      <c r="C26" s="66" t="s">
        <v>5921</v>
      </c>
      <c r="D26" s="66">
        <v>0</v>
      </c>
      <c r="E26" s="66" t="s">
        <v>129</v>
      </c>
      <c r="G26" s="66" t="s">
        <v>5876</v>
      </c>
      <c r="H26" s="66" t="s">
        <v>5922</v>
      </c>
    </row>
    <row r="27" spans="1:8" x14ac:dyDescent="0.15">
      <c r="A27" s="66">
        <v>101</v>
      </c>
      <c r="B27" s="66" t="s">
        <v>5923</v>
      </c>
      <c r="C27" s="66" t="s">
        <v>5924</v>
      </c>
      <c r="D27" s="66">
        <v>0</v>
      </c>
      <c r="E27" s="66" t="s">
        <v>129</v>
      </c>
      <c r="G27" s="66" t="s">
        <v>5857</v>
      </c>
      <c r="H27" s="66" t="s">
        <v>5925</v>
      </c>
    </row>
    <row r="28" spans="1:8" x14ac:dyDescent="0.15">
      <c r="A28" s="66">
        <v>102</v>
      </c>
      <c r="B28" s="66" t="s">
        <v>5926</v>
      </c>
      <c r="C28" s="66" t="s">
        <v>5927</v>
      </c>
      <c r="D28" s="66">
        <v>0</v>
      </c>
      <c r="E28" s="66" t="s">
        <v>129</v>
      </c>
      <c r="G28" s="66" t="s">
        <v>5876</v>
      </c>
      <c r="H28" s="66" t="s">
        <v>5928</v>
      </c>
    </row>
    <row r="29" spans="1:8" x14ac:dyDescent="0.15">
      <c r="A29" s="66">
        <v>135</v>
      </c>
      <c r="B29" s="66" t="s">
        <v>5929</v>
      </c>
      <c r="C29" s="66" t="s">
        <v>5930</v>
      </c>
      <c r="D29" s="66">
        <v>0</v>
      </c>
      <c r="E29" s="66" t="s">
        <v>129</v>
      </c>
      <c r="G29" s="66" t="s">
        <v>5876</v>
      </c>
    </row>
    <row r="30" spans="1:8" x14ac:dyDescent="0.15">
      <c r="A30" s="66">
        <v>103</v>
      </c>
      <c r="B30" s="66" t="s">
        <v>5931</v>
      </c>
      <c r="C30" s="66" t="s">
        <v>5932</v>
      </c>
      <c r="D30" s="66">
        <v>0</v>
      </c>
      <c r="E30" s="66" t="s">
        <v>129</v>
      </c>
      <c r="G30" s="66" t="s">
        <v>5848</v>
      </c>
      <c r="H30" s="66" t="s">
        <v>5933</v>
      </c>
    </row>
    <row r="31" spans="1:8" x14ac:dyDescent="0.15">
      <c r="A31" s="66">
        <v>128</v>
      </c>
      <c r="B31" s="66" t="s">
        <v>5934</v>
      </c>
      <c r="C31" s="66" t="s">
        <v>5935</v>
      </c>
      <c r="D31" s="66">
        <v>0</v>
      </c>
      <c r="E31" s="66" t="s">
        <v>129</v>
      </c>
      <c r="G31" s="66" t="s">
        <v>5848</v>
      </c>
    </row>
    <row r="32" spans="1:8" x14ac:dyDescent="0.15">
      <c r="A32" s="66">
        <v>104</v>
      </c>
      <c r="B32" s="66" t="s">
        <v>5936</v>
      </c>
      <c r="C32" s="66" t="s">
        <v>5937</v>
      </c>
      <c r="D32" s="66">
        <v>0</v>
      </c>
      <c r="E32" s="66" t="s">
        <v>129</v>
      </c>
      <c r="G32" s="66" t="s">
        <v>5889</v>
      </c>
      <c r="H32" s="66" t="s">
        <v>5938</v>
      </c>
    </row>
    <row r="33" spans="1:8" x14ac:dyDescent="0.15">
      <c r="A33" s="66">
        <v>105</v>
      </c>
      <c r="B33" s="66" t="s">
        <v>5939</v>
      </c>
      <c r="C33" s="66" t="s">
        <v>5940</v>
      </c>
      <c r="D33" s="66">
        <v>0</v>
      </c>
      <c r="E33" s="66" t="s">
        <v>129</v>
      </c>
      <c r="G33" s="66" t="s">
        <v>5889</v>
      </c>
      <c r="H33" s="66" t="s">
        <v>5941</v>
      </c>
    </row>
    <row r="34" spans="1:8" x14ac:dyDescent="0.15">
      <c r="A34" s="66">
        <v>109</v>
      </c>
      <c r="B34" s="66" t="s">
        <v>5942</v>
      </c>
      <c r="C34" s="66" t="s">
        <v>5943</v>
      </c>
      <c r="D34" s="66">
        <v>0</v>
      </c>
      <c r="E34" s="66" t="s">
        <v>129</v>
      </c>
      <c r="G34" s="66" t="s">
        <v>5876</v>
      </c>
      <c r="H34" s="66" t="s">
        <v>5944</v>
      </c>
    </row>
    <row r="35" spans="1:8" x14ac:dyDescent="0.15">
      <c r="A35" s="66">
        <v>136</v>
      </c>
      <c r="B35" s="66" t="s">
        <v>5945</v>
      </c>
      <c r="C35" s="66" t="s">
        <v>5946</v>
      </c>
      <c r="D35" s="66">
        <v>0</v>
      </c>
      <c r="E35" s="66" t="s">
        <v>129</v>
      </c>
      <c r="G35" s="66" t="s">
        <v>5876</v>
      </c>
    </row>
    <row r="36" spans="1:8" x14ac:dyDescent="0.15">
      <c r="A36" s="66">
        <v>118</v>
      </c>
      <c r="B36" s="66" t="s">
        <v>5947</v>
      </c>
      <c r="C36" s="66" t="s">
        <v>5948</v>
      </c>
      <c r="D36" s="66">
        <v>0</v>
      </c>
      <c r="E36" s="66" t="s">
        <v>129</v>
      </c>
      <c r="G36" s="66" t="s">
        <v>5949</v>
      </c>
      <c r="H36" s="66" t="s">
        <v>5950</v>
      </c>
    </row>
    <row r="37" spans="1:8" x14ac:dyDescent="0.15">
      <c r="A37" s="66">
        <v>119</v>
      </c>
      <c r="B37" s="66" t="s">
        <v>5951</v>
      </c>
      <c r="C37" s="66" t="s">
        <v>5952</v>
      </c>
      <c r="D37" s="66">
        <v>0</v>
      </c>
      <c r="E37" s="66" t="s">
        <v>129</v>
      </c>
      <c r="G37" s="66" t="s">
        <v>5851</v>
      </c>
      <c r="H37" s="66" t="s">
        <v>5953</v>
      </c>
    </row>
    <row r="38" spans="1:8" x14ac:dyDescent="0.15">
      <c r="A38" s="66">
        <v>174</v>
      </c>
      <c r="B38" s="66" t="s">
        <v>5954</v>
      </c>
      <c r="C38" s="66" t="s">
        <v>5955</v>
      </c>
      <c r="D38" s="66">
        <v>0</v>
      </c>
      <c r="E38" s="66" t="s">
        <v>129</v>
      </c>
      <c r="G38" s="66" t="s">
        <v>5956</v>
      </c>
    </row>
    <row r="39" spans="1:8" x14ac:dyDescent="0.15">
      <c r="A39" s="66">
        <v>120</v>
      </c>
      <c r="B39" s="66" t="s">
        <v>5957</v>
      </c>
      <c r="C39" s="66" t="s">
        <v>5958</v>
      </c>
      <c r="D39" s="66">
        <v>0</v>
      </c>
      <c r="E39" s="66" t="s">
        <v>129</v>
      </c>
      <c r="G39" s="66" t="s">
        <v>5956</v>
      </c>
      <c r="H39" s="66" t="s">
        <v>5959</v>
      </c>
    </row>
    <row r="40" spans="1:8" x14ac:dyDescent="0.15">
      <c r="A40" s="66">
        <v>121</v>
      </c>
      <c r="B40" s="66" t="s">
        <v>5960</v>
      </c>
      <c r="C40" s="66" t="s">
        <v>5961</v>
      </c>
      <c r="D40" s="66">
        <v>0</v>
      </c>
      <c r="E40" s="66" t="s">
        <v>129</v>
      </c>
      <c r="G40" s="66" t="s">
        <v>5962</v>
      </c>
      <c r="H40" s="66" t="s">
        <v>5963</v>
      </c>
    </row>
    <row r="41" spans="1:8" x14ac:dyDescent="0.15">
      <c r="A41" s="66">
        <v>122</v>
      </c>
      <c r="B41" s="66" t="s">
        <v>5964</v>
      </c>
      <c r="C41" s="66" t="s">
        <v>5965</v>
      </c>
      <c r="D41" s="66">
        <v>0</v>
      </c>
      <c r="E41" s="66" t="s">
        <v>129</v>
      </c>
      <c r="G41" s="66" t="s">
        <v>5956</v>
      </c>
      <c r="H41" s="66" t="s">
        <v>5966</v>
      </c>
    </row>
    <row r="42" spans="1:8" x14ac:dyDescent="0.15">
      <c r="A42" s="66">
        <v>123</v>
      </c>
      <c r="B42" s="66" t="s">
        <v>5967</v>
      </c>
      <c r="C42" s="66" t="s">
        <v>5968</v>
      </c>
      <c r="D42" s="66">
        <v>0</v>
      </c>
      <c r="E42" s="66" t="s">
        <v>129</v>
      </c>
      <c r="G42" s="66" t="s">
        <v>5969</v>
      </c>
      <c r="H42" s="66" t="s">
        <v>5970</v>
      </c>
    </row>
    <row r="43" spans="1:8" x14ac:dyDescent="0.15">
      <c r="A43" s="66">
        <v>124</v>
      </c>
      <c r="B43" s="66" t="s">
        <v>5971</v>
      </c>
      <c r="C43" s="66" t="s">
        <v>5972</v>
      </c>
      <c r="D43" s="66">
        <v>0</v>
      </c>
      <c r="E43" s="66" t="s">
        <v>129</v>
      </c>
      <c r="G43" s="66" t="s">
        <v>5973</v>
      </c>
      <c r="H43" s="66" t="s">
        <v>5974</v>
      </c>
    </row>
    <row r="44" spans="1:8" x14ac:dyDescent="0.15">
      <c r="A44" s="66">
        <v>125</v>
      </c>
      <c r="B44" s="66" t="s">
        <v>5975</v>
      </c>
      <c r="C44" s="66" t="s">
        <v>5976</v>
      </c>
      <c r="D44" s="66">
        <v>0</v>
      </c>
      <c r="E44" s="66" t="s">
        <v>129</v>
      </c>
      <c r="G44" s="66" t="s">
        <v>5876</v>
      </c>
      <c r="H44" s="66" t="s">
        <v>5977</v>
      </c>
    </row>
    <row r="45" spans="1:8" x14ac:dyDescent="0.15">
      <c r="A45" s="66">
        <v>129</v>
      </c>
      <c r="B45" s="66" t="s">
        <v>5978</v>
      </c>
      <c r="C45" s="66" t="s">
        <v>5979</v>
      </c>
      <c r="D45" s="66">
        <v>0</v>
      </c>
      <c r="E45" s="66" t="s">
        <v>129</v>
      </c>
      <c r="G45" s="66" t="s">
        <v>5876</v>
      </c>
      <c r="H45" s="66" t="s">
        <v>5980</v>
      </c>
    </row>
    <row r="46" spans="1:8" x14ac:dyDescent="0.15">
      <c r="A46" s="66">
        <v>137</v>
      </c>
      <c r="B46" s="66" t="s">
        <v>5981</v>
      </c>
      <c r="C46" s="66" t="s">
        <v>5982</v>
      </c>
      <c r="D46" s="66">
        <v>0</v>
      </c>
      <c r="E46" s="66" t="s">
        <v>129</v>
      </c>
      <c r="G46" s="66" t="s">
        <v>5983</v>
      </c>
      <c r="H46" s="66" t="s">
        <v>5984</v>
      </c>
    </row>
    <row r="47" spans="1:8" x14ac:dyDescent="0.15">
      <c r="A47" s="66">
        <v>170</v>
      </c>
      <c r="B47" s="66" t="s">
        <v>5985</v>
      </c>
      <c r="C47" s="66" t="s">
        <v>5986</v>
      </c>
      <c r="D47" s="66">
        <v>0</v>
      </c>
      <c r="E47" s="66" t="s">
        <v>129</v>
      </c>
      <c r="G47" s="66" t="s">
        <v>5902</v>
      </c>
    </row>
    <row r="48" spans="1:8" x14ac:dyDescent="0.15">
      <c r="A48" s="66">
        <v>171</v>
      </c>
      <c r="B48" s="66" t="s">
        <v>5987</v>
      </c>
      <c r="C48" s="66" t="s">
        <v>5988</v>
      </c>
      <c r="D48" s="66">
        <v>0</v>
      </c>
      <c r="E48" s="66" t="s">
        <v>129</v>
      </c>
      <c r="G48" s="66" t="s">
        <v>5983</v>
      </c>
      <c r="H48" s="66" t="s">
        <v>5989</v>
      </c>
    </row>
    <row r="49" spans="1:8" x14ac:dyDescent="0.15">
      <c r="A49" s="66">
        <v>138</v>
      </c>
      <c r="B49" s="66" t="s">
        <v>5990</v>
      </c>
      <c r="C49" s="66" t="s">
        <v>5991</v>
      </c>
      <c r="D49" s="66">
        <v>0</v>
      </c>
      <c r="E49" s="66" t="s">
        <v>129</v>
      </c>
      <c r="G49" s="66" t="s">
        <v>5848</v>
      </c>
      <c r="H49" s="66" t="s">
        <v>5992</v>
      </c>
    </row>
    <row r="50" spans="1:8" x14ac:dyDescent="0.15">
      <c r="A50" s="66">
        <v>139</v>
      </c>
      <c r="B50" s="66" t="s">
        <v>5993</v>
      </c>
      <c r="C50" s="66" t="s">
        <v>5994</v>
      </c>
      <c r="D50" s="66">
        <v>0</v>
      </c>
      <c r="E50" s="66" t="s">
        <v>129</v>
      </c>
      <c r="G50" s="66" t="s">
        <v>5876</v>
      </c>
      <c r="H50" s="66" t="s">
        <v>5995</v>
      </c>
    </row>
    <row r="51" spans="1:8" x14ac:dyDescent="0.15">
      <c r="A51" s="66">
        <v>141</v>
      </c>
      <c r="B51" s="66" t="s">
        <v>5996</v>
      </c>
      <c r="C51" s="66" t="s">
        <v>5997</v>
      </c>
      <c r="D51" s="66">
        <v>0</v>
      </c>
      <c r="E51" s="66" t="s">
        <v>129</v>
      </c>
      <c r="G51" s="66" t="s">
        <v>5851</v>
      </c>
      <c r="H51" s="66" t="s">
        <v>5998</v>
      </c>
    </row>
    <row r="52" spans="1:8" x14ac:dyDescent="0.15">
      <c r="A52" s="66">
        <v>142</v>
      </c>
      <c r="B52" s="66" t="s">
        <v>5999</v>
      </c>
      <c r="C52" s="66" t="s">
        <v>6000</v>
      </c>
      <c r="D52" s="66">
        <v>0</v>
      </c>
      <c r="E52" s="66" t="s">
        <v>129</v>
      </c>
      <c r="G52" s="66" t="s">
        <v>5857</v>
      </c>
      <c r="H52" s="66" t="s">
        <v>6001</v>
      </c>
    </row>
    <row r="53" spans="1:8" x14ac:dyDescent="0.15">
      <c r="A53" s="66">
        <v>143</v>
      </c>
      <c r="B53" s="66" t="s">
        <v>6002</v>
      </c>
      <c r="C53" s="66" t="s">
        <v>6003</v>
      </c>
      <c r="D53" s="66">
        <v>0</v>
      </c>
      <c r="E53" s="66" t="s">
        <v>129</v>
      </c>
      <c r="G53" s="66" t="s">
        <v>5876</v>
      </c>
      <c r="H53" s="66" t="s">
        <v>6004</v>
      </c>
    </row>
    <row r="54" spans="1:8" x14ac:dyDescent="0.15">
      <c r="A54" s="66">
        <v>145</v>
      </c>
      <c r="B54" s="66" t="s">
        <v>6005</v>
      </c>
      <c r="C54" s="66" t="s">
        <v>6006</v>
      </c>
      <c r="D54" s="66">
        <v>0</v>
      </c>
      <c r="E54" s="66" t="s">
        <v>129</v>
      </c>
      <c r="G54" s="66" t="s">
        <v>5983</v>
      </c>
      <c r="H54" s="66" t="s">
        <v>6007</v>
      </c>
    </row>
    <row r="55" spans="1:8" x14ac:dyDescent="0.15">
      <c r="A55" s="66">
        <v>151</v>
      </c>
      <c r="B55" s="66" t="s">
        <v>6008</v>
      </c>
      <c r="C55" s="66" t="s">
        <v>6009</v>
      </c>
      <c r="D55" s="66">
        <v>0</v>
      </c>
      <c r="E55" s="66" t="s">
        <v>129</v>
      </c>
      <c r="G55" s="66" t="s">
        <v>5857</v>
      </c>
      <c r="H55" s="66" t="s">
        <v>6010</v>
      </c>
    </row>
    <row r="56" spans="1:8" x14ac:dyDescent="0.15">
      <c r="A56" s="66">
        <v>152</v>
      </c>
      <c r="B56" s="66" t="s">
        <v>6011</v>
      </c>
      <c r="C56" s="66" t="s">
        <v>6012</v>
      </c>
      <c r="D56" s="66">
        <v>0</v>
      </c>
      <c r="E56" s="66" t="s">
        <v>129</v>
      </c>
      <c r="G56" s="66" t="s">
        <v>5889</v>
      </c>
      <c r="H56" s="66" t="s">
        <v>6013</v>
      </c>
    </row>
    <row r="57" spans="1:8" x14ac:dyDescent="0.15">
      <c r="A57" s="66">
        <v>153</v>
      </c>
      <c r="B57" s="66" t="s">
        <v>6014</v>
      </c>
      <c r="C57" s="66" t="s">
        <v>6015</v>
      </c>
      <c r="D57" s="66">
        <v>0</v>
      </c>
      <c r="E57" s="66" t="s">
        <v>129</v>
      </c>
      <c r="G57" s="66" t="s">
        <v>5876</v>
      </c>
      <c r="H57" s="66" t="s">
        <v>6016</v>
      </c>
    </row>
    <row r="58" spans="1:8" x14ac:dyDescent="0.15">
      <c r="A58" s="66">
        <v>154</v>
      </c>
      <c r="B58" s="66" t="s">
        <v>6017</v>
      </c>
      <c r="C58" s="66" t="s">
        <v>6018</v>
      </c>
      <c r="D58" s="66">
        <v>0</v>
      </c>
      <c r="E58" s="66" t="s">
        <v>129</v>
      </c>
      <c r="G58" s="66" t="s">
        <v>5876</v>
      </c>
      <c r="H58" s="66" t="s">
        <v>6019</v>
      </c>
    </row>
    <row r="59" spans="1:8" x14ac:dyDescent="0.15">
      <c r="A59" s="66">
        <v>155</v>
      </c>
      <c r="B59" s="66" t="s">
        <v>6020</v>
      </c>
      <c r="C59" s="66" t="s">
        <v>6021</v>
      </c>
      <c r="D59" s="66">
        <v>0</v>
      </c>
      <c r="E59" s="66" t="s">
        <v>129</v>
      </c>
      <c r="G59" s="66" t="s">
        <v>6022</v>
      </c>
      <c r="H59" s="66" t="s">
        <v>6023</v>
      </c>
    </row>
    <row r="60" spans="1:8" x14ac:dyDescent="0.15">
      <c r="A60" s="66">
        <v>156</v>
      </c>
      <c r="B60" s="66" t="s">
        <v>6024</v>
      </c>
      <c r="C60" s="66" t="s">
        <v>6025</v>
      </c>
      <c r="D60" s="66">
        <v>0</v>
      </c>
      <c r="E60" s="66" t="s">
        <v>129</v>
      </c>
      <c r="G60" s="66" t="s">
        <v>6026</v>
      </c>
      <c r="H60" s="66" t="s">
        <v>6027</v>
      </c>
    </row>
    <row r="61" spans="1:8" x14ac:dyDescent="0.15">
      <c r="A61" s="66">
        <v>157</v>
      </c>
      <c r="B61" s="66" t="s">
        <v>6028</v>
      </c>
      <c r="C61" s="66" t="s">
        <v>6029</v>
      </c>
      <c r="D61" s="66">
        <v>0</v>
      </c>
      <c r="E61" s="66" t="s">
        <v>129</v>
      </c>
      <c r="G61" s="66" t="s">
        <v>5902</v>
      </c>
      <c r="H61" s="66" t="s">
        <v>6030</v>
      </c>
    </row>
    <row r="62" spans="1:8" x14ac:dyDescent="0.15">
      <c r="A62" s="66">
        <v>158</v>
      </c>
      <c r="B62" s="66" t="s">
        <v>6031</v>
      </c>
      <c r="C62" s="66" t="s">
        <v>6032</v>
      </c>
      <c r="D62" s="66">
        <v>0</v>
      </c>
      <c r="E62" s="66" t="s">
        <v>129</v>
      </c>
      <c r="G62" s="66" t="s">
        <v>5902</v>
      </c>
      <c r="H62" s="66" t="s">
        <v>6033</v>
      </c>
    </row>
    <row r="63" spans="1:8" x14ac:dyDescent="0.15">
      <c r="A63" s="66">
        <v>159</v>
      </c>
      <c r="B63" s="66" t="s">
        <v>6034</v>
      </c>
      <c r="C63" s="66" t="s">
        <v>6035</v>
      </c>
      <c r="D63" s="66">
        <v>0</v>
      </c>
      <c r="E63" s="66" t="s">
        <v>129</v>
      </c>
      <c r="G63" s="66" t="s">
        <v>6036</v>
      </c>
      <c r="H63" s="66" t="s">
        <v>6037</v>
      </c>
    </row>
    <row r="64" spans="1:8" x14ac:dyDescent="0.15">
      <c r="A64" s="66">
        <v>160</v>
      </c>
      <c r="B64" s="66" t="s">
        <v>6038</v>
      </c>
      <c r="C64" s="66" t="s">
        <v>6039</v>
      </c>
      <c r="D64" s="66">
        <v>0</v>
      </c>
      <c r="E64" s="66" t="s">
        <v>129</v>
      </c>
      <c r="G64" s="66" t="s">
        <v>5909</v>
      </c>
      <c r="H64" s="66" t="s">
        <v>6040</v>
      </c>
    </row>
    <row r="65" spans="1:8" x14ac:dyDescent="0.15">
      <c r="A65" s="66">
        <v>161</v>
      </c>
      <c r="B65" s="66" t="s">
        <v>6041</v>
      </c>
      <c r="C65" s="66" t="s">
        <v>6042</v>
      </c>
      <c r="D65" s="66">
        <v>0</v>
      </c>
      <c r="E65" s="66" t="s">
        <v>129</v>
      </c>
      <c r="G65" s="66" t="s">
        <v>5909</v>
      </c>
      <c r="H65" s="66" t="s">
        <v>6043</v>
      </c>
    </row>
    <row r="66" spans="1:8" x14ac:dyDescent="0.15">
      <c r="A66" s="66">
        <v>162</v>
      </c>
      <c r="B66" s="66" t="s">
        <v>6044</v>
      </c>
      <c r="C66" s="66" t="s">
        <v>6045</v>
      </c>
      <c r="D66" s="66">
        <v>0</v>
      </c>
      <c r="E66" s="66" t="s">
        <v>129</v>
      </c>
      <c r="G66" s="66" t="s">
        <v>5876</v>
      </c>
      <c r="H66" s="66" t="s">
        <v>6046</v>
      </c>
    </row>
    <row r="67" spans="1:8" x14ac:dyDescent="0.15">
      <c r="A67" s="66">
        <v>163</v>
      </c>
      <c r="B67" s="66" t="s">
        <v>6047</v>
      </c>
      <c r="C67" s="66" t="s">
        <v>6048</v>
      </c>
      <c r="D67" s="66">
        <v>0</v>
      </c>
      <c r="E67" s="66" t="s">
        <v>129</v>
      </c>
      <c r="G67" s="66" t="s">
        <v>5956</v>
      </c>
      <c r="H67" s="66" t="s">
        <v>6049</v>
      </c>
    </row>
    <row r="68" spans="1:8" x14ac:dyDescent="0.15">
      <c r="A68" s="66">
        <v>164</v>
      </c>
      <c r="B68" s="66" t="s">
        <v>6050</v>
      </c>
      <c r="C68" s="66" t="s">
        <v>6051</v>
      </c>
      <c r="D68" s="66">
        <v>0</v>
      </c>
      <c r="E68" s="66" t="s">
        <v>129</v>
      </c>
      <c r="G68" s="66" t="s">
        <v>5902</v>
      </c>
      <c r="H68" s="66" t="s">
        <v>6052</v>
      </c>
    </row>
    <row r="69" spans="1:8" x14ac:dyDescent="0.15">
      <c r="A69" s="66">
        <v>165</v>
      </c>
      <c r="B69" s="66" t="s">
        <v>6053</v>
      </c>
      <c r="C69" s="66" t="s">
        <v>6054</v>
      </c>
      <c r="D69" s="66">
        <v>0</v>
      </c>
      <c r="E69" s="66" t="s">
        <v>129</v>
      </c>
      <c r="G69" s="66" t="s">
        <v>5956</v>
      </c>
      <c r="H69" s="66" t="s">
        <v>6055</v>
      </c>
    </row>
    <row r="70" spans="1:8" x14ac:dyDescent="0.15">
      <c r="A70" s="66">
        <v>166</v>
      </c>
      <c r="B70" s="66" t="s">
        <v>6056</v>
      </c>
      <c r="C70" s="66" t="s">
        <v>6057</v>
      </c>
      <c r="D70" s="66">
        <v>0</v>
      </c>
      <c r="E70" s="66" t="s">
        <v>129</v>
      </c>
      <c r="G70" s="66" t="s">
        <v>6058</v>
      </c>
      <c r="H70" s="66" t="s">
        <v>6059</v>
      </c>
    </row>
    <row r="71" spans="1:8" x14ac:dyDescent="0.15">
      <c r="A71" s="66">
        <v>167</v>
      </c>
      <c r="B71" s="66" t="s">
        <v>6060</v>
      </c>
      <c r="C71" s="66" t="s">
        <v>6061</v>
      </c>
      <c r="D71" s="66">
        <v>0</v>
      </c>
      <c r="E71" s="66" t="s">
        <v>129</v>
      </c>
      <c r="G71" s="66" t="s">
        <v>6026</v>
      </c>
      <c r="H71" s="66" t="s">
        <v>6062</v>
      </c>
    </row>
    <row r="72" spans="1:8" x14ac:dyDescent="0.15">
      <c r="A72" s="66">
        <v>168</v>
      </c>
      <c r="B72" s="66" t="s">
        <v>6063</v>
      </c>
      <c r="C72" s="66" t="s">
        <v>6064</v>
      </c>
      <c r="D72" s="66">
        <v>0</v>
      </c>
      <c r="E72" s="66" t="s">
        <v>129</v>
      </c>
      <c r="G72" s="66" t="s">
        <v>6026</v>
      </c>
      <c r="H72" s="66" t="s">
        <v>6065</v>
      </c>
    </row>
    <row r="73" spans="1:8" x14ac:dyDescent="0.15">
      <c r="A73" s="66">
        <v>169</v>
      </c>
      <c r="B73" s="66" t="s">
        <v>6066</v>
      </c>
      <c r="C73" s="66" t="s">
        <v>6067</v>
      </c>
      <c r="D73" s="66">
        <v>0</v>
      </c>
      <c r="E73" s="66" t="s">
        <v>129</v>
      </c>
      <c r="G73" s="66" t="s">
        <v>5851</v>
      </c>
      <c r="H73" s="66" t="s">
        <v>6068</v>
      </c>
    </row>
    <row r="74" spans="1:8" x14ac:dyDescent="0.15">
      <c r="A74" s="66">
        <v>172</v>
      </c>
      <c r="B74" s="66" t="s">
        <v>6069</v>
      </c>
      <c r="C74" s="66" t="s">
        <v>6070</v>
      </c>
      <c r="D74" s="66">
        <v>0</v>
      </c>
      <c r="E74" s="66" t="s">
        <v>129</v>
      </c>
      <c r="G74" s="66" t="s">
        <v>5889</v>
      </c>
      <c r="H74" s="66" t="s">
        <v>6071</v>
      </c>
    </row>
    <row r="75" spans="1:8" x14ac:dyDescent="0.15">
      <c r="A75" s="66">
        <v>175</v>
      </c>
      <c r="B75" s="66" t="s">
        <v>6072</v>
      </c>
      <c r="C75" s="66" t="s">
        <v>6073</v>
      </c>
      <c r="D75" s="66">
        <v>0</v>
      </c>
      <c r="E75" s="66" t="s">
        <v>129</v>
      </c>
      <c r="G75" s="66" t="s">
        <v>5857</v>
      </c>
      <c r="H75" s="66" t="s">
        <v>6074</v>
      </c>
    </row>
    <row r="76" spans="1:8" x14ac:dyDescent="0.15">
      <c r="A76" s="66">
        <v>176</v>
      </c>
      <c r="B76" s="66" t="s">
        <v>6075</v>
      </c>
      <c r="C76" s="66" t="s">
        <v>6076</v>
      </c>
      <c r="D76" s="66">
        <v>0</v>
      </c>
      <c r="E76" s="66" t="s">
        <v>129</v>
      </c>
      <c r="G76" s="66" t="s">
        <v>6077</v>
      </c>
      <c r="H76" s="66" t="s">
        <v>6078</v>
      </c>
    </row>
    <row r="77" spans="1:8" x14ac:dyDescent="0.15">
      <c r="A77" s="66">
        <v>15</v>
      </c>
      <c r="B77" s="66" t="s">
        <v>6079</v>
      </c>
      <c r="C77" s="66" t="s">
        <v>6080</v>
      </c>
      <c r="D77" s="66">
        <v>0</v>
      </c>
      <c r="E77" s="66" t="s">
        <v>129</v>
      </c>
      <c r="G77" s="66" t="s">
        <v>6081</v>
      </c>
    </row>
  </sheetData>
  <phoneticPr fontId="16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G370"/>
  <sheetViews>
    <sheetView workbookViewId="0">
      <pane ySplit="1" topLeftCell="A2" activePane="bottomLeft" state="frozen"/>
      <selection pane="bottomLeft" activeCell="P45" sqref="P45"/>
    </sheetView>
  </sheetViews>
  <sheetFormatPr defaultColWidth="9" defaultRowHeight="13.5" x14ac:dyDescent="0.15"/>
  <cols>
    <col min="1" max="2" width="9" style="31"/>
    <col min="3" max="3" width="11.875" style="31" customWidth="1"/>
    <col min="4" max="4" width="13.875" style="31" customWidth="1"/>
    <col min="5" max="9" width="9" style="31"/>
    <col min="10" max="10" width="12.375" style="31" customWidth="1"/>
    <col min="11" max="16384" width="9" style="31"/>
  </cols>
  <sheetData>
    <row r="1" spans="1:7" x14ac:dyDescent="0.15">
      <c r="A1" s="31" t="s">
        <v>6082</v>
      </c>
    </row>
    <row r="2" spans="1:7" x14ac:dyDescent="0.15">
      <c r="A2" s="31" t="s">
        <v>6083</v>
      </c>
      <c r="B2" s="31" t="s">
        <v>4328</v>
      </c>
      <c r="C2" s="31" t="s">
        <v>7</v>
      </c>
      <c r="D2" s="31" t="s">
        <v>6084</v>
      </c>
      <c r="F2" s="31" t="s">
        <v>6085</v>
      </c>
      <c r="G2" s="31" t="s">
        <v>6086</v>
      </c>
    </row>
    <row r="3" spans="1:7" x14ac:dyDescent="0.15">
      <c r="A3" s="31">
        <v>12</v>
      </c>
      <c r="B3" s="31" t="s">
        <v>228</v>
      </c>
      <c r="C3" s="63">
        <v>42288</v>
      </c>
      <c r="D3" s="64">
        <v>0.31486111111111098</v>
      </c>
      <c r="E3" s="31" t="s">
        <v>6087</v>
      </c>
      <c r="G3" s="31">
        <v>1</v>
      </c>
    </row>
    <row r="4" spans="1:7" x14ac:dyDescent="0.15">
      <c r="A4" s="31">
        <v>21</v>
      </c>
      <c r="B4" s="65" t="s">
        <v>6088</v>
      </c>
      <c r="C4" s="63">
        <v>42288</v>
      </c>
      <c r="D4" s="64">
        <v>0.31987268518518502</v>
      </c>
      <c r="E4" s="31" t="s">
        <v>6087</v>
      </c>
      <c r="G4" s="31">
        <v>1</v>
      </c>
    </row>
    <row r="5" spans="1:7" x14ac:dyDescent="0.15">
      <c r="A5" s="31">
        <v>22</v>
      </c>
      <c r="B5" s="65" t="s">
        <v>1878</v>
      </c>
      <c r="C5" s="63">
        <v>42288</v>
      </c>
      <c r="D5" s="64">
        <v>0.32018518518518502</v>
      </c>
      <c r="E5" s="31" t="s">
        <v>6087</v>
      </c>
      <c r="G5" s="31">
        <v>1</v>
      </c>
    </row>
    <row r="6" spans="1:7" x14ac:dyDescent="0.15">
      <c r="A6" s="31">
        <v>1</v>
      </c>
      <c r="B6" s="31" t="s">
        <v>226</v>
      </c>
      <c r="C6" s="63">
        <v>42288</v>
      </c>
      <c r="D6" s="64">
        <v>0.32083333333333303</v>
      </c>
      <c r="E6" s="31" t="s">
        <v>6087</v>
      </c>
      <c r="G6" s="31">
        <v>1</v>
      </c>
    </row>
    <row r="7" spans="1:7" x14ac:dyDescent="0.15">
      <c r="A7" s="31">
        <v>23</v>
      </c>
      <c r="B7" s="65" t="s">
        <v>1349</v>
      </c>
      <c r="C7" s="63">
        <v>42288</v>
      </c>
      <c r="D7" s="64">
        <v>0.32087962962963001</v>
      </c>
      <c r="E7" s="31" t="s">
        <v>6087</v>
      </c>
      <c r="G7" s="31">
        <v>1</v>
      </c>
    </row>
    <row r="8" spans="1:7" x14ac:dyDescent="0.15">
      <c r="A8" s="31">
        <v>24</v>
      </c>
      <c r="B8" s="65" t="s">
        <v>1558</v>
      </c>
      <c r="C8" s="63">
        <v>42288</v>
      </c>
      <c r="D8" s="64">
        <v>0.32122685185185201</v>
      </c>
      <c r="E8" s="31" t="s">
        <v>6087</v>
      </c>
      <c r="G8" s="31">
        <v>1</v>
      </c>
    </row>
    <row r="9" spans="1:7" x14ac:dyDescent="0.15">
      <c r="A9" s="31">
        <v>10</v>
      </c>
      <c r="B9" s="31" t="s">
        <v>1092</v>
      </c>
      <c r="C9" s="63">
        <v>42288</v>
      </c>
      <c r="D9" s="64">
        <v>0.32204861111111099</v>
      </c>
      <c r="E9" s="31" t="s">
        <v>6087</v>
      </c>
      <c r="G9" s="31">
        <v>1</v>
      </c>
    </row>
    <row r="10" spans="1:7" x14ac:dyDescent="0.15">
      <c r="A10" s="31">
        <v>26</v>
      </c>
      <c r="B10" s="31" t="s">
        <v>1199</v>
      </c>
      <c r="C10" s="63">
        <v>42288</v>
      </c>
      <c r="D10" s="64">
        <v>0.328472222222222</v>
      </c>
      <c r="E10" s="31" t="s">
        <v>6087</v>
      </c>
      <c r="G10" s="31">
        <v>1</v>
      </c>
    </row>
    <row r="11" spans="1:7" x14ac:dyDescent="0.15">
      <c r="A11" s="31">
        <v>13</v>
      </c>
      <c r="B11" s="31" t="s">
        <v>944</v>
      </c>
      <c r="C11" s="63">
        <v>42288</v>
      </c>
      <c r="D11" s="64">
        <v>0.328506944444444</v>
      </c>
      <c r="E11" s="31" t="s">
        <v>6087</v>
      </c>
      <c r="G11" s="31">
        <v>1</v>
      </c>
    </row>
    <row r="12" spans="1:7" x14ac:dyDescent="0.15">
      <c r="A12" s="31">
        <v>15</v>
      </c>
      <c r="B12" s="31" t="s">
        <v>232</v>
      </c>
      <c r="C12" s="63">
        <v>42288</v>
      </c>
      <c r="D12" s="64">
        <v>0.32872685185185202</v>
      </c>
      <c r="E12" s="31" t="s">
        <v>6089</v>
      </c>
      <c r="G12" s="31">
        <v>1</v>
      </c>
    </row>
    <row r="13" spans="1:7" x14ac:dyDescent="0.15">
      <c r="A13" s="31">
        <v>11</v>
      </c>
      <c r="B13" s="31" t="s">
        <v>1448</v>
      </c>
      <c r="C13" s="63">
        <v>42288</v>
      </c>
      <c r="D13" s="64">
        <v>0.328472222222222</v>
      </c>
      <c r="E13" s="31" t="s">
        <v>6087</v>
      </c>
      <c r="G13" s="31">
        <v>1</v>
      </c>
    </row>
    <row r="14" spans="1:7" x14ac:dyDescent="0.15">
      <c r="A14" s="31">
        <v>18</v>
      </c>
      <c r="B14" s="31" t="s">
        <v>835</v>
      </c>
      <c r="C14" s="63">
        <v>42288</v>
      </c>
      <c r="D14" s="64">
        <v>0.32946759259259301</v>
      </c>
      <c r="E14" s="31" t="s">
        <v>6087</v>
      </c>
      <c r="G14" s="31">
        <v>1</v>
      </c>
    </row>
    <row r="15" spans="1:7" x14ac:dyDescent="0.15">
      <c r="A15" s="31">
        <v>6</v>
      </c>
      <c r="B15" s="31" t="s">
        <v>1712</v>
      </c>
      <c r="C15" s="63">
        <v>42288</v>
      </c>
      <c r="D15" s="64">
        <v>0.33034722222222201</v>
      </c>
      <c r="E15" s="31" t="s">
        <v>6087</v>
      </c>
      <c r="G15" s="31">
        <v>1</v>
      </c>
    </row>
    <row r="16" spans="1:7" x14ac:dyDescent="0.15">
      <c r="A16" s="31">
        <v>7</v>
      </c>
      <c r="B16" s="31" t="s">
        <v>1130</v>
      </c>
      <c r="C16" s="63">
        <v>42288</v>
      </c>
      <c r="D16" s="64">
        <v>0.33081018518518501</v>
      </c>
      <c r="E16" s="31" t="s">
        <v>6087</v>
      </c>
      <c r="G16" s="31">
        <v>1</v>
      </c>
    </row>
    <row r="17" spans="1:7" x14ac:dyDescent="0.15">
      <c r="A17" s="31">
        <v>9</v>
      </c>
      <c r="B17" s="31" t="s">
        <v>1112</v>
      </c>
      <c r="C17" s="63">
        <v>42288</v>
      </c>
      <c r="D17" s="64">
        <v>0.33105324074074099</v>
      </c>
      <c r="E17" s="31" t="s">
        <v>6087</v>
      </c>
      <c r="G17" s="31">
        <v>1</v>
      </c>
    </row>
    <row r="18" spans="1:7" x14ac:dyDescent="0.15">
      <c r="A18" s="31">
        <v>4</v>
      </c>
      <c r="B18" s="31" t="s">
        <v>6090</v>
      </c>
      <c r="C18" s="63">
        <v>42288</v>
      </c>
      <c r="D18" s="64">
        <v>0.33129629629629598</v>
      </c>
      <c r="E18" s="31" t="s">
        <v>6087</v>
      </c>
      <c r="G18" s="31">
        <v>1</v>
      </c>
    </row>
    <row r="19" spans="1:7" x14ac:dyDescent="0.15">
      <c r="A19" s="31">
        <v>20</v>
      </c>
      <c r="B19" s="31" t="s">
        <v>413</v>
      </c>
      <c r="C19" s="63">
        <v>42288</v>
      </c>
      <c r="D19" s="64">
        <v>0.33134259259259302</v>
      </c>
      <c r="E19" s="31" t="s">
        <v>6087</v>
      </c>
      <c r="G19" s="31">
        <v>1</v>
      </c>
    </row>
    <row r="20" spans="1:7" x14ac:dyDescent="0.15">
      <c r="A20" s="31">
        <v>30</v>
      </c>
      <c r="B20" s="31" t="s">
        <v>378</v>
      </c>
      <c r="C20" s="63">
        <v>42288</v>
      </c>
      <c r="D20" s="64">
        <v>0.33268518518518497</v>
      </c>
      <c r="E20" s="31" t="s">
        <v>6087</v>
      </c>
      <c r="G20" s="31">
        <v>1</v>
      </c>
    </row>
    <row r="21" spans="1:7" x14ac:dyDescent="0.15">
      <c r="A21" s="31">
        <v>16</v>
      </c>
      <c r="B21" s="31" t="s">
        <v>1398</v>
      </c>
      <c r="C21" s="63">
        <v>42288</v>
      </c>
      <c r="D21" s="64">
        <v>0.33291666666666703</v>
      </c>
      <c r="E21" s="31" t="s">
        <v>6087</v>
      </c>
      <c r="G21" s="31">
        <v>1</v>
      </c>
    </row>
    <row r="22" spans="1:7" x14ac:dyDescent="0.15">
      <c r="A22" s="31">
        <v>6</v>
      </c>
      <c r="B22" s="31" t="s">
        <v>1712</v>
      </c>
      <c r="C22" s="63">
        <v>42288</v>
      </c>
      <c r="D22" s="64">
        <v>0.71180555555555503</v>
      </c>
      <c r="E22" s="31" t="s">
        <v>6087</v>
      </c>
      <c r="G22" s="31">
        <v>1</v>
      </c>
    </row>
    <row r="23" spans="1:7" x14ac:dyDescent="0.15">
      <c r="A23" s="31">
        <v>22</v>
      </c>
      <c r="B23" s="65" t="s">
        <v>1878</v>
      </c>
      <c r="C23" s="63">
        <v>42288</v>
      </c>
      <c r="D23" s="64">
        <v>0.71185185185185196</v>
      </c>
      <c r="E23" s="31" t="s">
        <v>6087</v>
      </c>
      <c r="G23" s="31">
        <v>1</v>
      </c>
    </row>
    <row r="24" spans="1:7" x14ac:dyDescent="0.15">
      <c r="A24" s="31">
        <v>11</v>
      </c>
      <c r="B24" s="31" t="s">
        <v>1448</v>
      </c>
      <c r="C24" s="63">
        <v>42288</v>
      </c>
      <c r="D24" s="64">
        <v>0.71458333333333302</v>
      </c>
      <c r="E24" s="31" t="s">
        <v>6087</v>
      </c>
      <c r="G24" s="31">
        <v>1</v>
      </c>
    </row>
    <row r="25" spans="1:7" x14ac:dyDescent="0.15">
      <c r="A25" s="31">
        <v>9</v>
      </c>
      <c r="B25" s="31" t="s">
        <v>1112</v>
      </c>
      <c r="C25" s="63">
        <v>42288</v>
      </c>
      <c r="D25" s="64">
        <v>0.71577546296296302</v>
      </c>
      <c r="E25" s="31" t="s">
        <v>6087</v>
      </c>
      <c r="G25" s="31">
        <v>1</v>
      </c>
    </row>
    <row r="26" spans="1:7" x14ac:dyDescent="0.15">
      <c r="A26" s="31">
        <v>21</v>
      </c>
      <c r="B26" s="31" t="s">
        <v>6088</v>
      </c>
      <c r="C26" s="63">
        <v>42288</v>
      </c>
      <c r="D26" s="64">
        <v>0.71674768518518495</v>
      </c>
      <c r="E26" s="31" t="s">
        <v>6087</v>
      </c>
      <c r="G26" s="31">
        <v>1</v>
      </c>
    </row>
    <row r="27" spans="1:7" x14ac:dyDescent="0.15">
      <c r="A27" s="31">
        <v>15</v>
      </c>
      <c r="B27" s="31" t="s">
        <v>232</v>
      </c>
      <c r="C27" s="63">
        <v>42288</v>
      </c>
      <c r="D27" s="64">
        <v>0.74539351851851798</v>
      </c>
      <c r="E27" s="31" t="s">
        <v>6089</v>
      </c>
      <c r="G27" s="31">
        <v>1</v>
      </c>
    </row>
    <row r="28" spans="1:7" x14ac:dyDescent="0.15">
      <c r="A28" s="31">
        <v>13</v>
      </c>
      <c r="B28" s="31" t="s">
        <v>944</v>
      </c>
      <c r="C28" s="63">
        <v>42288</v>
      </c>
      <c r="D28" s="64">
        <v>0.74552083333333297</v>
      </c>
      <c r="E28" s="31" t="s">
        <v>6087</v>
      </c>
      <c r="G28" s="31">
        <v>1</v>
      </c>
    </row>
    <row r="29" spans="1:7" x14ac:dyDescent="0.15">
      <c r="A29" s="31">
        <v>26</v>
      </c>
      <c r="B29" s="31" t="s">
        <v>1199</v>
      </c>
      <c r="C29" s="63">
        <v>42288</v>
      </c>
      <c r="D29" s="64">
        <v>0.74621527777777796</v>
      </c>
      <c r="E29" s="31" t="s">
        <v>6087</v>
      </c>
      <c r="G29" s="31">
        <v>1</v>
      </c>
    </row>
    <row r="30" spans="1:7" x14ac:dyDescent="0.15">
      <c r="A30" s="31">
        <v>7</v>
      </c>
      <c r="B30" s="31" t="s">
        <v>1130</v>
      </c>
      <c r="C30" s="63">
        <v>42288</v>
      </c>
      <c r="D30" s="64">
        <v>0.74747685185185198</v>
      </c>
      <c r="E30" s="31" t="s">
        <v>6087</v>
      </c>
      <c r="G30" s="31">
        <v>1</v>
      </c>
    </row>
    <row r="31" spans="1:7" x14ac:dyDescent="0.15">
      <c r="A31" s="31">
        <v>30</v>
      </c>
      <c r="B31" s="31" t="s">
        <v>378</v>
      </c>
      <c r="C31" s="63">
        <v>42288</v>
      </c>
      <c r="D31" s="64">
        <v>0.74726851851851805</v>
      </c>
      <c r="E31" s="31" t="s">
        <v>6087</v>
      </c>
      <c r="G31" s="31">
        <v>1</v>
      </c>
    </row>
    <row r="32" spans="1:7" x14ac:dyDescent="0.15">
      <c r="A32" s="31">
        <v>4</v>
      </c>
      <c r="B32" s="31" t="s">
        <v>6090</v>
      </c>
      <c r="C32" s="63">
        <v>42288</v>
      </c>
      <c r="D32" s="64">
        <v>0.74796296296296305</v>
      </c>
      <c r="E32" s="31" t="s">
        <v>6087</v>
      </c>
      <c r="G32" s="31">
        <v>1</v>
      </c>
    </row>
    <row r="33" spans="1:7" x14ac:dyDescent="0.15">
      <c r="A33" s="31">
        <v>24</v>
      </c>
      <c r="B33" s="31" t="s">
        <v>1558</v>
      </c>
      <c r="C33" s="63">
        <v>42288</v>
      </c>
      <c r="D33" s="64">
        <v>0.74799768518518495</v>
      </c>
      <c r="E33" s="31" t="s">
        <v>6087</v>
      </c>
      <c r="G33" s="31">
        <v>1</v>
      </c>
    </row>
    <row r="34" spans="1:7" x14ac:dyDescent="0.15">
      <c r="A34" s="31">
        <v>20</v>
      </c>
      <c r="B34" s="31" t="s">
        <v>413</v>
      </c>
      <c r="C34" s="63">
        <v>42288</v>
      </c>
      <c r="D34" s="64">
        <v>0.74800925925925899</v>
      </c>
      <c r="E34" s="31" t="s">
        <v>6087</v>
      </c>
      <c r="G34" s="31">
        <v>1</v>
      </c>
    </row>
    <row r="35" spans="1:7" x14ac:dyDescent="0.15">
      <c r="A35" s="31">
        <v>23</v>
      </c>
      <c r="B35" s="31" t="s">
        <v>1349</v>
      </c>
      <c r="C35" s="63">
        <v>42288</v>
      </c>
      <c r="D35" s="64">
        <v>0.75353009259259296</v>
      </c>
      <c r="E35" s="31" t="s">
        <v>6087</v>
      </c>
      <c r="G35" s="31">
        <v>1</v>
      </c>
    </row>
    <row r="36" spans="1:7" x14ac:dyDescent="0.15">
      <c r="A36" s="31">
        <v>12</v>
      </c>
      <c r="B36" s="31" t="s">
        <v>228</v>
      </c>
      <c r="C36" s="63">
        <v>42288</v>
      </c>
      <c r="D36" s="64">
        <v>0.87393518518518498</v>
      </c>
      <c r="E36" s="31" t="s">
        <v>6087</v>
      </c>
      <c r="G36" s="31">
        <v>1</v>
      </c>
    </row>
    <row r="37" spans="1:7" x14ac:dyDescent="0.15">
      <c r="A37" s="31">
        <v>1</v>
      </c>
      <c r="B37" s="31" t="s">
        <v>226</v>
      </c>
      <c r="C37" s="63">
        <v>42288</v>
      </c>
      <c r="D37" s="64">
        <v>0.875694444444444</v>
      </c>
      <c r="E37" s="31" t="s">
        <v>6087</v>
      </c>
      <c r="G37" s="31">
        <v>1</v>
      </c>
    </row>
    <row r="38" spans="1:7" x14ac:dyDescent="0.15">
      <c r="A38" s="31">
        <v>10</v>
      </c>
      <c r="B38" s="31" t="s">
        <v>1092</v>
      </c>
      <c r="C38" s="63">
        <v>42288</v>
      </c>
      <c r="D38" s="64">
        <v>0.90538194444444497</v>
      </c>
      <c r="E38" s="31" t="s">
        <v>6087</v>
      </c>
      <c r="G38" s="31">
        <v>1</v>
      </c>
    </row>
    <row r="39" spans="1:7" x14ac:dyDescent="0.15">
      <c r="A39" s="31">
        <v>18</v>
      </c>
      <c r="B39" s="31" t="s">
        <v>835</v>
      </c>
      <c r="C39" s="63">
        <v>42288</v>
      </c>
      <c r="D39" s="64">
        <v>0.91557870370370398</v>
      </c>
      <c r="E39" s="31" t="s">
        <v>6087</v>
      </c>
      <c r="G39" s="31">
        <v>1</v>
      </c>
    </row>
    <row r="40" spans="1:7" x14ac:dyDescent="0.15">
      <c r="A40" s="31">
        <v>16</v>
      </c>
      <c r="B40" s="31" t="s">
        <v>1398</v>
      </c>
      <c r="C40" s="63">
        <v>42288</v>
      </c>
      <c r="D40" s="64">
        <v>0.91625000000000001</v>
      </c>
      <c r="E40" s="31" t="s">
        <v>6087</v>
      </c>
      <c r="G40" s="31">
        <v>1</v>
      </c>
    </row>
    <row r="41" spans="1:7" x14ac:dyDescent="0.15">
      <c r="A41" s="31">
        <v>13</v>
      </c>
      <c r="B41" s="31" t="s">
        <v>944</v>
      </c>
      <c r="C41" s="63">
        <v>42289</v>
      </c>
      <c r="D41" s="64">
        <v>0.31506944444444401</v>
      </c>
      <c r="E41" s="31" t="s">
        <v>6087</v>
      </c>
      <c r="G41" s="31">
        <v>1</v>
      </c>
    </row>
    <row r="42" spans="1:7" x14ac:dyDescent="0.15">
      <c r="A42" s="31">
        <v>26</v>
      </c>
      <c r="B42" s="31" t="s">
        <v>1199</v>
      </c>
      <c r="C42" s="63">
        <v>42289</v>
      </c>
      <c r="D42" s="64">
        <v>0.31748842592592602</v>
      </c>
      <c r="E42" s="31" t="s">
        <v>6087</v>
      </c>
      <c r="G42" s="31">
        <v>1</v>
      </c>
    </row>
    <row r="43" spans="1:7" x14ac:dyDescent="0.15">
      <c r="A43" s="31">
        <v>6</v>
      </c>
      <c r="B43" s="31" t="s">
        <v>1712</v>
      </c>
      <c r="C43" s="63">
        <v>42289</v>
      </c>
      <c r="D43" s="64">
        <v>0.31957175925925901</v>
      </c>
      <c r="E43" s="31" t="s">
        <v>6087</v>
      </c>
      <c r="G43" s="31">
        <v>1</v>
      </c>
    </row>
    <row r="44" spans="1:7" x14ac:dyDescent="0.15">
      <c r="A44" s="31">
        <v>20</v>
      </c>
      <c r="B44" s="31" t="s">
        <v>413</v>
      </c>
      <c r="C44" s="63">
        <v>42289</v>
      </c>
      <c r="D44" s="64">
        <v>0.32023148148148101</v>
      </c>
      <c r="E44" s="31" t="s">
        <v>6087</v>
      </c>
      <c r="G44" s="31">
        <v>1</v>
      </c>
    </row>
    <row r="45" spans="1:7" x14ac:dyDescent="0.15">
      <c r="A45" s="31">
        <v>18</v>
      </c>
      <c r="B45" s="31" t="s">
        <v>835</v>
      </c>
      <c r="C45" s="63">
        <v>42289</v>
      </c>
      <c r="D45" s="64">
        <v>0.32064814814814802</v>
      </c>
      <c r="E45" s="31" t="s">
        <v>6087</v>
      </c>
      <c r="G45" s="31">
        <v>1</v>
      </c>
    </row>
    <row r="46" spans="1:7" x14ac:dyDescent="0.15">
      <c r="A46" s="31">
        <v>24</v>
      </c>
      <c r="B46" s="31" t="s">
        <v>1558</v>
      </c>
      <c r="C46" s="63">
        <v>42289</v>
      </c>
      <c r="D46" s="64">
        <v>0.32096064814814801</v>
      </c>
      <c r="E46" s="31" t="s">
        <v>6087</v>
      </c>
      <c r="G46" s="31">
        <v>1</v>
      </c>
    </row>
    <row r="47" spans="1:7" x14ac:dyDescent="0.15">
      <c r="A47" s="31">
        <v>23</v>
      </c>
      <c r="B47" s="31" t="s">
        <v>1349</v>
      </c>
      <c r="C47" s="63">
        <v>42289</v>
      </c>
      <c r="D47" s="64">
        <v>0.32107638888888901</v>
      </c>
      <c r="E47" s="31" t="s">
        <v>6087</v>
      </c>
      <c r="G47" s="31">
        <v>1</v>
      </c>
    </row>
    <row r="48" spans="1:7" x14ac:dyDescent="0.15">
      <c r="A48" s="31">
        <v>30</v>
      </c>
      <c r="B48" s="31" t="s">
        <v>378</v>
      </c>
      <c r="C48" s="63">
        <v>42289</v>
      </c>
      <c r="D48" s="64">
        <v>0.322199074074074</v>
      </c>
      <c r="E48" s="31" t="s">
        <v>6087</v>
      </c>
      <c r="G48" s="31">
        <v>1</v>
      </c>
    </row>
    <row r="49" spans="1:7" x14ac:dyDescent="0.15">
      <c r="A49" s="31">
        <v>4</v>
      </c>
      <c r="B49" s="31" t="s">
        <v>6090</v>
      </c>
      <c r="C49" s="63">
        <v>42289</v>
      </c>
      <c r="D49" s="64">
        <v>0.32358796296296299</v>
      </c>
      <c r="E49" s="31" t="s">
        <v>6087</v>
      </c>
      <c r="G49" s="31">
        <v>1</v>
      </c>
    </row>
    <row r="50" spans="1:7" x14ac:dyDescent="0.15">
      <c r="A50" s="31">
        <v>1</v>
      </c>
      <c r="B50" s="31" t="s">
        <v>226</v>
      </c>
      <c r="C50" s="63">
        <v>42289</v>
      </c>
      <c r="D50" s="64">
        <v>0.32361111111111102</v>
      </c>
      <c r="E50" s="31" t="s">
        <v>6087</v>
      </c>
      <c r="G50" s="31">
        <v>1</v>
      </c>
    </row>
    <row r="51" spans="1:7" x14ac:dyDescent="0.15">
      <c r="A51" s="31">
        <v>22</v>
      </c>
      <c r="B51" s="31" t="s">
        <v>1878</v>
      </c>
      <c r="C51" s="63">
        <v>42289</v>
      </c>
      <c r="D51" s="64">
        <v>0.324895833333333</v>
      </c>
      <c r="E51" s="31" t="s">
        <v>6087</v>
      </c>
      <c r="G51" s="31">
        <v>1</v>
      </c>
    </row>
    <row r="52" spans="1:7" x14ac:dyDescent="0.15">
      <c r="A52" s="31">
        <v>9</v>
      </c>
      <c r="B52" s="31" t="s">
        <v>1112</v>
      </c>
      <c r="C52" s="63">
        <v>42289</v>
      </c>
      <c r="D52" s="64">
        <v>0.32575231481481498</v>
      </c>
      <c r="E52" s="31" t="s">
        <v>6087</v>
      </c>
      <c r="G52" s="31">
        <v>1</v>
      </c>
    </row>
    <row r="53" spans="1:7" x14ac:dyDescent="0.15">
      <c r="A53" s="31">
        <v>12</v>
      </c>
      <c r="B53" s="31" t="s">
        <v>228</v>
      </c>
      <c r="C53" s="63">
        <v>42289</v>
      </c>
      <c r="D53" s="64">
        <v>0.32677083333333301</v>
      </c>
      <c r="E53" s="31" t="s">
        <v>6087</v>
      </c>
      <c r="G53" s="31">
        <v>1</v>
      </c>
    </row>
    <row r="54" spans="1:7" x14ac:dyDescent="0.15">
      <c r="A54" s="31">
        <v>16</v>
      </c>
      <c r="B54" s="31" t="s">
        <v>1398</v>
      </c>
      <c r="C54" s="63">
        <v>42289</v>
      </c>
      <c r="D54" s="64">
        <v>0.32753472222222202</v>
      </c>
      <c r="E54" s="31" t="s">
        <v>6087</v>
      </c>
      <c r="G54" s="31">
        <v>1</v>
      </c>
    </row>
    <row r="55" spans="1:7" x14ac:dyDescent="0.15">
      <c r="A55" s="31">
        <v>7</v>
      </c>
      <c r="B55" s="31" t="s">
        <v>1130</v>
      </c>
      <c r="C55" s="63">
        <v>42289</v>
      </c>
      <c r="D55" s="64">
        <v>0.32846064814814802</v>
      </c>
      <c r="E55" s="31" t="s">
        <v>6087</v>
      </c>
      <c r="G55" s="31">
        <v>1</v>
      </c>
    </row>
    <row r="56" spans="1:7" x14ac:dyDescent="0.15">
      <c r="A56" s="31">
        <v>15</v>
      </c>
      <c r="B56" s="31" t="s">
        <v>232</v>
      </c>
      <c r="C56" s="63">
        <v>42289</v>
      </c>
      <c r="D56" s="64">
        <v>0.32890046296296299</v>
      </c>
      <c r="E56" s="31" t="s">
        <v>6087</v>
      </c>
      <c r="G56" s="31">
        <v>1</v>
      </c>
    </row>
    <row r="57" spans="1:7" x14ac:dyDescent="0.15">
      <c r="A57" s="31">
        <v>2</v>
      </c>
      <c r="B57" s="31" t="s">
        <v>1241</v>
      </c>
      <c r="C57" s="63">
        <v>42289</v>
      </c>
      <c r="D57" s="64">
        <v>0.33113425925925899</v>
      </c>
      <c r="E57" s="31" t="s">
        <v>6087</v>
      </c>
      <c r="G57" s="31">
        <v>1</v>
      </c>
    </row>
    <row r="58" spans="1:7" x14ac:dyDescent="0.15">
      <c r="A58" s="31">
        <v>10</v>
      </c>
      <c r="B58" s="31" t="s">
        <v>1092</v>
      </c>
      <c r="C58" s="63">
        <v>42289</v>
      </c>
      <c r="D58" s="64">
        <v>0.332164351851852</v>
      </c>
      <c r="E58" s="31" t="s">
        <v>6087</v>
      </c>
      <c r="G58" s="31">
        <v>1</v>
      </c>
    </row>
    <row r="59" spans="1:7" x14ac:dyDescent="0.15">
      <c r="A59" s="31">
        <v>20</v>
      </c>
      <c r="B59" s="31" t="s">
        <v>413</v>
      </c>
      <c r="C59" s="63">
        <v>42289</v>
      </c>
      <c r="D59" s="64">
        <v>0.70981481481481501</v>
      </c>
      <c r="E59" s="31" t="s">
        <v>6087</v>
      </c>
      <c r="G59" s="31">
        <v>1</v>
      </c>
    </row>
    <row r="60" spans="1:7" x14ac:dyDescent="0.15">
      <c r="A60" s="31">
        <v>4</v>
      </c>
      <c r="B60" s="31" t="s">
        <v>6090</v>
      </c>
      <c r="C60" s="63">
        <v>42289</v>
      </c>
      <c r="D60" s="64">
        <v>0.71408564814814801</v>
      </c>
      <c r="E60" s="31" t="s">
        <v>6087</v>
      </c>
      <c r="G60" s="31">
        <v>1</v>
      </c>
    </row>
    <row r="61" spans="1:7" x14ac:dyDescent="0.15">
      <c r="A61" s="31">
        <v>30</v>
      </c>
      <c r="B61" s="31" t="s">
        <v>378</v>
      </c>
      <c r="C61" s="63">
        <v>42289</v>
      </c>
      <c r="D61" s="64">
        <v>0.72103009259259299</v>
      </c>
      <c r="E61" s="31" t="s">
        <v>6087</v>
      </c>
      <c r="G61" s="31">
        <v>1</v>
      </c>
    </row>
    <row r="62" spans="1:7" x14ac:dyDescent="0.15">
      <c r="A62" s="31">
        <v>7</v>
      </c>
      <c r="B62" s="31" t="s">
        <v>1130</v>
      </c>
      <c r="C62" s="63">
        <v>42289</v>
      </c>
      <c r="D62" s="64">
        <v>0.71603009259259298</v>
      </c>
      <c r="E62" s="31" t="s">
        <v>6087</v>
      </c>
      <c r="G62" s="31">
        <v>1</v>
      </c>
    </row>
    <row r="63" spans="1:7" x14ac:dyDescent="0.15">
      <c r="A63" s="31">
        <v>2</v>
      </c>
      <c r="B63" s="31" t="s">
        <v>1241</v>
      </c>
      <c r="C63" s="63">
        <v>42289</v>
      </c>
      <c r="D63" s="64">
        <v>0.71671296296296305</v>
      </c>
      <c r="E63" s="31" t="s">
        <v>6087</v>
      </c>
      <c r="G63" s="31">
        <v>1</v>
      </c>
    </row>
    <row r="64" spans="1:7" x14ac:dyDescent="0.15">
      <c r="A64" s="31">
        <v>9</v>
      </c>
      <c r="B64" s="31" t="s">
        <v>1112</v>
      </c>
      <c r="C64" s="63">
        <v>42289</v>
      </c>
      <c r="D64" s="64">
        <v>0.71731481481481496</v>
      </c>
      <c r="E64" s="31" t="s">
        <v>6087</v>
      </c>
      <c r="G64" s="31">
        <v>1</v>
      </c>
    </row>
    <row r="65" spans="1:7" x14ac:dyDescent="0.15">
      <c r="A65" s="31">
        <v>15</v>
      </c>
      <c r="B65" s="31" t="s">
        <v>232</v>
      </c>
      <c r="C65" s="63">
        <v>42289</v>
      </c>
      <c r="D65" s="64">
        <v>0.72769675925925903</v>
      </c>
      <c r="E65" s="31" t="s">
        <v>6087</v>
      </c>
      <c r="G65" s="31">
        <v>1</v>
      </c>
    </row>
    <row r="66" spans="1:7" x14ac:dyDescent="0.15">
      <c r="A66" s="31">
        <v>16</v>
      </c>
      <c r="B66" s="31" t="s">
        <v>1398</v>
      </c>
      <c r="C66" s="63">
        <v>42289</v>
      </c>
      <c r="D66" s="64">
        <v>0.72781249999999997</v>
      </c>
      <c r="E66" s="31" t="s">
        <v>6087</v>
      </c>
      <c r="G66" s="31">
        <v>1</v>
      </c>
    </row>
    <row r="67" spans="1:7" x14ac:dyDescent="0.15">
      <c r="A67" s="31">
        <v>24</v>
      </c>
      <c r="B67" s="31" t="s">
        <v>1558</v>
      </c>
      <c r="C67" s="63">
        <v>42289</v>
      </c>
      <c r="D67" s="64">
        <v>0.72989583333333297</v>
      </c>
      <c r="E67" s="31" t="s">
        <v>6087</v>
      </c>
      <c r="G67" s="31">
        <v>1</v>
      </c>
    </row>
    <row r="68" spans="1:7" x14ac:dyDescent="0.15">
      <c r="A68" s="31">
        <v>23</v>
      </c>
      <c r="B68" s="31" t="s">
        <v>1349</v>
      </c>
      <c r="C68" s="63">
        <v>42289</v>
      </c>
      <c r="D68" s="64">
        <v>0.73012731481481496</v>
      </c>
      <c r="E68" s="31" t="s">
        <v>6087</v>
      </c>
      <c r="G68" s="31">
        <v>1</v>
      </c>
    </row>
    <row r="69" spans="1:7" x14ac:dyDescent="0.15">
      <c r="A69" s="31">
        <v>13</v>
      </c>
      <c r="B69" s="31" t="s">
        <v>944</v>
      </c>
      <c r="C69" s="63">
        <v>42289</v>
      </c>
      <c r="D69" s="64">
        <v>0.73173611111111103</v>
      </c>
      <c r="E69" s="31" t="s">
        <v>6087</v>
      </c>
      <c r="G69" s="31">
        <v>1</v>
      </c>
    </row>
    <row r="70" spans="1:7" x14ac:dyDescent="0.15">
      <c r="A70" s="31">
        <v>26</v>
      </c>
      <c r="B70" s="31" t="s">
        <v>1199</v>
      </c>
      <c r="C70" s="63">
        <v>42289</v>
      </c>
      <c r="D70" s="64">
        <v>0.73243055555555603</v>
      </c>
      <c r="E70" s="31" t="s">
        <v>6087</v>
      </c>
      <c r="G70" s="31">
        <v>1</v>
      </c>
    </row>
    <row r="71" spans="1:7" x14ac:dyDescent="0.15">
      <c r="A71" s="31">
        <v>12</v>
      </c>
      <c r="B71" s="31" t="s">
        <v>228</v>
      </c>
      <c r="C71" s="63">
        <v>42289</v>
      </c>
      <c r="D71" s="64">
        <v>0.83592592592592596</v>
      </c>
      <c r="E71" s="31" t="s">
        <v>6087</v>
      </c>
      <c r="G71" s="31">
        <v>1</v>
      </c>
    </row>
    <row r="72" spans="1:7" x14ac:dyDescent="0.15">
      <c r="A72" s="31">
        <v>6</v>
      </c>
      <c r="B72" s="31" t="s">
        <v>1712</v>
      </c>
      <c r="C72" s="63">
        <v>42289</v>
      </c>
      <c r="D72" s="64">
        <v>0.86023148148148199</v>
      </c>
      <c r="E72" s="31" t="s">
        <v>6087</v>
      </c>
      <c r="G72" s="31">
        <v>1</v>
      </c>
    </row>
    <row r="73" spans="1:7" x14ac:dyDescent="0.15">
      <c r="A73" s="31">
        <v>22</v>
      </c>
      <c r="B73" s="31" t="s">
        <v>1878</v>
      </c>
      <c r="C73" s="63">
        <v>42289</v>
      </c>
      <c r="D73" s="64">
        <v>0.86656250000000001</v>
      </c>
      <c r="E73" s="31" t="s">
        <v>6087</v>
      </c>
      <c r="G73" s="31">
        <v>1</v>
      </c>
    </row>
    <row r="74" spans="1:7" x14ac:dyDescent="0.15">
      <c r="A74" s="31">
        <v>1</v>
      </c>
      <c r="B74" s="31" t="s">
        <v>226</v>
      </c>
      <c r="C74" s="63">
        <v>42289</v>
      </c>
      <c r="D74" s="64">
        <v>0.88762731481481505</v>
      </c>
      <c r="E74" s="31" t="s">
        <v>6089</v>
      </c>
      <c r="G74" s="31">
        <v>1</v>
      </c>
    </row>
    <row r="75" spans="1:7" x14ac:dyDescent="0.15">
      <c r="A75" s="31">
        <v>10</v>
      </c>
      <c r="B75" s="31" t="s">
        <v>1092</v>
      </c>
      <c r="C75" s="63">
        <v>42289</v>
      </c>
      <c r="D75" s="64">
        <v>0.88771990740740703</v>
      </c>
      <c r="E75" s="31" t="s">
        <v>6087</v>
      </c>
      <c r="G75" s="31">
        <v>1</v>
      </c>
    </row>
    <row r="76" spans="1:7" x14ac:dyDescent="0.15">
      <c r="A76" s="31">
        <v>18</v>
      </c>
      <c r="B76" s="31" t="s">
        <v>835</v>
      </c>
      <c r="C76" s="63">
        <v>42289</v>
      </c>
      <c r="D76" s="64">
        <v>0.888009259259259</v>
      </c>
      <c r="E76" s="31" t="s">
        <v>6087</v>
      </c>
      <c r="G76" s="31">
        <v>1</v>
      </c>
    </row>
    <row r="77" spans="1:7" x14ac:dyDescent="0.15">
      <c r="A77" s="31">
        <v>26</v>
      </c>
      <c r="B77" s="31" t="s">
        <v>1199</v>
      </c>
      <c r="C77" s="63">
        <v>42289</v>
      </c>
      <c r="D77" s="64">
        <v>0.900821759259259</v>
      </c>
      <c r="E77" s="31" t="s">
        <v>6087</v>
      </c>
      <c r="G77" s="31">
        <v>1</v>
      </c>
    </row>
    <row r="78" spans="1:7" x14ac:dyDescent="0.15">
      <c r="A78" s="31">
        <v>12</v>
      </c>
      <c r="B78" s="31" t="s">
        <v>228</v>
      </c>
      <c r="C78" s="63">
        <v>42290</v>
      </c>
      <c r="D78" s="64">
        <v>0.314652777777778</v>
      </c>
      <c r="E78" s="31" t="s">
        <v>6087</v>
      </c>
      <c r="G78" s="31">
        <v>1</v>
      </c>
    </row>
    <row r="79" spans="1:7" x14ac:dyDescent="0.15">
      <c r="A79" s="31">
        <v>20</v>
      </c>
      <c r="B79" s="31" t="s">
        <v>413</v>
      </c>
      <c r="C79" s="63">
        <v>42290</v>
      </c>
      <c r="D79" s="64">
        <v>0.31790509259259297</v>
      </c>
      <c r="E79" s="31" t="s">
        <v>6087</v>
      </c>
      <c r="G79" s="31">
        <v>1</v>
      </c>
    </row>
    <row r="80" spans="1:7" x14ac:dyDescent="0.15">
      <c r="A80" s="31">
        <v>1</v>
      </c>
      <c r="B80" s="31" t="s">
        <v>226</v>
      </c>
      <c r="C80" s="63">
        <v>42290</v>
      </c>
      <c r="D80" s="64">
        <v>0.317962962962963</v>
      </c>
      <c r="E80" s="31" t="s">
        <v>6089</v>
      </c>
      <c r="G80" s="31">
        <v>1</v>
      </c>
    </row>
    <row r="81" spans="1:7" x14ac:dyDescent="0.15">
      <c r="A81" s="31">
        <v>10</v>
      </c>
      <c r="B81" s="31" t="s">
        <v>1092</v>
      </c>
      <c r="C81" s="63">
        <v>42290</v>
      </c>
      <c r="D81" s="64">
        <v>0.31886574074074098</v>
      </c>
      <c r="E81" s="31" t="s">
        <v>6087</v>
      </c>
      <c r="G81" s="31">
        <v>1</v>
      </c>
    </row>
    <row r="82" spans="1:7" x14ac:dyDescent="0.15">
      <c r="A82" s="31">
        <v>23</v>
      </c>
      <c r="B82" s="31" t="s">
        <v>1349</v>
      </c>
      <c r="C82" s="63">
        <v>42290</v>
      </c>
      <c r="D82" s="64">
        <v>0.31956018518518498</v>
      </c>
      <c r="E82" s="31" t="s">
        <v>6087</v>
      </c>
      <c r="G82" s="31">
        <v>1</v>
      </c>
    </row>
    <row r="83" spans="1:7" x14ac:dyDescent="0.15">
      <c r="A83" s="31">
        <v>24</v>
      </c>
      <c r="B83" s="31" t="s">
        <v>1558</v>
      </c>
      <c r="C83" s="63">
        <v>42290</v>
      </c>
      <c r="D83" s="64">
        <v>0.31967592592592597</v>
      </c>
      <c r="E83" s="31" t="s">
        <v>6087</v>
      </c>
      <c r="G83" s="31">
        <v>1</v>
      </c>
    </row>
    <row r="84" spans="1:7" x14ac:dyDescent="0.15">
      <c r="A84" s="31">
        <v>26</v>
      </c>
      <c r="B84" s="31" t="s">
        <v>1199</v>
      </c>
      <c r="C84" s="63">
        <v>42290</v>
      </c>
      <c r="D84" s="64">
        <v>0.32512731481481499</v>
      </c>
      <c r="E84" s="31" t="s">
        <v>6087</v>
      </c>
      <c r="G84" s="31">
        <v>1</v>
      </c>
    </row>
    <row r="85" spans="1:7" x14ac:dyDescent="0.15">
      <c r="A85" s="31">
        <v>13</v>
      </c>
      <c r="B85" s="31" t="s">
        <v>944</v>
      </c>
      <c r="C85" s="63">
        <v>42290</v>
      </c>
      <c r="D85" s="64">
        <v>0.32524305555555599</v>
      </c>
      <c r="E85" s="31" t="s">
        <v>6087</v>
      </c>
      <c r="G85" s="31">
        <v>1</v>
      </c>
    </row>
    <row r="86" spans="1:7" x14ac:dyDescent="0.15">
      <c r="A86" s="31">
        <v>16</v>
      </c>
      <c r="B86" s="31" t="s">
        <v>1398</v>
      </c>
      <c r="C86" s="63">
        <v>42290</v>
      </c>
      <c r="D86" s="64">
        <v>0.32707175925925902</v>
      </c>
      <c r="E86" s="31" t="s">
        <v>6087</v>
      </c>
      <c r="G86" s="31">
        <v>1</v>
      </c>
    </row>
    <row r="87" spans="1:7" x14ac:dyDescent="0.15">
      <c r="A87" s="31">
        <v>22</v>
      </c>
      <c r="B87" s="31" t="s">
        <v>1878</v>
      </c>
      <c r="C87" s="63">
        <v>42290</v>
      </c>
      <c r="D87" s="64">
        <v>0.32767361111111099</v>
      </c>
      <c r="E87" s="31" t="s">
        <v>6087</v>
      </c>
      <c r="G87" s="31">
        <v>1</v>
      </c>
    </row>
    <row r="88" spans="1:7" x14ac:dyDescent="0.15">
      <c r="A88" s="31">
        <v>6</v>
      </c>
      <c r="B88" s="31" t="s">
        <v>1712</v>
      </c>
      <c r="C88" s="63">
        <v>42290</v>
      </c>
      <c r="D88" s="64">
        <v>0.33003472222222202</v>
      </c>
      <c r="E88" s="31" t="s">
        <v>6087</v>
      </c>
      <c r="G88" s="31">
        <v>1</v>
      </c>
    </row>
    <row r="89" spans="1:7" x14ac:dyDescent="0.15">
      <c r="A89" s="31">
        <v>18</v>
      </c>
      <c r="B89" s="31" t="s">
        <v>835</v>
      </c>
      <c r="C89" s="63">
        <v>42290</v>
      </c>
      <c r="D89" s="64">
        <v>0.33008101851851901</v>
      </c>
      <c r="E89" s="31" t="s">
        <v>6087</v>
      </c>
      <c r="G89" s="31">
        <v>1</v>
      </c>
    </row>
    <row r="90" spans="1:7" x14ac:dyDescent="0.15">
      <c r="A90" s="31">
        <v>15</v>
      </c>
      <c r="B90" s="31" t="s">
        <v>232</v>
      </c>
      <c r="C90" s="63">
        <v>42290</v>
      </c>
      <c r="D90" s="64">
        <v>0.33149305555555603</v>
      </c>
      <c r="E90" s="31" t="s">
        <v>6089</v>
      </c>
      <c r="G90" s="31">
        <v>1</v>
      </c>
    </row>
    <row r="91" spans="1:7" x14ac:dyDescent="0.15">
      <c r="A91" s="31">
        <v>9</v>
      </c>
      <c r="B91" s="31" t="s">
        <v>1112</v>
      </c>
      <c r="C91" s="63">
        <v>42290</v>
      </c>
      <c r="D91" s="64">
        <v>0.33175925925925898</v>
      </c>
      <c r="E91" s="31" t="s">
        <v>6087</v>
      </c>
      <c r="G91" s="31">
        <v>1</v>
      </c>
    </row>
    <row r="92" spans="1:7" x14ac:dyDescent="0.15">
      <c r="A92" s="31">
        <v>7</v>
      </c>
      <c r="B92" s="31" t="s">
        <v>1130</v>
      </c>
      <c r="C92" s="63">
        <v>42290</v>
      </c>
      <c r="D92" s="64">
        <v>0.33233796296296297</v>
      </c>
      <c r="E92" s="31" t="s">
        <v>6087</v>
      </c>
      <c r="G92" s="31">
        <v>1</v>
      </c>
    </row>
    <row r="93" spans="1:7" x14ac:dyDescent="0.15">
      <c r="A93" s="31">
        <v>30</v>
      </c>
      <c r="B93" s="31" t="s">
        <v>378</v>
      </c>
      <c r="C93" s="63">
        <v>42290</v>
      </c>
      <c r="D93" s="64">
        <v>0.33243055555555601</v>
      </c>
      <c r="E93" s="31" t="s">
        <v>6087</v>
      </c>
      <c r="G93" s="31">
        <v>1</v>
      </c>
    </row>
    <row r="94" spans="1:7" x14ac:dyDescent="0.15">
      <c r="A94" s="31">
        <v>4</v>
      </c>
      <c r="B94" s="31" t="s">
        <v>6090</v>
      </c>
      <c r="C94" s="63">
        <v>42290</v>
      </c>
      <c r="D94" s="64">
        <v>0.333125</v>
      </c>
      <c r="E94" s="31" t="s">
        <v>6087</v>
      </c>
      <c r="G94" s="31">
        <v>1</v>
      </c>
    </row>
    <row r="95" spans="1:7" x14ac:dyDescent="0.15">
      <c r="A95" s="31">
        <v>7</v>
      </c>
      <c r="B95" s="31" t="s">
        <v>1130</v>
      </c>
      <c r="C95" s="63">
        <v>42290</v>
      </c>
      <c r="D95" s="64">
        <v>0.71699074074074098</v>
      </c>
      <c r="E95" s="31" t="s">
        <v>6087</v>
      </c>
      <c r="G95" s="31">
        <v>1</v>
      </c>
    </row>
    <row r="96" spans="1:7" x14ac:dyDescent="0.15">
      <c r="A96" s="31">
        <v>6</v>
      </c>
      <c r="B96" s="31" t="s">
        <v>1712</v>
      </c>
      <c r="C96" s="63">
        <v>42290</v>
      </c>
      <c r="D96" s="64">
        <v>0.717094907407407</v>
      </c>
      <c r="E96" s="31" t="s">
        <v>6087</v>
      </c>
      <c r="G96" s="31">
        <v>1</v>
      </c>
    </row>
    <row r="97" spans="1:7" x14ac:dyDescent="0.15">
      <c r="A97" s="31">
        <v>30</v>
      </c>
      <c r="B97" s="31" t="s">
        <v>378</v>
      </c>
      <c r="C97" s="63">
        <v>42290</v>
      </c>
      <c r="D97" s="64">
        <v>0.731064814814815</v>
      </c>
      <c r="E97" s="31" t="s">
        <v>6087</v>
      </c>
      <c r="G97" s="31">
        <v>1</v>
      </c>
    </row>
    <row r="98" spans="1:7" x14ac:dyDescent="0.15">
      <c r="A98" s="31">
        <v>4</v>
      </c>
      <c r="B98" s="31" t="s">
        <v>6090</v>
      </c>
      <c r="C98" s="63">
        <v>42290</v>
      </c>
      <c r="D98" s="64">
        <v>0.731759259259259</v>
      </c>
      <c r="E98" s="31" t="s">
        <v>6087</v>
      </c>
      <c r="G98" s="31">
        <v>1</v>
      </c>
    </row>
    <row r="99" spans="1:7" x14ac:dyDescent="0.15">
      <c r="A99" s="31">
        <v>20</v>
      </c>
      <c r="B99" s="31" t="s">
        <v>413</v>
      </c>
      <c r="C99" s="63">
        <v>42290</v>
      </c>
      <c r="D99" s="64">
        <v>0.731793981481481</v>
      </c>
      <c r="E99" s="31" t="s">
        <v>6087</v>
      </c>
      <c r="G99" s="31">
        <v>1</v>
      </c>
    </row>
    <row r="100" spans="1:7" x14ac:dyDescent="0.15">
      <c r="A100" s="31">
        <v>23</v>
      </c>
      <c r="B100" s="31" t="s">
        <v>1349</v>
      </c>
      <c r="C100" s="63">
        <v>42290</v>
      </c>
      <c r="D100" s="64">
        <v>0.73283564814814794</v>
      </c>
      <c r="E100" s="31" t="s">
        <v>6087</v>
      </c>
      <c r="G100" s="31">
        <v>1</v>
      </c>
    </row>
    <row r="101" spans="1:7" x14ac:dyDescent="0.15">
      <c r="A101" s="31">
        <v>24</v>
      </c>
      <c r="B101" s="31" t="s">
        <v>1558</v>
      </c>
      <c r="C101" s="63">
        <v>42290</v>
      </c>
      <c r="D101" s="64">
        <v>0.73290509259259295</v>
      </c>
      <c r="E101" s="31" t="s">
        <v>6087</v>
      </c>
      <c r="G101" s="31">
        <v>1</v>
      </c>
    </row>
    <row r="102" spans="1:7" x14ac:dyDescent="0.15">
      <c r="A102" s="31">
        <v>9</v>
      </c>
      <c r="B102" s="31" t="s">
        <v>1112</v>
      </c>
      <c r="C102" s="63">
        <v>42290</v>
      </c>
      <c r="D102" s="64">
        <v>0.73857638888888899</v>
      </c>
      <c r="E102" s="31" t="s">
        <v>6087</v>
      </c>
      <c r="G102" s="31">
        <v>1</v>
      </c>
    </row>
    <row r="103" spans="1:7" x14ac:dyDescent="0.15">
      <c r="A103" s="31">
        <v>13</v>
      </c>
      <c r="B103" s="31" t="s">
        <v>944</v>
      </c>
      <c r="C103" s="63">
        <v>42290</v>
      </c>
      <c r="D103" s="64">
        <v>0.86715277777777799</v>
      </c>
      <c r="E103" s="31" t="s">
        <v>6087</v>
      </c>
      <c r="G103" s="31">
        <v>1</v>
      </c>
    </row>
    <row r="104" spans="1:7" x14ac:dyDescent="0.15">
      <c r="A104" s="31">
        <v>26</v>
      </c>
      <c r="B104" s="31" t="s">
        <v>1199</v>
      </c>
      <c r="C104" s="63">
        <v>42290</v>
      </c>
      <c r="D104" s="64">
        <v>0.86736111111111103</v>
      </c>
      <c r="E104" s="31" t="s">
        <v>6087</v>
      </c>
      <c r="G104" s="31">
        <v>1</v>
      </c>
    </row>
    <row r="105" spans="1:7" x14ac:dyDescent="0.15">
      <c r="A105" s="31">
        <v>16</v>
      </c>
      <c r="B105" s="31" t="s">
        <v>1398</v>
      </c>
      <c r="C105" s="63">
        <v>42290</v>
      </c>
      <c r="D105" s="64">
        <v>0.86754629629629598</v>
      </c>
      <c r="E105" s="31" t="s">
        <v>6087</v>
      </c>
      <c r="G105" s="31">
        <v>1</v>
      </c>
    </row>
    <row r="106" spans="1:7" x14ac:dyDescent="0.15">
      <c r="A106" s="31">
        <v>10</v>
      </c>
      <c r="B106" s="31" t="s">
        <v>1092</v>
      </c>
      <c r="C106" s="63">
        <v>42290</v>
      </c>
      <c r="D106" s="64">
        <v>0.87827546296296299</v>
      </c>
      <c r="E106" s="31" t="s">
        <v>6087</v>
      </c>
      <c r="G106" s="31">
        <v>1</v>
      </c>
    </row>
    <row r="107" spans="1:7" x14ac:dyDescent="0.15">
      <c r="A107" s="31">
        <v>22</v>
      </c>
      <c r="B107" s="31" t="s">
        <v>1878</v>
      </c>
      <c r="C107" s="63">
        <v>42290</v>
      </c>
      <c r="D107" s="64">
        <v>0.87881944444444404</v>
      </c>
      <c r="E107" s="31" t="s">
        <v>6087</v>
      </c>
      <c r="G107" s="31">
        <v>1</v>
      </c>
    </row>
    <row r="108" spans="1:7" x14ac:dyDescent="0.15">
      <c r="A108" s="31">
        <v>12</v>
      </c>
      <c r="B108" s="31" t="s">
        <v>228</v>
      </c>
      <c r="C108" s="63">
        <v>42290</v>
      </c>
      <c r="D108" s="64">
        <v>0.96222222222222198</v>
      </c>
      <c r="E108" s="31" t="s">
        <v>6087</v>
      </c>
      <c r="G108" s="31">
        <v>1</v>
      </c>
    </row>
    <row r="109" spans="1:7" x14ac:dyDescent="0.15">
      <c r="A109" s="31">
        <v>18</v>
      </c>
      <c r="B109" s="31" t="s">
        <v>835</v>
      </c>
      <c r="C109" s="63">
        <v>42290</v>
      </c>
      <c r="D109" s="64">
        <v>0.96295138888888898</v>
      </c>
      <c r="E109" s="31" t="s">
        <v>6087</v>
      </c>
      <c r="G109" s="31">
        <v>1</v>
      </c>
    </row>
    <row r="110" spans="1:7" x14ac:dyDescent="0.15">
      <c r="A110" s="31">
        <v>1</v>
      </c>
      <c r="B110" s="31" t="s">
        <v>226</v>
      </c>
      <c r="C110" s="63">
        <v>42290</v>
      </c>
      <c r="D110" s="64">
        <v>0.963055555555556</v>
      </c>
      <c r="E110" s="31" t="s">
        <v>6089</v>
      </c>
      <c r="G110" s="31">
        <v>1</v>
      </c>
    </row>
    <row r="111" spans="1:7" x14ac:dyDescent="0.15">
      <c r="A111" s="31">
        <v>15</v>
      </c>
      <c r="B111" s="31" t="s">
        <v>232</v>
      </c>
      <c r="C111" s="63">
        <v>42290</v>
      </c>
      <c r="D111" s="64">
        <v>0.99672453703703701</v>
      </c>
      <c r="E111" s="31" t="s">
        <v>6087</v>
      </c>
      <c r="G111" s="31">
        <v>1</v>
      </c>
    </row>
    <row r="112" spans="1:7" x14ac:dyDescent="0.15">
      <c r="A112" s="31">
        <v>26</v>
      </c>
      <c r="B112" s="31" t="s">
        <v>1199</v>
      </c>
      <c r="C112" s="63">
        <v>42291</v>
      </c>
      <c r="D112" s="64">
        <v>0.312384259259259</v>
      </c>
      <c r="E112" s="31" t="s">
        <v>6087</v>
      </c>
      <c r="G112" s="31">
        <v>1</v>
      </c>
    </row>
    <row r="113" spans="1:7" x14ac:dyDescent="0.15">
      <c r="A113" s="31">
        <v>13</v>
      </c>
      <c r="B113" s="31" t="s">
        <v>944</v>
      </c>
      <c r="C113" s="63">
        <v>42291</v>
      </c>
      <c r="D113" s="64">
        <v>0.313773148148148</v>
      </c>
      <c r="E113" s="31" t="s">
        <v>6087</v>
      </c>
      <c r="G113" s="31">
        <v>1</v>
      </c>
    </row>
    <row r="114" spans="1:7" x14ac:dyDescent="0.15">
      <c r="A114" s="31">
        <v>12</v>
      </c>
      <c r="B114" s="31" t="s">
        <v>228</v>
      </c>
      <c r="C114" s="63">
        <v>42291</v>
      </c>
      <c r="D114" s="64">
        <v>0.31457175925925901</v>
      </c>
      <c r="E114" s="31" t="s">
        <v>6087</v>
      </c>
      <c r="G114" s="31">
        <v>1</v>
      </c>
    </row>
    <row r="115" spans="1:7" x14ac:dyDescent="0.15">
      <c r="A115" s="31">
        <v>10</v>
      </c>
      <c r="B115" s="31" t="s">
        <v>1092</v>
      </c>
      <c r="C115" s="63">
        <v>42291</v>
      </c>
      <c r="D115" s="64">
        <v>0.31824074074074099</v>
      </c>
      <c r="E115" s="31" t="s">
        <v>6087</v>
      </c>
      <c r="G115" s="31">
        <v>1</v>
      </c>
    </row>
    <row r="116" spans="1:7" x14ac:dyDescent="0.15">
      <c r="A116" s="31">
        <v>14</v>
      </c>
      <c r="B116" s="31" t="s">
        <v>1327</v>
      </c>
      <c r="C116" s="63">
        <v>42291</v>
      </c>
      <c r="D116" s="64">
        <v>0.318425925925926</v>
      </c>
      <c r="E116" s="31" t="s">
        <v>6087</v>
      </c>
      <c r="G116" s="31">
        <v>1</v>
      </c>
    </row>
    <row r="117" spans="1:7" x14ac:dyDescent="0.15">
      <c r="A117" s="31">
        <v>24</v>
      </c>
      <c r="B117" s="31" t="s">
        <v>1558</v>
      </c>
      <c r="C117" s="63">
        <v>42291</v>
      </c>
      <c r="D117" s="64">
        <v>0.31982638888888898</v>
      </c>
      <c r="E117" s="31" t="s">
        <v>6087</v>
      </c>
      <c r="G117" s="31">
        <v>1</v>
      </c>
    </row>
    <row r="118" spans="1:7" x14ac:dyDescent="0.15">
      <c r="A118" s="31">
        <v>23</v>
      </c>
      <c r="B118" s="31" t="s">
        <v>1349</v>
      </c>
      <c r="C118" s="63">
        <v>42291</v>
      </c>
      <c r="D118" s="64">
        <v>0.319930555555556</v>
      </c>
      <c r="E118" s="31" t="s">
        <v>6087</v>
      </c>
      <c r="G118" s="31">
        <v>1</v>
      </c>
    </row>
    <row r="119" spans="1:7" x14ac:dyDescent="0.15">
      <c r="A119" s="31">
        <v>1</v>
      </c>
      <c r="B119" s="31" t="s">
        <v>226</v>
      </c>
      <c r="C119" s="63">
        <v>42291</v>
      </c>
      <c r="D119" s="64">
        <v>0.32060185185185203</v>
      </c>
      <c r="E119" s="31" t="s">
        <v>6087</v>
      </c>
      <c r="G119" s="31">
        <v>1</v>
      </c>
    </row>
    <row r="120" spans="1:7" x14ac:dyDescent="0.15">
      <c r="A120" s="31">
        <v>16</v>
      </c>
      <c r="B120" s="31" t="s">
        <v>1398</v>
      </c>
      <c r="C120" s="63">
        <v>42291</v>
      </c>
      <c r="D120" s="64">
        <v>0.321122685185185</v>
      </c>
      <c r="E120" s="31" t="s">
        <v>6087</v>
      </c>
      <c r="G120" s="31">
        <v>1</v>
      </c>
    </row>
    <row r="121" spans="1:7" x14ac:dyDescent="0.15">
      <c r="A121" s="31">
        <v>22</v>
      </c>
      <c r="B121" s="31" t="s">
        <v>1878</v>
      </c>
      <c r="C121" s="63">
        <v>42291</v>
      </c>
      <c r="D121" s="64">
        <v>0.32118055555555602</v>
      </c>
      <c r="E121" s="31" t="s">
        <v>6087</v>
      </c>
      <c r="G121" s="31">
        <v>1</v>
      </c>
    </row>
    <row r="122" spans="1:7" x14ac:dyDescent="0.15">
      <c r="A122" s="31">
        <v>20</v>
      </c>
      <c r="B122" s="31" t="s">
        <v>413</v>
      </c>
      <c r="C122" s="63">
        <v>42291</v>
      </c>
      <c r="D122" s="64">
        <v>0.327083333333333</v>
      </c>
      <c r="E122" s="31" t="s">
        <v>6087</v>
      </c>
      <c r="G122" s="31">
        <v>1</v>
      </c>
    </row>
    <row r="123" spans="1:7" x14ac:dyDescent="0.15">
      <c r="A123" s="31">
        <v>15</v>
      </c>
      <c r="B123" s="31" t="s">
        <v>232</v>
      </c>
      <c r="C123" s="63">
        <v>42291</v>
      </c>
      <c r="D123" s="64">
        <v>0.33005787037036999</v>
      </c>
      <c r="E123" s="31" t="s">
        <v>6087</v>
      </c>
      <c r="G123" s="31">
        <v>1</v>
      </c>
    </row>
    <row r="124" spans="1:7" x14ac:dyDescent="0.15">
      <c r="A124" s="31">
        <v>6</v>
      </c>
      <c r="B124" s="31" t="s">
        <v>1712</v>
      </c>
      <c r="C124" s="63">
        <v>42291</v>
      </c>
      <c r="D124" s="64">
        <v>0.33067129629629599</v>
      </c>
      <c r="E124" s="31" t="s">
        <v>6087</v>
      </c>
      <c r="G124" s="31">
        <v>1</v>
      </c>
    </row>
    <row r="125" spans="1:7" x14ac:dyDescent="0.15">
      <c r="A125" s="31">
        <v>18</v>
      </c>
      <c r="B125" s="31" t="s">
        <v>835</v>
      </c>
      <c r="C125" s="63">
        <v>42291</v>
      </c>
      <c r="D125" s="64">
        <v>0.33168981481481502</v>
      </c>
      <c r="E125" s="31" t="s">
        <v>6087</v>
      </c>
      <c r="G125" s="31">
        <v>1</v>
      </c>
    </row>
    <row r="126" spans="1:7" x14ac:dyDescent="0.15">
      <c r="A126" s="31">
        <v>7</v>
      </c>
      <c r="B126" s="31" t="s">
        <v>1130</v>
      </c>
      <c r="C126" s="63">
        <v>42291</v>
      </c>
      <c r="D126" s="64">
        <v>0.33194444444444399</v>
      </c>
      <c r="E126" s="31" t="s">
        <v>6087</v>
      </c>
      <c r="G126" s="31">
        <v>1</v>
      </c>
    </row>
    <row r="127" spans="1:7" x14ac:dyDescent="0.15">
      <c r="A127" s="31">
        <v>9</v>
      </c>
      <c r="B127" s="31" t="s">
        <v>1112</v>
      </c>
      <c r="C127" s="63">
        <v>42291</v>
      </c>
      <c r="D127" s="64">
        <v>0.332511574074074</v>
      </c>
      <c r="E127" s="31" t="s">
        <v>6087</v>
      </c>
      <c r="G127" s="31">
        <v>1</v>
      </c>
    </row>
    <row r="128" spans="1:7" x14ac:dyDescent="0.15">
      <c r="A128" s="31">
        <v>30</v>
      </c>
      <c r="B128" s="31" t="s">
        <v>378</v>
      </c>
      <c r="C128" s="63">
        <v>42291</v>
      </c>
      <c r="D128" s="64">
        <v>0.33252314814814798</v>
      </c>
      <c r="E128" s="31" t="s">
        <v>6087</v>
      </c>
      <c r="G128" s="31">
        <v>1</v>
      </c>
    </row>
    <row r="129" spans="1:7" x14ac:dyDescent="0.15">
      <c r="A129" s="31">
        <v>4</v>
      </c>
      <c r="B129" s="31" t="s">
        <v>6090</v>
      </c>
      <c r="C129" s="63">
        <v>42291</v>
      </c>
      <c r="D129" s="64">
        <v>0.332627314814815</v>
      </c>
      <c r="E129" s="31" t="s">
        <v>6087</v>
      </c>
      <c r="G129" s="31">
        <v>1</v>
      </c>
    </row>
    <row r="130" spans="1:7" x14ac:dyDescent="0.15">
      <c r="A130" s="31">
        <v>7</v>
      </c>
      <c r="B130" s="31" t="s">
        <v>1130</v>
      </c>
      <c r="C130" s="63">
        <v>42291</v>
      </c>
      <c r="D130" s="64">
        <v>0.71287037037037004</v>
      </c>
      <c r="E130" s="31" t="s">
        <v>6089</v>
      </c>
      <c r="G130" s="31">
        <v>1</v>
      </c>
    </row>
    <row r="131" spans="1:7" x14ac:dyDescent="0.15">
      <c r="A131" s="31">
        <v>9</v>
      </c>
      <c r="B131" s="31" t="s">
        <v>1112</v>
      </c>
      <c r="C131" s="63">
        <v>42291</v>
      </c>
      <c r="D131" s="64">
        <v>0.72185185185185197</v>
      </c>
      <c r="E131" s="31" t="s">
        <v>6087</v>
      </c>
      <c r="G131" s="31">
        <v>1</v>
      </c>
    </row>
    <row r="132" spans="1:7" x14ac:dyDescent="0.15">
      <c r="A132" s="31">
        <v>24</v>
      </c>
      <c r="B132" s="31" t="s">
        <v>1558</v>
      </c>
      <c r="C132" s="63">
        <v>42291</v>
      </c>
      <c r="D132" s="64">
        <v>0.72277777777777796</v>
      </c>
      <c r="E132" s="31" t="s">
        <v>6087</v>
      </c>
      <c r="G132" s="31">
        <v>1</v>
      </c>
    </row>
    <row r="133" spans="1:7" x14ac:dyDescent="0.15">
      <c r="A133" s="31">
        <v>23</v>
      </c>
      <c r="B133" s="31" t="s">
        <v>1349</v>
      </c>
      <c r="C133" s="63">
        <v>42291</v>
      </c>
      <c r="D133" s="64">
        <v>0.72324074074074096</v>
      </c>
      <c r="E133" s="31" t="s">
        <v>6087</v>
      </c>
      <c r="G133" s="31">
        <v>1</v>
      </c>
    </row>
    <row r="134" spans="1:7" x14ac:dyDescent="0.15">
      <c r="A134" s="31">
        <v>14</v>
      </c>
      <c r="B134" s="31" t="s">
        <v>1327</v>
      </c>
      <c r="C134" s="63">
        <v>42291</v>
      </c>
      <c r="D134" s="64">
        <v>0.72393518518518496</v>
      </c>
      <c r="E134" s="31" t="s">
        <v>6087</v>
      </c>
      <c r="G134" s="31">
        <v>1</v>
      </c>
    </row>
    <row r="135" spans="1:7" x14ac:dyDescent="0.15">
      <c r="A135" s="31">
        <v>4</v>
      </c>
      <c r="B135" s="31" t="s">
        <v>6090</v>
      </c>
      <c r="C135" s="63">
        <v>42291</v>
      </c>
      <c r="D135" s="64">
        <v>0.72547453703703701</v>
      </c>
      <c r="E135" s="31" t="s">
        <v>6087</v>
      </c>
      <c r="G135" s="31">
        <v>1</v>
      </c>
    </row>
    <row r="136" spans="1:7" x14ac:dyDescent="0.15">
      <c r="A136" s="31">
        <v>30</v>
      </c>
      <c r="B136" s="31" t="s">
        <v>378</v>
      </c>
      <c r="C136" s="63">
        <v>42291</v>
      </c>
      <c r="D136" s="64">
        <v>0.72755787037037001</v>
      </c>
      <c r="E136" s="31" t="s">
        <v>6087</v>
      </c>
      <c r="G136" s="31">
        <v>1</v>
      </c>
    </row>
    <row r="137" spans="1:7" x14ac:dyDescent="0.15">
      <c r="A137" s="31">
        <v>20</v>
      </c>
      <c r="B137" s="31" t="s">
        <v>413</v>
      </c>
      <c r="C137" s="63">
        <v>42291</v>
      </c>
      <c r="D137" s="64">
        <v>0.72986111111111096</v>
      </c>
      <c r="E137" s="31" t="s">
        <v>6087</v>
      </c>
      <c r="G137" s="31">
        <v>1</v>
      </c>
    </row>
    <row r="138" spans="1:7" x14ac:dyDescent="0.15">
      <c r="A138" s="31">
        <v>10</v>
      </c>
      <c r="B138" s="31" t="s">
        <v>1092</v>
      </c>
      <c r="C138" s="63">
        <v>42291</v>
      </c>
      <c r="D138" s="64">
        <v>0.78868055555555605</v>
      </c>
      <c r="E138" s="31" t="s">
        <v>6087</v>
      </c>
      <c r="G138" s="31">
        <v>1</v>
      </c>
    </row>
    <row r="139" spans="1:7" x14ac:dyDescent="0.15">
      <c r="A139" s="31">
        <v>1</v>
      </c>
      <c r="B139" s="31" t="s">
        <v>226</v>
      </c>
      <c r="C139" s="63">
        <v>42291</v>
      </c>
      <c r="D139" s="64">
        <v>0.78876157407407399</v>
      </c>
      <c r="E139" s="31" t="s">
        <v>6089</v>
      </c>
      <c r="G139" s="31">
        <v>1</v>
      </c>
    </row>
    <row r="140" spans="1:7" x14ac:dyDescent="0.15">
      <c r="A140" s="31">
        <v>6</v>
      </c>
      <c r="B140" s="31" t="s">
        <v>1712</v>
      </c>
      <c r="C140" s="63">
        <v>42291</v>
      </c>
      <c r="D140" s="64">
        <v>0.81646990740740699</v>
      </c>
      <c r="E140" s="31" t="s">
        <v>6087</v>
      </c>
      <c r="G140" s="31">
        <v>1</v>
      </c>
    </row>
    <row r="141" spans="1:7" x14ac:dyDescent="0.15">
      <c r="A141" s="31">
        <v>18</v>
      </c>
      <c r="B141" s="31" t="s">
        <v>835</v>
      </c>
      <c r="C141" s="63">
        <v>42291</v>
      </c>
      <c r="D141" s="64">
        <v>0.83960648148148198</v>
      </c>
      <c r="E141" s="31" t="s">
        <v>6087</v>
      </c>
      <c r="G141" s="31">
        <v>1</v>
      </c>
    </row>
    <row r="142" spans="1:7" x14ac:dyDescent="0.15">
      <c r="A142" s="31">
        <v>12</v>
      </c>
      <c r="B142" s="31" t="s">
        <v>228</v>
      </c>
      <c r="C142" s="63">
        <v>42291</v>
      </c>
      <c r="D142" s="64">
        <v>0.83979166666666705</v>
      </c>
      <c r="E142" s="31" t="s">
        <v>6087</v>
      </c>
      <c r="G142" s="31">
        <v>1</v>
      </c>
    </row>
    <row r="143" spans="1:7" x14ac:dyDescent="0.15">
      <c r="A143" s="31">
        <v>22</v>
      </c>
      <c r="B143" s="31" t="s">
        <v>1878</v>
      </c>
      <c r="C143" s="63">
        <v>42291</v>
      </c>
      <c r="D143" s="64">
        <v>0.84019675925925896</v>
      </c>
      <c r="E143" s="31" t="s">
        <v>6087</v>
      </c>
      <c r="G143" s="31">
        <v>1</v>
      </c>
    </row>
    <row r="144" spans="1:7" x14ac:dyDescent="0.15">
      <c r="A144" s="31">
        <v>15</v>
      </c>
      <c r="B144" s="31" t="s">
        <v>232</v>
      </c>
      <c r="C144" s="63">
        <v>42291</v>
      </c>
      <c r="D144" s="64">
        <v>0.85817129629629596</v>
      </c>
      <c r="E144" s="31" t="s">
        <v>6089</v>
      </c>
      <c r="G144" s="31">
        <v>1</v>
      </c>
    </row>
    <row r="145" spans="1:7" x14ac:dyDescent="0.15">
      <c r="A145" s="31">
        <v>16</v>
      </c>
      <c r="B145" s="31" t="s">
        <v>1398</v>
      </c>
      <c r="C145" s="63">
        <v>42291</v>
      </c>
      <c r="D145" s="64">
        <v>0.858217592592593</v>
      </c>
      <c r="E145" s="31" t="s">
        <v>6087</v>
      </c>
      <c r="G145" s="31">
        <v>1</v>
      </c>
    </row>
    <row r="146" spans="1:7" x14ac:dyDescent="0.15">
      <c r="A146" s="31">
        <v>26</v>
      </c>
      <c r="B146" s="31" t="s">
        <v>1199</v>
      </c>
      <c r="C146" s="63">
        <v>42291</v>
      </c>
      <c r="D146" s="64">
        <v>0.85833333333333295</v>
      </c>
      <c r="E146" s="31" t="s">
        <v>6087</v>
      </c>
      <c r="G146" s="31">
        <v>1</v>
      </c>
    </row>
    <row r="147" spans="1:7" x14ac:dyDescent="0.15">
      <c r="A147" s="31">
        <v>13</v>
      </c>
      <c r="B147" s="31" t="s">
        <v>944</v>
      </c>
      <c r="C147" s="63">
        <v>42291</v>
      </c>
      <c r="D147" s="64">
        <v>0.85885416666666703</v>
      </c>
      <c r="E147" s="31" t="s">
        <v>6087</v>
      </c>
      <c r="G147" s="31">
        <v>1</v>
      </c>
    </row>
    <row r="148" spans="1:7" x14ac:dyDescent="0.15">
      <c r="A148" s="31">
        <v>10</v>
      </c>
      <c r="B148" s="31" t="s">
        <v>1092</v>
      </c>
      <c r="C148" s="63">
        <v>42292</v>
      </c>
      <c r="D148" s="64">
        <v>0.31291666666666701</v>
      </c>
      <c r="E148" s="31" t="s">
        <v>6087</v>
      </c>
      <c r="G148" s="31">
        <v>1</v>
      </c>
    </row>
    <row r="149" spans="1:7" x14ac:dyDescent="0.15">
      <c r="A149" s="31">
        <v>22</v>
      </c>
      <c r="B149" s="31" t="s">
        <v>1878</v>
      </c>
      <c r="C149" s="63">
        <v>42292</v>
      </c>
      <c r="D149" s="64">
        <v>0.31929398148148103</v>
      </c>
      <c r="E149" s="31" t="s">
        <v>6087</v>
      </c>
      <c r="G149" s="31">
        <v>1</v>
      </c>
    </row>
    <row r="150" spans="1:7" x14ac:dyDescent="0.15">
      <c r="A150" s="31">
        <v>23</v>
      </c>
      <c r="B150" s="31" t="s">
        <v>1349</v>
      </c>
      <c r="C150" s="63">
        <v>42292</v>
      </c>
      <c r="D150" s="64">
        <v>0.32045138888888902</v>
      </c>
      <c r="E150" s="31" t="s">
        <v>6087</v>
      </c>
      <c r="G150" s="31">
        <v>1</v>
      </c>
    </row>
    <row r="151" spans="1:7" x14ac:dyDescent="0.15">
      <c r="A151" s="31">
        <v>12</v>
      </c>
      <c r="B151" s="31" t="s">
        <v>228</v>
      </c>
      <c r="C151" s="63">
        <v>42292</v>
      </c>
      <c r="D151" s="64">
        <v>0.32064814814814802</v>
      </c>
      <c r="E151" s="31" t="s">
        <v>6087</v>
      </c>
      <c r="G151" s="31">
        <v>1</v>
      </c>
    </row>
    <row r="152" spans="1:7" x14ac:dyDescent="0.15">
      <c r="A152" s="31">
        <v>24</v>
      </c>
      <c r="B152" s="31" t="s">
        <v>1558</v>
      </c>
      <c r="C152" s="63">
        <v>42292</v>
      </c>
      <c r="D152" s="64">
        <v>0.32068287037037002</v>
      </c>
      <c r="E152" s="31" t="s">
        <v>6087</v>
      </c>
      <c r="G152" s="31">
        <v>1</v>
      </c>
    </row>
    <row r="153" spans="1:7" x14ac:dyDescent="0.15">
      <c r="A153" s="31">
        <v>14</v>
      </c>
      <c r="B153" s="31" t="s">
        <v>1327</v>
      </c>
      <c r="C153" s="63">
        <v>42292</v>
      </c>
      <c r="D153" s="64">
        <v>0.32137731481481502</v>
      </c>
      <c r="E153" s="31" t="s">
        <v>6087</v>
      </c>
      <c r="G153" s="31">
        <v>1</v>
      </c>
    </row>
    <row r="154" spans="1:7" x14ac:dyDescent="0.15">
      <c r="A154" s="31">
        <v>16</v>
      </c>
      <c r="B154" s="31" t="s">
        <v>1398</v>
      </c>
      <c r="C154" s="63">
        <v>42292</v>
      </c>
      <c r="D154" s="64">
        <v>0.32307870370370401</v>
      </c>
      <c r="E154" s="31" t="s">
        <v>6087</v>
      </c>
      <c r="G154" s="31">
        <v>1</v>
      </c>
    </row>
    <row r="155" spans="1:7" x14ac:dyDescent="0.15">
      <c r="A155" s="31">
        <v>1</v>
      </c>
      <c r="B155" s="31" t="s">
        <v>226</v>
      </c>
      <c r="C155" s="63">
        <v>42292</v>
      </c>
      <c r="D155" s="64">
        <v>0.32342592592592601</v>
      </c>
      <c r="E155" s="31" t="s">
        <v>6089</v>
      </c>
      <c r="G155" s="31">
        <v>1</v>
      </c>
    </row>
    <row r="156" spans="1:7" x14ac:dyDescent="0.15">
      <c r="A156" s="31">
        <v>13</v>
      </c>
      <c r="B156" s="31" t="s">
        <v>944</v>
      </c>
      <c r="C156" s="63">
        <v>42292</v>
      </c>
      <c r="D156" s="64">
        <v>0.324236111111111</v>
      </c>
      <c r="E156" s="31" t="s">
        <v>6087</v>
      </c>
      <c r="G156" s="31">
        <v>1</v>
      </c>
    </row>
    <row r="157" spans="1:7" x14ac:dyDescent="0.15">
      <c r="A157" s="31">
        <v>26</v>
      </c>
      <c r="B157" s="31" t="s">
        <v>1199</v>
      </c>
      <c r="C157" s="63">
        <v>42292</v>
      </c>
      <c r="D157" s="64">
        <v>0.32429398148148098</v>
      </c>
      <c r="E157" s="31" t="s">
        <v>6087</v>
      </c>
      <c r="G157" s="31">
        <v>1</v>
      </c>
    </row>
    <row r="158" spans="1:7" x14ac:dyDescent="0.15">
      <c r="A158" s="31">
        <v>20</v>
      </c>
      <c r="B158" s="31" t="s">
        <v>413</v>
      </c>
      <c r="C158" s="63">
        <v>42292</v>
      </c>
      <c r="D158" s="64">
        <v>0.327430555555556</v>
      </c>
      <c r="E158" s="31" t="s">
        <v>6087</v>
      </c>
      <c r="G158" s="31">
        <v>1</v>
      </c>
    </row>
    <row r="159" spans="1:7" x14ac:dyDescent="0.15">
      <c r="A159" s="31">
        <v>6</v>
      </c>
      <c r="B159" s="31" t="s">
        <v>1712</v>
      </c>
      <c r="C159" s="63">
        <v>42292</v>
      </c>
      <c r="D159" s="64">
        <v>0.33068287037036997</v>
      </c>
      <c r="E159" s="31" t="s">
        <v>6087</v>
      </c>
      <c r="G159" s="31">
        <v>1</v>
      </c>
    </row>
    <row r="160" spans="1:7" x14ac:dyDescent="0.15">
      <c r="A160" s="31">
        <v>15</v>
      </c>
      <c r="B160" s="31" t="s">
        <v>232</v>
      </c>
      <c r="C160" s="63">
        <v>42292</v>
      </c>
      <c r="D160" s="64">
        <v>0.33136574074074099</v>
      </c>
      <c r="E160" s="31" t="s">
        <v>6087</v>
      </c>
      <c r="G160" s="31">
        <v>1</v>
      </c>
    </row>
    <row r="161" spans="1:7" x14ac:dyDescent="0.15">
      <c r="A161" s="31">
        <v>18</v>
      </c>
      <c r="B161" s="31" t="s">
        <v>835</v>
      </c>
      <c r="C161" s="63">
        <v>42292</v>
      </c>
      <c r="D161" s="64">
        <v>0.33202546296296298</v>
      </c>
      <c r="E161" s="31" t="s">
        <v>6087</v>
      </c>
      <c r="G161" s="31">
        <v>1</v>
      </c>
    </row>
    <row r="162" spans="1:7" x14ac:dyDescent="0.15">
      <c r="A162" s="31">
        <v>7</v>
      </c>
      <c r="B162" s="31" t="s">
        <v>1130</v>
      </c>
      <c r="C162" s="63">
        <v>42292</v>
      </c>
      <c r="D162" s="64">
        <v>0.33212962962963</v>
      </c>
      <c r="E162" s="31" t="s">
        <v>6087</v>
      </c>
      <c r="G162" s="31">
        <v>1</v>
      </c>
    </row>
    <row r="163" spans="1:7" x14ac:dyDescent="0.15">
      <c r="A163" s="31">
        <v>9</v>
      </c>
      <c r="B163" s="31" t="s">
        <v>1112</v>
      </c>
      <c r="C163" s="63">
        <v>42292</v>
      </c>
      <c r="D163" s="64">
        <v>0.33314814814814803</v>
      </c>
      <c r="E163" s="31" t="s">
        <v>6087</v>
      </c>
      <c r="G163" s="31">
        <v>1</v>
      </c>
    </row>
    <row r="164" spans="1:7" x14ac:dyDescent="0.15">
      <c r="A164" s="31">
        <v>30</v>
      </c>
      <c r="B164" s="31" t="s">
        <v>378</v>
      </c>
      <c r="C164" s="63">
        <v>42292</v>
      </c>
      <c r="D164" s="64">
        <v>0.333206018518519</v>
      </c>
      <c r="E164" s="31" t="s">
        <v>6087</v>
      </c>
      <c r="G164" s="31">
        <v>1</v>
      </c>
    </row>
    <row r="165" spans="1:7" x14ac:dyDescent="0.15">
      <c r="A165" s="31">
        <v>4</v>
      </c>
      <c r="B165" s="31" t="s">
        <v>6090</v>
      </c>
      <c r="C165" s="63">
        <v>42292</v>
      </c>
      <c r="D165" s="64">
        <v>0.33328703703703699</v>
      </c>
      <c r="E165" s="31" t="s">
        <v>6087</v>
      </c>
      <c r="G165" s="31">
        <v>1</v>
      </c>
    </row>
    <row r="166" spans="1:7" x14ac:dyDescent="0.15">
      <c r="A166" s="31">
        <v>7</v>
      </c>
      <c r="B166" s="31" t="s">
        <v>1130</v>
      </c>
      <c r="C166" s="63">
        <v>42292</v>
      </c>
      <c r="D166" s="64">
        <v>0.72704861111111097</v>
      </c>
      <c r="E166" s="31" t="s">
        <v>6087</v>
      </c>
      <c r="G166" s="31">
        <v>1</v>
      </c>
    </row>
    <row r="167" spans="1:7" x14ac:dyDescent="0.15">
      <c r="A167" s="31">
        <v>9</v>
      </c>
      <c r="B167" s="31" t="s">
        <v>1112</v>
      </c>
      <c r="C167" s="63">
        <v>42292</v>
      </c>
      <c r="D167" s="64">
        <v>0.72817129629629596</v>
      </c>
      <c r="E167" s="31" t="s">
        <v>6087</v>
      </c>
      <c r="G167" s="31">
        <v>1</v>
      </c>
    </row>
    <row r="168" spans="1:7" x14ac:dyDescent="0.15">
      <c r="A168" s="31">
        <v>30</v>
      </c>
      <c r="B168" s="31" t="s">
        <v>378</v>
      </c>
      <c r="C168" s="63">
        <v>42292</v>
      </c>
      <c r="D168" s="64">
        <v>0.72824074074074097</v>
      </c>
      <c r="E168" s="31" t="s">
        <v>6087</v>
      </c>
      <c r="G168" s="31">
        <v>1</v>
      </c>
    </row>
    <row r="169" spans="1:7" x14ac:dyDescent="0.15">
      <c r="A169" s="31">
        <v>4</v>
      </c>
      <c r="B169" s="31" t="s">
        <v>6090</v>
      </c>
      <c r="C169" s="63">
        <v>42292</v>
      </c>
      <c r="D169" s="64">
        <v>0.72828703703703701</v>
      </c>
      <c r="E169" s="31" t="s">
        <v>6087</v>
      </c>
      <c r="G169" s="31">
        <v>1</v>
      </c>
    </row>
    <row r="170" spans="1:7" x14ac:dyDescent="0.15">
      <c r="A170" s="31">
        <v>14</v>
      </c>
      <c r="B170" s="31" t="s">
        <v>1327</v>
      </c>
      <c r="C170" s="63">
        <v>42292</v>
      </c>
      <c r="D170" s="64">
        <v>0.81162037037037005</v>
      </c>
      <c r="E170" s="31" t="s">
        <v>6087</v>
      </c>
      <c r="G170" s="31">
        <v>1</v>
      </c>
    </row>
    <row r="171" spans="1:7" x14ac:dyDescent="0.15">
      <c r="A171" s="31">
        <v>24</v>
      </c>
      <c r="B171" s="31" t="s">
        <v>1558</v>
      </c>
      <c r="C171" s="63">
        <v>42292</v>
      </c>
      <c r="D171" s="64">
        <v>0.81302083333333297</v>
      </c>
      <c r="E171" s="31" t="s">
        <v>6087</v>
      </c>
      <c r="G171" s="31">
        <v>1</v>
      </c>
    </row>
    <row r="172" spans="1:7" x14ac:dyDescent="0.15">
      <c r="A172" s="31">
        <v>20</v>
      </c>
      <c r="B172" s="31" t="s">
        <v>413</v>
      </c>
      <c r="C172" s="63">
        <v>42292</v>
      </c>
      <c r="D172" s="64">
        <v>0.81354166666666705</v>
      </c>
      <c r="E172" s="31" t="s">
        <v>6087</v>
      </c>
      <c r="G172" s="31">
        <v>1</v>
      </c>
    </row>
    <row r="173" spans="1:7" x14ac:dyDescent="0.15">
      <c r="A173" s="31">
        <v>23</v>
      </c>
      <c r="B173" s="31" t="s">
        <v>1349</v>
      </c>
      <c r="C173" s="63">
        <v>42292</v>
      </c>
      <c r="D173" s="64">
        <v>0.81370370370370404</v>
      </c>
      <c r="E173" s="31" t="s">
        <v>6087</v>
      </c>
      <c r="G173" s="31">
        <v>1</v>
      </c>
    </row>
    <row r="174" spans="1:7" x14ac:dyDescent="0.15">
      <c r="A174" s="31">
        <v>12</v>
      </c>
      <c r="B174" s="31" t="s">
        <v>228</v>
      </c>
      <c r="C174" s="63">
        <v>42292</v>
      </c>
      <c r="D174" s="64">
        <v>0.81509259259259303</v>
      </c>
      <c r="E174" s="31" t="s">
        <v>6087</v>
      </c>
      <c r="G174" s="31">
        <v>1</v>
      </c>
    </row>
    <row r="175" spans="1:7" x14ac:dyDescent="0.15">
      <c r="A175" s="31">
        <v>22</v>
      </c>
      <c r="B175" s="31" t="s">
        <v>1878</v>
      </c>
      <c r="C175" s="63">
        <v>42292</v>
      </c>
      <c r="D175" s="64">
        <v>0.817962962962963</v>
      </c>
      <c r="E175" s="31" t="s">
        <v>6087</v>
      </c>
      <c r="G175" s="31">
        <v>1</v>
      </c>
    </row>
    <row r="176" spans="1:7" x14ac:dyDescent="0.15">
      <c r="A176" s="31">
        <v>16</v>
      </c>
      <c r="B176" s="31" t="s">
        <v>1398</v>
      </c>
      <c r="C176" s="63">
        <v>42292</v>
      </c>
      <c r="D176" s="64">
        <v>0.83638888888888896</v>
      </c>
      <c r="E176" s="31" t="s">
        <v>6087</v>
      </c>
      <c r="G176" s="31">
        <v>1</v>
      </c>
    </row>
    <row r="177" spans="1:7" x14ac:dyDescent="0.15">
      <c r="A177" s="31">
        <v>13</v>
      </c>
      <c r="B177" s="31" t="s">
        <v>944</v>
      </c>
      <c r="C177" s="63">
        <v>42292</v>
      </c>
      <c r="D177" s="64">
        <v>0.84734953703703697</v>
      </c>
      <c r="E177" s="31" t="s">
        <v>6087</v>
      </c>
      <c r="G177" s="31">
        <v>1</v>
      </c>
    </row>
    <row r="178" spans="1:7" x14ac:dyDescent="0.15">
      <c r="A178" s="31">
        <v>26</v>
      </c>
      <c r="B178" s="31" t="s">
        <v>1199</v>
      </c>
      <c r="C178" s="63">
        <v>42292</v>
      </c>
      <c r="D178" s="64">
        <v>0.84746527777777803</v>
      </c>
      <c r="E178" s="31" t="s">
        <v>6087</v>
      </c>
      <c r="G178" s="31">
        <v>1</v>
      </c>
    </row>
    <row r="179" spans="1:7" x14ac:dyDescent="0.15">
      <c r="A179" s="31">
        <v>18</v>
      </c>
      <c r="B179" s="31" t="s">
        <v>835</v>
      </c>
      <c r="C179" s="63">
        <v>42292</v>
      </c>
      <c r="D179" s="64">
        <v>0.84824074074074096</v>
      </c>
      <c r="E179" s="31" t="s">
        <v>6087</v>
      </c>
      <c r="G179" s="31">
        <v>1</v>
      </c>
    </row>
    <row r="180" spans="1:7" x14ac:dyDescent="0.15">
      <c r="A180" s="31">
        <v>6</v>
      </c>
      <c r="B180" s="31" t="s">
        <v>1712</v>
      </c>
      <c r="C180" s="63">
        <v>42292</v>
      </c>
      <c r="D180" s="64">
        <v>0.84922453703703704</v>
      </c>
      <c r="E180" s="31" t="s">
        <v>6087</v>
      </c>
      <c r="G180" s="31">
        <v>1</v>
      </c>
    </row>
    <row r="181" spans="1:7" x14ac:dyDescent="0.15">
      <c r="A181" s="31">
        <v>10</v>
      </c>
      <c r="B181" s="31" t="s">
        <v>1092</v>
      </c>
      <c r="C181" s="63">
        <v>42292</v>
      </c>
      <c r="D181" s="64">
        <v>0.84950231481481497</v>
      </c>
      <c r="E181" s="31" t="s">
        <v>6087</v>
      </c>
      <c r="G181" s="31">
        <v>1</v>
      </c>
    </row>
    <row r="182" spans="1:7" x14ac:dyDescent="0.15">
      <c r="A182" s="31">
        <v>1</v>
      </c>
      <c r="B182" s="31" t="s">
        <v>226</v>
      </c>
      <c r="C182" s="63">
        <v>42292</v>
      </c>
      <c r="D182" s="64">
        <v>0.84958333333333302</v>
      </c>
      <c r="E182" s="31" t="s">
        <v>6089</v>
      </c>
      <c r="G182" s="31">
        <v>1</v>
      </c>
    </row>
    <row r="183" spans="1:7" x14ac:dyDescent="0.15">
      <c r="A183" s="31">
        <v>15</v>
      </c>
      <c r="B183" s="31" t="s">
        <v>232</v>
      </c>
      <c r="C183" s="63">
        <v>42292</v>
      </c>
      <c r="D183" s="64">
        <v>0.85653935185185204</v>
      </c>
      <c r="E183" s="31" t="s">
        <v>6087</v>
      </c>
      <c r="G183" s="31">
        <v>1</v>
      </c>
    </row>
    <row r="184" spans="1:7" x14ac:dyDescent="0.15">
      <c r="A184" s="31">
        <v>12</v>
      </c>
      <c r="B184" s="31" t="s">
        <v>228</v>
      </c>
      <c r="C184" s="63">
        <v>42293</v>
      </c>
      <c r="D184" s="64">
        <v>0.31509259259259298</v>
      </c>
      <c r="E184" s="31" t="s">
        <v>6087</v>
      </c>
      <c r="G184" s="31">
        <v>1</v>
      </c>
    </row>
    <row r="185" spans="1:7" x14ac:dyDescent="0.15">
      <c r="A185" s="31">
        <v>22</v>
      </c>
      <c r="B185" s="31" t="s">
        <v>1878</v>
      </c>
      <c r="C185" s="63">
        <v>42293</v>
      </c>
      <c r="D185" s="64">
        <v>0.31657407407407401</v>
      </c>
      <c r="E185" s="31" t="s">
        <v>6087</v>
      </c>
      <c r="G185" s="31">
        <v>1</v>
      </c>
    </row>
    <row r="186" spans="1:7" x14ac:dyDescent="0.15">
      <c r="A186" s="31">
        <v>10</v>
      </c>
      <c r="B186" s="31" t="s">
        <v>1092</v>
      </c>
      <c r="C186" s="63">
        <v>42293</v>
      </c>
      <c r="D186" s="64">
        <v>0.31754629629629599</v>
      </c>
      <c r="E186" s="31" t="s">
        <v>6087</v>
      </c>
      <c r="G186" s="31">
        <v>1</v>
      </c>
    </row>
    <row r="187" spans="1:7" x14ac:dyDescent="0.15">
      <c r="A187" s="31">
        <v>18</v>
      </c>
      <c r="B187" s="31" t="s">
        <v>835</v>
      </c>
      <c r="C187" s="63">
        <v>42293</v>
      </c>
      <c r="D187" s="64">
        <v>0.31791666666666701</v>
      </c>
      <c r="E187" s="31" t="s">
        <v>6087</v>
      </c>
      <c r="G187" s="31">
        <v>1</v>
      </c>
    </row>
    <row r="188" spans="1:7" x14ac:dyDescent="0.15">
      <c r="A188" s="31">
        <v>27</v>
      </c>
      <c r="B188" s="31" t="s">
        <v>1915</v>
      </c>
      <c r="C188" s="63">
        <v>42293</v>
      </c>
      <c r="D188" s="64">
        <v>0.317962962962963</v>
      </c>
      <c r="E188" s="31" t="s">
        <v>6089</v>
      </c>
      <c r="G188" s="31">
        <v>1</v>
      </c>
    </row>
    <row r="189" spans="1:7" x14ac:dyDescent="0.15">
      <c r="A189" s="31">
        <v>1</v>
      </c>
      <c r="B189" s="31" t="s">
        <v>226</v>
      </c>
      <c r="C189" s="63">
        <v>42293</v>
      </c>
      <c r="D189" s="64">
        <v>0.31799768518518501</v>
      </c>
      <c r="E189" s="31" t="s">
        <v>6089</v>
      </c>
      <c r="G189" s="31">
        <v>1</v>
      </c>
    </row>
    <row r="190" spans="1:7" x14ac:dyDescent="0.15">
      <c r="A190" s="31">
        <v>14</v>
      </c>
      <c r="B190" s="31" t="s">
        <v>1327</v>
      </c>
      <c r="C190" s="63">
        <v>42293</v>
      </c>
      <c r="D190" s="64">
        <v>0.322928240740741</v>
      </c>
      <c r="E190" s="31" t="s">
        <v>6087</v>
      </c>
      <c r="G190" s="31">
        <v>1</v>
      </c>
    </row>
    <row r="191" spans="1:7" x14ac:dyDescent="0.15">
      <c r="A191" s="31">
        <v>25</v>
      </c>
      <c r="B191" s="31" t="s">
        <v>1502</v>
      </c>
      <c r="C191" s="63">
        <v>42293</v>
      </c>
      <c r="D191" s="64">
        <v>0.32303240740740702</v>
      </c>
      <c r="E191" s="31" t="s">
        <v>6087</v>
      </c>
      <c r="G191" s="31">
        <v>1</v>
      </c>
    </row>
    <row r="192" spans="1:7" x14ac:dyDescent="0.15">
      <c r="A192" s="31">
        <v>23</v>
      </c>
      <c r="B192" s="31" t="s">
        <v>1349</v>
      </c>
      <c r="C192" s="63">
        <v>42293</v>
      </c>
      <c r="D192" s="64">
        <v>0.32319444444444401</v>
      </c>
      <c r="E192" s="31" t="s">
        <v>6087</v>
      </c>
      <c r="G192" s="31">
        <v>1</v>
      </c>
    </row>
    <row r="193" spans="1:7" x14ac:dyDescent="0.15">
      <c r="A193" s="31">
        <v>24</v>
      </c>
      <c r="B193" s="31" t="s">
        <v>1558</v>
      </c>
      <c r="C193" s="63">
        <v>42293</v>
      </c>
      <c r="D193" s="64">
        <v>0.32349537037037002</v>
      </c>
      <c r="E193" s="31" t="s">
        <v>6087</v>
      </c>
      <c r="G193" s="31">
        <v>1</v>
      </c>
    </row>
    <row r="194" spans="1:7" x14ac:dyDescent="0.15">
      <c r="A194" s="31">
        <v>26</v>
      </c>
      <c r="B194" s="31" t="s">
        <v>1199</v>
      </c>
      <c r="C194" s="63">
        <v>42293</v>
      </c>
      <c r="D194" s="64">
        <v>0.32400462962963</v>
      </c>
      <c r="E194" s="31" t="s">
        <v>6087</v>
      </c>
      <c r="G194" s="31">
        <v>1</v>
      </c>
    </row>
    <row r="195" spans="1:7" x14ac:dyDescent="0.15">
      <c r="A195" s="31">
        <v>13</v>
      </c>
      <c r="B195" s="31" t="s">
        <v>944</v>
      </c>
      <c r="C195" s="63">
        <v>42293</v>
      </c>
      <c r="D195" s="64">
        <v>0.324236111111111</v>
      </c>
      <c r="E195" s="31" t="s">
        <v>6087</v>
      </c>
      <c r="G195" s="31">
        <v>1</v>
      </c>
    </row>
    <row r="196" spans="1:7" x14ac:dyDescent="0.15">
      <c r="A196" s="31">
        <v>16</v>
      </c>
      <c r="B196" s="31" t="s">
        <v>1398</v>
      </c>
      <c r="C196" s="63">
        <v>42293</v>
      </c>
      <c r="D196" s="64">
        <v>0.32798611111111098</v>
      </c>
      <c r="E196" s="31" t="s">
        <v>6087</v>
      </c>
      <c r="G196" s="31">
        <v>1</v>
      </c>
    </row>
    <row r="197" spans="1:7" x14ac:dyDescent="0.15">
      <c r="A197" s="31">
        <v>6</v>
      </c>
      <c r="B197" s="31" t="s">
        <v>1712</v>
      </c>
      <c r="C197" s="63">
        <v>42293</v>
      </c>
      <c r="D197" s="64">
        <v>0.32814814814814802</v>
      </c>
      <c r="E197" s="31" t="s">
        <v>6087</v>
      </c>
      <c r="G197" s="31">
        <v>1</v>
      </c>
    </row>
    <row r="198" spans="1:7" x14ac:dyDescent="0.15">
      <c r="A198" s="31">
        <v>15</v>
      </c>
      <c r="B198" s="31" t="s">
        <v>232</v>
      </c>
      <c r="C198" s="63">
        <v>42293</v>
      </c>
      <c r="D198" s="64">
        <v>0.32876157407407403</v>
      </c>
      <c r="E198" s="31" t="s">
        <v>6087</v>
      </c>
      <c r="G198" s="31">
        <v>1</v>
      </c>
    </row>
    <row r="199" spans="1:7" x14ac:dyDescent="0.15">
      <c r="A199" s="31">
        <v>7</v>
      </c>
      <c r="B199" s="31" t="s">
        <v>1130</v>
      </c>
      <c r="C199" s="63">
        <v>42293</v>
      </c>
      <c r="D199" s="64">
        <v>0.32944444444444398</v>
      </c>
      <c r="E199" s="31" t="s">
        <v>6087</v>
      </c>
      <c r="G199" s="31">
        <v>1</v>
      </c>
    </row>
    <row r="200" spans="1:7" x14ac:dyDescent="0.15">
      <c r="A200" s="31">
        <v>9</v>
      </c>
      <c r="B200" s="31" t="s">
        <v>1112</v>
      </c>
      <c r="C200" s="63">
        <v>42293</v>
      </c>
      <c r="D200" s="64">
        <v>0.32988425925925902</v>
      </c>
      <c r="E200" s="31" t="s">
        <v>6087</v>
      </c>
      <c r="G200" s="31">
        <v>1</v>
      </c>
    </row>
    <row r="201" spans="1:7" x14ac:dyDescent="0.15">
      <c r="A201" s="31">
        <v>4</v>
      </c>
      <c r="B201" s="31" t="s">
        <v>6090</v>
      </c>
      <c r="C201" s="63">
        <v>42293</v>
      </c>
      <c r="D201" s="64">
        <v>0.329930555555556</v>
      </c>
      <c r="E201" s="31" t="s">
        <v>6087</v>
      </c>
      <c r="G201" s="31">
        <v>1</v>
      </c>
    </row>
    <row r="202" spans="1:7" x14ac:dyDescent="0.15">
      <c r="A202" s="31">
        <v>20</v>
      </c>
      <c r="B202" s="31" t="s">
        <v>413</v>
      </c>
      <c r="C202" s="63">
        <v>42293</v>
      </c>
      <c r="D202" s="64">
        <v>0.33020833333333299</v>
      </c>
      <c r="E202" s="31" t="s">
        <v>6087</v>
      </c>
      <c r="G202" s="31">
        <v>1</v>
      </c>
    </row>
    <row r="203" spans="1:7" x14ac:dyDescent="0.15">
      <c r="A203" s="31">
        <v>30</v>
      </c>
      <c r="B203" s="31" t="s">
        <v>378</v>
      </c>
      <c r="C203" s="63">
        <v>42293</v>
      </c>
      <c r="D203" s="64">
        <v>0.331319444444444</v>
      </c>
      <c r="E203" s="31" t="s">
        <v>6087</v>
      </c>
      <c r="G203" s="31">
        <v>1</v>
      </c>
    </row>
    <row r="204" spans="1:7" x14ac:dyDescent="0.15">
      <c r="A204" s="31">
        <v>30</v>
      </c>
      <c r="B204" s="31" t="s">
        <v>378</v>
      </c>
      <c r="C204" s="63">
        <v>42293</v>
      </c>
      <c r="D204" s="64">
        <v>0.72188657407407397</v>
      </c>
      <c r="E204" s="31" t="s">
        <v>6087</v>
      </c>
      <c r="G204" s="31">
        <v>1</v>
      </c>
    </row>
    <row r="205" spans="1:7" x14ac:dyDescent="0.15">
      <c r="A205" s="31">
        <v>4</v>
      </c>
      <c r="B205" s="31" t="s">
        <v>6090</v>
      </c>
      <c r="C205" s="63">
        <v>42293</v>
      </c>
      <c r="D205" s="64">
        <v>0.72327546296296297</v>
      </c>
      <c r="E205" s="31" t="s">
        <v>6087</v>
      </c>
      <c r="G205" s="31">
        <v>1</v>
      </c>
    </row>
    <row r="206" spans="1:7" x14ac:dyDescent="0.15">
      <c r="A206" s="31">
        <v>9</v>
      </c>
      <c r="B206" s="31" t="s">
        <v>1112</v>
      </c>
      <c r="C206" s="63">
        <v>42293</v>
      </c>
      <c r="D206" s="64">
        <v>0.73112268518518497</v>
      </c>
      <c r="E206" s="31" t="s">
        <v>6087</v>
      </c>
      <c r="G206" s="31">
        <v>1</v>
      </c>
    </row>
    <row r="207" spans="1:7" x14ac:dyDescent="0.15">
      <c r="A207" s="31">
        <v>20</v>
      </c>
      <c r="B207" s="31" t="s">
        <v>413</v>
      </c>
      <c r="C207" s="63">
        <v>42293</v>
      </c>
      <c r="D207" s="64">
        <v>0.74687499999999996</v>
      </c>
      <c r="E207" s="31" t="s">
        <v>6087</v>
      </c>
      <c r="G207" s="31">
        <v>1</v>
      </c>
    </row>
    <row r="208" spans="1:7" x14ac:dyDescent="0.15">
      <c r="A208" s="31">
        <v>27</v>
      </c>
      <c r="B208" s="31" t="s">
        <v>1915</v>
      </c>
      <c r="C208" s="63">
        <v>42293</v>
      </c>
      <c r="D208" s="64">
        <v>0.75767361111111098</v>
      </c>
      <c r="E208" s="31" t="s">
        <v>6089</v>
      </c>
      <c r="G208" s="31">
        <v>1</v>
      </c>
    </row>
    <row r="209" spans="1:7" x14ac:dyDescent="0.15">
      <c r="A209" s="31">
        <v>1</v>
      </c>
      <c r="B209" s="31" t="s">
        <v>226</v>
      </c>
      <c r="C209" s="63">
        <v>42293</v>
      </c>
      <c r="D209" s="64">
        <v>0.758043981481482</v>
      </c>
      <c r="E209" s="31" t="s">
        <v>6089</v>
      </c>
      <c r="G209" s="31">
        <v>1</v>
      </c>
    </row>
    <row r="210" spans="1:7" x14ac:dyDescent="0.15">
      <c r="A210" s="31">
        <v>7</v>
      </c>
      <c r="B210" s="31" t="s">
        <v>1130</v>
      </c>
      <c r="C210" s="63">
        <v>42293</v>
      </c>
      <c r="D210" s="64">
        <v>0.76</v>
      </c>
      <c r="E210" s="31" t="s">
        <v>6087</v>
      </c>
      <c r="G210" s="31">
        <v>1</v>
      </c>
    </row>
    <row r="211" spans="1:7" x14ac:dyDescent="0.15">
      <c r="A211" s="31">
        <v>26</v>
      </c>
      <c r="B211" s="31" t="s">
        <v>1199</v>
      </c>
      <c r="C211" s="63">
        <v>42293</v>
      </c>
      <c r="D211" s="64">
        <v>0.76251157407407399</v>
      </c>
      <c r="E211" s="31" t="s">
        <v>6087</v>
      </c>
      <c r="G211" s="31">
        <v>1</v>
      </c>
    </row>
    <row r="212" spans="1:7" x14ac:dyDescent="0.15">
      <c r="A212" s="31">
        <v>13</v>
      </c>
      <c r="B212" s="31" t="s">
        <v>944</v>
      </c>
      <c r="C212" s="63">
        <v>42293</v>
      </c>
      <c r="D212" s="64">
        <v>0.76262731481481505</v>
      </c>
      <c r="E212" s="31" t="s">
        <v>6087</v>
      </c>
      <c r="G212" s="31">
        <v>1</v>
      </c>
    </row>
    <row r="213" spans="1:7" x14ac:dyDescent="0.15">
      <c r="A213" s="31">
        <v>25</v>
      </c>
      <c r="B213" s="31" t="s">
        <v>1502</v>
      </c>
      <c r="C213" s="63">
        <v>42293</v>
      </c>
      <c r="D213" s="64">
        <v>0.81280092592592601</v>
      </c>
      <c r="E213" s="31" t="s">
        <v>6087</v>
      </c>
      <c r="G213" s="31">
        <v>1</v>
      </c>
    </row>
    <row r="214" spans="1:7" x14ac:dyDescent="0.15">
      <c r="A214" s="31">
        <v>14</v>
      </c>
      <c r="B214" s="31" t="s">
        <v>1327</v>
      </c>
      <c r="C214" s="63">
        <v>42293</v>
      </c>
      <c r="D214" s="64">
        <v>0.81287037037037002</v>
      </c>
      <c r="E214" s="31" t="s">
        <v>6087</v>
      </c>
      <c r="G214" s="31">
        <v>1</v>
      </c>
    </row>
    <row r="215" spans="1:7" x14ac:dyDescent="0.15">
      <c r="A215" s="31">
        <v>6</v>
      </c>
      <c r="B215" s="31" t="s">
        <v>1712</v>
      </c>
      <c r="C215" s="63">
        <v>42293</v>
      </c>
      <c r="D215" s="64">
        <v>0.81324074074074104</v>
      </c>
      <c r="E215" s="31" t="s">
        <v>6087</v>
      </c>
      <c r="G215" s="31">
        <v>1</v>
      </c>
    </row>
    <row r="216" spans="1:7" x14ac:dyDescent="0.15">
      <c r="A216" s="31">
        <v>23</v>
      </c>
      <c r="B216" s="31" t="s">
        <v>1349</v>
      </c>
      <c r="C216" s="63">
        <v>42293</v>
      </c>
      <c r="D216" s="64">
        <v>0.81506944444444496</v>
      </c>
      <c r="E216" s="31" t="s">
        <v>6087</v>
      </c>
      <c r="G216" s="31">
        <v>1</v>
      </c>
    </row>
    <row r="217" spans="1:7" x14ac:dyDescent="0.15">
      <c r="A217" s="31">
        <v>24</v>
      </c>
      <c r="B217" s="31" t="s">
        <v>1558</v>
      </c>
      <c r="C217" s="63">
        <v>42293</v>
      </c>
      <c r="D217" s="64">
        <v>0.81564814814814801</v>
      </c>
      <c r="E217" s="31" t="s">
        <v>6087</v>
      </c>
      <c r="G217" s="31">
        <v>1</v>
      </c>
    </row>
    <row r="218" spans="1:7" x14ac:dyDescent="0.15">
      <c r="A218" s="31">
        <v>18</v>
      </c>
      <c r="B218" s="31" t="s">
        <v>835</v>
      </c>
      <c r="C218" s="63">
        <v>42293</v>
      </c>
      <c r="D218" s="64">
        <v>0.82664351851851903</v>
      </c>
      <c r="E218" s="31" t="s">
        <v>6087</v>
      </c>
      <c r="G218" s="31">
        <v>1</v>
      </c>
    </row>
    <row r="219" spans="1:7" x14ac:dyDescent="0.15">
      <c r="A219" s="31">
        <v>10</v>
      </c>
      <c r="B219" s="31" t="s">
        <v>1092</v>
      </c>
      <c r="C219" s="63">
        <v>42293</v>
      </c>
      <c r="D219" s="64">
        <v>0.82668981481481496</v>
      </c>
      <c r="E219" s="31" t="s">
        <v>6087</v>
      </c>
      <c r="G219" s="31">
        <v>1</v>
      </c>
    </row>
    <row r="220" spans="1:7" x14ac:dyDescent="0.15">
      <c r="A220" s="31">
        <v>12</v>
      </c>
      <c r="B220" s="31" t="s">
        <v>228</v>
      </c>
      <c r="C220" s="63">
        <v>42293</v>
      </c>
      <c r="D220" s="64">
        <v>0.827627314814815</v>
      </c>
      <c r="E220" s="31" t="s">
        <v>6087</v>
      </c>
      <c r="G220" s="31">
        <v>1</v>
      </c>
    </row>
    <row r="221" spans="1:7" x14ac:dyDescent="0.15">
      <c r="A221" s="31">
        <v>22</v>
      </c>
      <c r="B221" s="31" t="s">
        <v>1878</v>
      </c>
      <c r="C221" s="63">
        <v>42293</v>
      </c>
      <c r="D221" s="64">
        <v>0.83046296296296296</v>
      </c>
      <c r="E221" s="31" t="s">
        <v>6087</v>
      </c>
      <c r="G221" s="31">
        <v>1</v>
      </c>
    </row>
    <row r="222" spans="1:7" x14ac:dyDescent="0.15">
      <c r="A222" s="31">
        <v>15</v>
      </c>
      <c r="B222" s="31" t="s">
        <v>232</v>
      </c>
      <c r="C222" s="63">
        <v>42293</v>
      </c>
      <c r="D222" s="64">
        <v>0.87506944444444401</v>
      </c>
      <c r="E222" s="31" t="s">
        <v>6087</v>
      </c>
      <c r="G222" s="31">
        <v>1</v>
      </c>
    </row>
    <row r="223" spans="1:7" x14ac:dyDescent="0.15">
      <c r="A223" s="31">
        <v>16</v>
      </c>
      <c r="B223" s="31" t="s">
        <v>1398</v>
      </c>
      <c r="C223" s="63">
        <v>42293</v>
      </c>
      <c r="D223" s="64">
        <v>0.87608796296296299</v>
      </c>
      <c r="E223" s="31" t="s">
        <v>6087</v>
      </c>
      <c r="G223" s="31">
        <v>1</v>
      </c>
    </row>
    <row r="224" spans="1:7" x14ac:dyDescent="0.15">
      <c r="A224" s="31">
        <v>12</v>
      </c>
      <c r="B224" s="31" t="s">
        <v>228</v>
      </c>
      <c r="C224" s="63">
        <v>42294</v>
      </c>
      <c r="D224" s="64">
        <v>0.31170138888888899</v>
      </c>
      <c r="E224" s="31" t="s">
        <v>6087</v>
      </c>
      <c r="G224" s="31">
        <v>1</v>
      </c>
    </row>
    <row r="225" spans="1:7" x14ac:dyDescent="0.15">
      <c r="A225" s="31">
        <v>26</v>
      </c>
      <c r="B225" s="31" t="s">
        <v>1199</v>
      </c>
      <c r="C225" s="63">
        <v>42294</v>
      </c>
      <c r="D225" s="64">
        <v>0.31173611111111099</v>
      </c>
      <c r="E225" s="31" t="s">
        <v>6087</v>
      </c>
      <c r="G225" s="31">
        <v>1</v>
      </c>
    </row>
    <row r="226" spans="1:7" x14ac:dyDescent="0.15">
      <c r="A226" s="31">
        <v>13</v>
      </c>
      <c r="B226" s="31" t="s">
        <v>944</v>
      </c>
      <c r="C226" s="63">
        <v>42294</v>
      </c>
      <c r="D226" s="64">
        <v>0.31175925925925901</v>
      </c>
      <c r="E226" s="31" t="s">
        <v>6087</v>
      </c>
      <c r="G226" s="31">
        <v>1</v>
      </c>
    </row>
    <row r="227" spans="1:7" x14ac:dyDescent="0.15">
      <c r="A227" s="31">
        <v>10</v>
      </c>
      <c r="B227" s="31" t="s">
        <v>1092</v>
      </c>
      <c r="C227" s="63">
        <v>42294</v>
      </c>
      <c r="D227" s="64">
        <v>0.32047453703703699</v>
      </c>
      <c r="E227" s="31" t="s">
        <v>6087</v>
      </c>
      <c r="G227" s="31">
        <v>1</v>
      </c>
    </row>
    <row r="228" spans="1:7" x14ac:dyDescent="0.15">
      <c r="A228" s="31">
        <v>22</v>
      </c>
      <c r="B228" s="31" t="s">
        <v>1878</v>
      </c>
      <c r="C228" s="63">
        <v>42294</v>
      </c>
      <c r="D228" s="64">
        <v>0.32212962962962999</v>
      </c>
      <c r="E228" s="31" t="s">
        <v>6087</v>
      </c>
      <c r="G228" s="31">
        <v>1</v>
      </c>
    </row>
    <row r="229" spans="1:7" x14ac:dyDescent="0.15">
      <c r="A229" s="31">
        <v>25</v>
      </c>
      <c r="B229" s="31" t="s">
        <v>1502</v>
      </c>
      <c r="C229" s="63">
        <v>42294</v>
      </c>
      <c r="D229" s="64">
        <v>0.32348379629629598</v>
      </c>
      <c r="E229" s="31" t="s">
        <v>6087</v>
      </c>
      <c r="G229" s="31">
        <v>1</v>
      </c>
    </row>
    <row r="230" spans="1:7" x14ac:dyDescent="0.15">
      <c r="A230" s="31">
        <v>23</v>
      </c>
      <c r="B230" s="31" t="s">
        <v>1349</v>
      </c>
      <c r="C230" s="63">
        <v>42294</v>
      </c>
      <c r="D230" s="64">
        <v>0.32391203703703703</v>
      </c>
      <c r="E230" s="31" t="s">
        <v>6087</v>
      </c>
      <c r="G230" s="31">
        <v>1</v>
      </c>
    </row>
    <row r="231" spans="1:7" x14ac:dyDescent="0.15">
      <c r="A231" s="31">
        <v>24</v>
      </c>
      <c r="B231" s="31" t="s">
        <v>1558</v>
      </c>
      <c r="C231" s="63">
        <v>42294</v>
      </c>
      <c r="D231" s="64">
        <v>0.32410879629629602</v>
      </c>
      <c r="E231" s="31" t="s">
        <v>6087</v>
      </c>
      <c r="G231" s="31">
        <v>1</v>
      </c>
    </row>
    <row r="232" spans="1:7" x14ac:dyDescent="0.15">
      <c r="A232" s="31">
        <v>14</v>
      </c>
      <c r="B232" s="31" t="s">
        <v>1327</v>
      </c>
      <c r="C232" s="63">
        <v>42294</v>
      </c>
      <c r="D232" s="64">
        <v>0.32425925925925903</v>
      </c>
      <c r="E232" s="31" t="s">
        <v>6087</v>
      </c>
      <c r="G232" s="31">
        <v>1</v>
      </c>
    </row>
    <row r="233" spans="1:7" x14ac:dyDescent="0.15">
      <c r="A233" s="31">
        <v>18</v>
      </c>
      <c r="B233" s="31" t="s">
        <v>835</v>
      </c>
      <c r="C233" s="63">
        <v>42294</v>
      </c>
      <c r="D233" s="64">
        <v>0.32555555555555599</v>
      </c>
      <c r="E233" s="31" t="s">
        <v>6087</v>
      </c>
      <c r="G233" s="31">
        <v>1</v>
      </c>
    </row>
    <row r="234" spans="1:7" x14ac:dyDescent="0.15">
      <c r="A234" s="31">
        <v>16</v>
      </c>
      <c r="B234" s="31" t="s">
        <v>1398</v>
      </c>
      <c r="C234" s="63">
        <v>42294</v>
      </c>
      <c r="D234" s="64">
        <v>0.326087962962963</v>
      </c>
      <c r="E234" s="31" t="s">
        <v>6087</v>
      </c>
      <c r="G234" s="31">
        <v>1</v>
      </c>
    </row>
    <row r="235" spans="1:7" x14ac:dyDescent="0.15">
      <c r="A235" s="31">
        <v>15</v>
      </c>
      <c r="B235" s="31" t="s">
        <v>232</v>
      </c>
      <c r="C235" s="63">
        <v>42294</v>
      </c>
      <c r="D235" s="64">
        <v>0.32809027777777799</v>
      </c>
      <c r="E235" s="31" t="s">
        <v>6087</v>
      </c>
      <c r="G235" s="31">
        <v>1</v>
      </c>
    </row>
    <row r="236" spans="1:7" x14ac:dyDescent="0.15">
      <c r="A236" s="31">
        <v>6</v>
      </c>
      <c r="B236" s="31" t="s">
        <v>1712</v>
      </c>
      <c r="C236" s="63">
        <v>42294</v>
      </c>
      <c r="D236" s="64">
        <v>0.33232638888888899</v>
      </c>
      <c r="E236" s="31" t="s">
        <v>6087</v>
      </c>
      <c r="G236" s="31">
        <v>1</v>
      </c>
    </row>
    <row r="237" spans="1:7" x14ac:dyDescent="0.15">
      <c r="A237" s="31">
        <v>25</v>
      </c>
      <c r="B237" s="31" t="s">
        <v>1502</v>
      </c>
      <c r="C237" s="63">
        <v>42294</v>
      </c>
      <c r="D237" s="64">
        <v>0.83964120370370399</v>
      </c>
      <c r="E237" s="31" t="s">
        <v>6087</v>
      </c>
      <c r="G237" s="31">
        <v>1</v>
      </c>
    </row>
    <row r="238" spans="1:7" x14ac:dyDescent="0.15">
      <c r="A238" s="31">
        <v>23</v>
      </c>
      <c r="B238" s="31" t="s">
        <v>1349</v>
      </c>
      <c r="C238" s="63">
        <v>42294</v>
      </c>
      <c r="D238" s="64">
        <v>0.83988425925925903</v>
      </c>
      <c r="E238" s="31" t="s">
        <v>6087</v>
      </c>
      <c r="G238" s="31">
        <v>1</v>
      </c>
    </row>
    <row r="239" spans="1:7" x14ac:dyDescent="0.15">
      <c r="A239" s="31">
        <v>24</v>
      </c>
      <c r="B239" s="31" t="s">
        <v>1558</v>
      </c>
      <c r="C239" s="63">
        <v>42294</v>
      </c>
      <c r="D239" s="64">
        <v>0.84008101851851802</v>
      </c>
      <c r="E239" s="31" t="s">
        <v>6087</v>
      </c>
      <c r="G239" s="31">
        <v>1</v>
      </c>
    </row>
    <row r="240" spans="1:7" x14ac:dyDescent="0.15">
      <c r="A240" s="31">
        <v>14</v>
      </c>
      <c r="B240" s="31" t="s">
        <v>1327</v>
      </c>
      <c r="C240" s="63">
        <v>42294</v>
      </c>
      <c r="D240" s="64">
        <v>0.84034722222222202</v>
      </c>
      <c r="E240" s="31" t="s">
        <v>6087</v>
      </c>
      <c r="G240" s="31">
        <v>1</v>
      </c>
    </row>
    <row r="241" spans="1:7" x14ac:dyDescent="0.15">
      <c r="A241" s="31">
        <v>12</v>
      </c>
      <c r="B241" s="31" t="s">
        <v>228</v>
      </c>
      <c r="C241" s="63">
        <v>42294</v>
      </c>
      <c r="D241" s="64">
        <v>0.84238425925925897</v>
      </c>
      <c r="E241" s="31" t="s">
        <v>6087</v>
      </c>
      <c r="G241" s="31">
        <v>1</v>
      </c>
    </row>
    <row r="242" spans="1:7" x14ac:dyDescent="0.15">
      <c r="A242" s="31">
        <v>10</v>
      </c>
      <c r="B242" s="31" t="s">
        <v>1092</v>
      </c>
      <c r="C242" s="63">
        <v>42294</v>
      </c>
      <c r="D242" s="64">
        <v>0.84241898148148098</v>
      </c>
      <c r="E242" s="31" t="s">
        <v>6087</v>
      </c>
      <c r="G242" s="31">
        <v>1</v>
      </c>
    </row>
    <row r="243" spans="1:7" x14ac:dyDescent="0.15">
      <c r="A243" s="31">
        <v>6</v>
      </c>
      <c r="B243" s="31" t="s">
        <v>1712</v>
      </c>
      <c r="C243" s="63">
        <v>42294</v>
      </c>
      <c r="D243" s="64">
        <v>0.84983796296296299</v>
      </c>
      <c r="E243" s="31" t="s">
        <v>6087</v>
      </c>
      <c r="G243" s="31">
        <v>1</v>
      </c>
    </row>
    <row r="244" spans="1:7" x14ac:dyDescent="0.15">
      <c r="A244" s="31">
        <v>27</v>
      </c>
      <c r="B244" s="31" t="s">
        <v>1915</v>
      </c>
      <c r="C244" s="63">
        <v>42294</v>
      </c>
      <c r="D244" s="64">
        <v>0.85624999999999996</v>
      </c>
      <c r="E244" s="31" t="s">
        <v>6089</v>
      </c>
      <c r="G244" s="31">
        <v>1</v>
      </c>
    </row>
    <row r="245" spans="1:7" x14ac:dyDescent="0.15">
      <c r="A245" s="31">
        <v>1</v>
      </c>
      <c r="B245" s="31" t="s">
        <v>226</v>
      </c>
      <c r="C245" s="63">
        <v>42294</v>
      </c>
      <c r="D245" s="64">
        <v>0.85635416666666697</v>
      </c>
      <c r="E245" s="31" t="s">
        <v>6089</v>
      </c>
      <c r="G245" s="31">
        <v>1</v>
      </c>
    </row>
    <row r="246" spans="1:7" x14ac:dyDescent="0.15">
      <c r="A246" s="31">
        <v>18</v>
      </c>
      <c r="B246" s="31" t="s">
        <v>835</v>
      </c>
      <c r="C246" s="63">
        <v>42294</v>
      </c>
      <c r="D246" s="64">
        <v>0.85677083333333304</v>
      </c>
      <c r="E246" s="31" t="s">
        <v>6087</v>
      </c>
      <c r="G246" s="31">
        <v>1</v>
      </c>
    </row>
    <row r="247" spans="1:7" x14ac:dyDescent="0.15">
      <c r="A247" s="31">
        <v>15</v>
      </c>
      <c r="B247" s="31" t="s">
        <v>232</v>
      </c>
      <c r="C247" s="63">
        <v>42294</v>
      </c>
      <c r="D247" s="64">
        <v>0.87599537037037001</v>
      </c>
      <c r="E247" s="31" t="s">
        <v>6087</v>
      </c>
      <c r="G247" s="31">
        <v>1</v>
      </c>
    </row>
    <row r="248" spans="1:7" x14ac:dyDescent="0.15">
      <c r="A248" s="31">
        <v>16</v>
      </c>
      <c r="B248" s="31" t="s">
        <v>1398</v>
      </c>
      <c r="C248" s="63">
        <v>42294</v>
      </c>
      <c r="D248" s="64">
        <v>0.87616898148148203</v>
      </c>
      <c r="E248" s="31" t="s">
        <v>6087</v>
      </c>
      <c r="G248" s="31">
        <v>1</v>
      </c>
    </row>
    <row r="249" spans="1:7" x14ac:dyDescent="0.15">
      <c r="A249" s="31">
        <v>26</v>
      </c>
      <c r="B249" s="31" t="s">
        <v>1199</v>
      </c>
      <c r="C249" s="63">
        <v>42294</v>
      </c>
      <c r="D249" s="64">
        <v>0.87659722222222203</v>
      </c>
      <c r="E249" s="31" t="s">
        <v>6087</v>
      </c>
      <c r="G249" s="31">
        <v>1</v>
      </c>
    </row>
    <row r="250" spans="1:7" x14ac:dyDescent="0.15">
      <c r="A250" s="31">
        <v>13</v>
      </c>
      <c r="B250" s="31" t="s">
        <v>944</v>
      </c>
      <c r="C250" s="63">
        <v>42294</v>
      </c>
      <c r="D250" s="64">
        <v>0.87671296296296297</v>
      </c>
      <c r="E250" s="31" t="s">
        <v>6087</v>
      </c>
      <c r="G250" s="31">
        <v>1</v>
      </c>
    </row>
    <row r="251" spans="1:7" x14ac:dyDescent="0.15">
      <c r="A251" s="31">
        <v>22</v>
      </c>
      <c r="B251" s="31" t="s">
        <v>1878</v>
      </c>
      <c r="C251" s="63">
        <v>42294</v>
      </c>
      <c r="D251" s="64">
        <v>0.87699074074074101</v>
      </c>
      <c r="E251" s="31" t="s">
        <v>6087</v>
      </c>
      <c r="G251" s="31">
        <v>1</v>
      </c>
    </row>
    <row r="252" spans="1:7" x14ac:dyDescent="0.15">
      <c r="A252" s="31">
        <v>10</v>
      </c>
      <c r="B252" s="31" t="s">
        <v>1092</v>
      </c>
      <c r="C252" s="63">
        <v>42295</v>
      </c>
      <c r="D252" s="64">
        <v>0.31732638888888898</v>
      </c>
      <c r="E252" s="31" t="s">
        <v>6087</v>
      </c>
      <c r="G252" s="31">
        <v>1</v>
      </c>
    </row>
    <row r="253" spans="1:7" x14ac:dyDescent="0.15">
      <c r="A253" s="31">
        <v>27</v>
      </c>
      <c r="B253" s="31" t="s">
        <v>1915</v>
      </c>
      <c r="C253" s="63">
        <v>42295</v>
      </c>
      <c r="D253" s="64">
        <v>0.31736111111111098</v>
      </c>
      <c r="E253" s="31" t="s">
        <v>6089</v>
      </c>
      <c r="G253" s="31">
        <v>1</v>
      </c>
    </row>
    <row r="254" spans="1:7" x14ac:dyDescent="0.15">
      <c r="A254" s="31">
        <v>1</v>
      </c>
      <c r="B254" s="31" t="s">
        <v>226</v>
      </c>
      <c r="C254" s="63">
        <v>42295</v>
      </c>
      <c r="D254" s="64">
        <v>0.31740740740740703</v>
      </c>
      <c r="E254" s="31" t="s">
        <v>6089</v>
      </c>
      <c r="G254" s="31">
        <v>1</v>
      </c>
    </row>
    <row r="255" spans="1:7" x14ac:dyDescent="0.15">
      <c r="A255" s="31">
        <v>12</v>
      </c>
      <c r="B255" s="31" t="s">
        <v>228</v>
      </c>
      <c r="C255" s="63">
        <v>42295</v>
      </c>
      <c r="D255" s="64">
        <v>0.317731481481482</v>
      </c>
      <c r="E255" s="31" t="s">
        <v>6087</v>
      </c>
      <c r="G255" s="31">
        <v>1</v>
      </c>
    </row>
    <row r="256" spans="1:7" x14ac:dyDescent="0.15">
      <c r="A256" s="31">
        <v>26</v>
      </c>
      <c r="B256" s="31" t="s">
        <v>1199</v>
      </c>
      <c r="C256" s="63">
        <v>42295</v>
      </c>
      <c r="D256" s="64">
        <v>0.321967592592593</v>
      </c>
      <c r="E256" s="31" t="s">
        <v>6087</v>
      </c>
      <c r="G256" s="31">
        <v>1</v>
      </c>
    </row>
    <row r="257" spans="1:7" x14ac:dyDescent="0.15">
      <c r="A257" s="31">
        <v>22</v>
      </c>
      <c r="B257" s="31" t="s">
        <v>1878</v>
      </c>
      <c r="C257" s="63">
        <v>42295</v>
      </c>
      <c r="D257" s="64">
        <v>0.32212962962962999</v>
      </c>
      <c r="E257" s="31" t="s">
        <v>6087</v>
      </c>
      <c r="G257" s="31">
        <v>1</v>
      </c>
    </row>
    <row r="258" spans="1:7" x14ac:dyDescent="0.15">
      <c r="A258" s="31">
        <v>9</v>
      </c>
      <c r="B258" s="31" t="s">
        <v>1112</v>
      </c>
      <c r="C258" s="63">
        <v>42295</v>
      </c>
      <c r="D258" s="64">
        <v>0.32245370370370402</v>
      </c>
      <c r="E258" s="31" t="s">
        <v>6087</v>
      </c>
      <c r="G258" s="31">
        <v>1</v>
      </c>
    </row>
    <row r="259" spans="1:7" x14ac:dyDescent="0.15">
      <c r="A259" s="31">
        <v>14</v>
      </c>
      <c r="B259" s="31" t="s">
        <v>1327</v>
      </c>
      <c r="C259" s="63">
        <v>42295</v>
      </c>
      <c r="D259" s="64">
        <v>0.326851851851852</v>
      </c>
      <c r="E259" s="31" t="s">
        <v>6087</v>
      </c>
      <c r="G259" s="31">
        <v>1</v>
      </c>
    </row>
    <row r="260" spans="1:7" x14ac:dyDescent="0.15">
      <c r="A260" s="31">
        <v>25</v>
      </c>
      <c r="B260" s="31" t="s">
        <v>1502</v>
      </c>
      <c r="C260" s="63">
        <v>42295</v>
      </c>
      <c r="D260" s="64">
        <v>0.32699074074074103</v>
      </c>
      <c r="E260" s="31" t="s">
        <v>6087</v>
      </c>
      <c r="G260" s="31">
        <v>1</v>
      </c>
    </row>
    <row r="261" spans="1:7" x14ac:dyDescent="0.15">
      <c r="A261" s="31">
        <v>24</v>
      </c>
      <c r="B261" s="31" t="s">
        <v>1558</v>
      </c>
      <c r="C261" s="63">
        <v>42295</v>
      </c>
      <c r="D261" s="64">
        <v>0.32758101851851901</v>
      </c>
      <c r="E261" s="31" t="s">
        <v>6087</v>
      </c>
      <c r="G261" s="31">
        <v>1</v>
      </c>
    </row>
    <row r="262" spans="1:7" x14ac:dyDescent="0.15">
      <c r="A262" s="31">
        <v>23</v>
      </c>
      <c r="B262" s="31" t="s">
        <v>1349</v>
      </c>
      <c r="C262" s="63">
        <v>42295</v>
      </c>
      <c r="D262" s="64">
        <v>0.32814814814814802</v>
      </c>
      <c r="E262" s="31" t="s">
        <v>6087</v>
      </c>
      <c r="G262" s="31">
        <v>1</v>
      </c>
    </row>
    <row r="263" spans="1:7" x14ac:dyDescent="0.15">
      <c r="A263" s="31">
        <v>16</v>
      </c>
      <c r="B263" s="31" t="s">
        <v>1398</v>
      </c>
      <c r="C263" s="63">
        <v>42295</v>
      </c>
      <c r="D263" s="64">
        <v>0.32809027777777799</v>
      </c>
      <c r="E263" s="31" t="s">
        <v>6087</v>
      </c>
      <c r="G263" s="31">
        <v>1</v>
      </c>
    </row>
    <row r="264" spans="1:7" x14ac:dyDescent="0.15">
      <c r="A264" s="31">
        <v>18</v>
      </c>
      <c r="B264" s="31" t="s">
        <v>835</v>
      </c>
      <c r="C264" s="63">
        <v>42295</v>
      </c>
      <c r="D264" s="64">
        <v>0.33245370370370397</v>
      </c>
      <c r="E264" s="31" t="s">
        <v>6087</v>
      </c>
      <c r="G264" s="31">
        <v>1</v>
      </c>
    </row>
    <row r="265" spans="1:7" x14ac:dyDescent="0.15">
      <c r="A265" s="31">
        <v>30</v>
      </c>
      <c r="B265" s="31" t="s">
        <v>378</v>
      </c>
      <c r="C265" s="63">
        <v>42295</v>
      </c>
      <c r="D265" s="64">
        <v>0.33252314814814798</v>
      </c>
      <c r="E265" s="31" t="s">
        <v>6087</v>
      </c>
      <c r="G265" s="31">
        <v>1</v>
      </c>
    </row>
    <row r="266" spans="1:7" x14ac:dyDescent="0.15">
      <c r="A266" s="31">
        <v>15</v>
      </c>
      <c r="B266" s="31" t="s">
        <v>232</v>
      </c>
      <c r="C266" s="63">
        <v>42295</v>
      </c>
      <c r="D266" s="64">
        <v>0.33258101851851901</v>
      </c>
      <c r="E266" s="31" t="s">
        <v>6087</v>
      </c>
      <c r="G266" s="31">
        <v>1</v>
      </c>
    </row>
    <row r="267" spans="1:7" x14ac:dyDescent="0.15">
      <c r="A267" s="31">
        <v>6</v>
      </c>
      <c r="B267" s="31" t="s">
        <v>1712</v>
      </c>
      <c r="C267" s="63">
        <v>42295</v>
      </c>
      <c r="D267" s="64">
        <v>0.33269675925925901</v>
      </c>
      <c r="E267" s="31" t="s">
        <v>6087</v>
      </c>
      <c r="G267" s="31">
        <v>1</v>
      </c>
    </row>
    <row r="268" spans="1:7" x14ac:dyDescent="0.15">
      <c r="A268" s="31">
        <v>7</v>
      </c>
      <c r="B268" s="31" t="s">
        <v>1130</v>
      </c>
      <c r="C268" s="63">
        <v>42295</v>
      </c>
      <c r="D268" s="64">
        <v>0.33275462962962998</v>
      </c>
      <c r="E268" s="31" t="s">
        <v>6087</v>
      </c>
      <c r="G268" s="31">
        <v>1</v>
      </c>
    </row>
    <row r="269" spans="1:7" x14ac:dyDescent="0.15">
      <c r="A269" s="31">
        <v>4</v>
      </c>
      <c r="B269" s="31" t="s">
        <v>6090</v>
      </c>
      <c r="C269" s="63">
        <v>42295</v>
      </c>
      <c r="D269" s="64">
        <v>0.33321759259259298</v>
      </c>
      <c r="E269" s="31" t="s">
        <v>6087</v>
      </c>
      <c r="G269" s="31">
        <v>1</v>
      </c>
    </row>
    <row r="270" spans="1:7" x14ac:dyDescent="0.15">
      <c r="A270" s="31">
        <v>9</v>
      </c>
      <c r="B270" s="31" t="s">
        <v>1112</v>
      </c>
      <c r="C270" s="63">
        <v>42295</v>
      </c>
      <c r="D270" s="64">
        <v>0.71134259259259303</v>
      </c>
      <c r="E270" s="31" t="s">
        <v>6087</v>
      </c>
      <c r="G270" s="31">
        <v>1</v>
      </c>
    </row>
    <row r="271" spans="1:7" x14ac:dyDescent="0.15">
      <c r="A271" s="31">
        <v>7</v>
      </c>
      <c r="B271" s="31" t="s">
        <v>1130</v>
      </c>
      <c r="C271" s="63">
        <v>42295</v>
      </c>
      <c r="D271" s="64">
        <v>0.71429398148148104</v>
      </c>
      <c r="E271" s="31" t="s">
        <v>6087</v>
      </c>
      <c r="G271" s="31">
        <v>1</v>
      </c>
    </row>
    <row r="272" spans="1:7" x14ac:dyDescent="0.15">
      <c r="A272" s="31">
        <v>4</v>
      </c>
      <c r="B272" s="31" t="s">
        <v>6090</v>
      </c>
      <c r="C272" s="63">
        <v>42295</v>
      </c>
      <c r="D272" s="64">
        <v>0.71726851851851903</v>
      </c>
      <c r="E272" s="31" t="s">
        <v>6087</v>
      </c>
      <c r="G272" s="31">
        <v>1</v>
      </c>
    </row>
    <row r="273" spans="1:7" x14ac:dyDescent="0.15">
      <c r="A273" s="31">
        <v>30</v>
      </c>
      <c r="B273" s="31" t="s">
        <v>378</v>
      </c>
      <c r="C273" s="63">
        <v>42295</v>
      </c>
      <c r="D273" s="64">
        <v>0.71796296296296302</v>
      </c>
      <c r="E273" s="31" t="s">
        <v>6087</v>
      </c>
      <c r="G273" s="31">
        <v>1</v>
      </c>
    </row>
    <row r="274" spans="1:7" x14ac:dyDescent="0.15">
      <c r="A274" s="31">
        <v>6</v>
      </c>
      <c r="B274" s="31" t="s">
        <v>1712</v>
      </c>
      <c r="C274" s="63">
        <v>42295</v>
      </c>
      <c r="D274" s="64">
        <v>0.724212962962963</v>
      </c>
      <c r="E274" s="31" t="s">
        <v>6087</v>
      </c>
      <c r="G274" s="31">
        <v>1</v>
      </c>
    </row>
    <row r="275" spans="1:7" x14ac:dyDescent="0.15">
      <c r="A275" s="31">
        <v>14</v>
      </c>
      <c r="B275" s="31" t="s">
        <v>1327</v>
      </c>
      <c r="C275" s="63">
        <v>42295</v>
      </c>
      <c r="D275" s="64">
        <v>0.80754629629629604</v>
      </c>
      <c r="E275" s="31" t="s">
        <v>6087</v>
      </c>
      <c r="G275" s="31">
        <v>1</v>
      </c>
    </row>
    <row r="276" spans="1:7" x14ac:dyDescent="0.15">
      <c r="A276" s="31">
        <v>25</v>
      </c>
      <c r="B276" s="31" t="s">
        <v>1502</v>
      </c>
      <c r="C276" s="63">
        <v>42295</v>
      </c>
      <c r="D276" s="64">
        <v>0.80759259259259297</v>
      </c>
      <c r="E276" s="31" t="s">
        <v>6087</v>
      </c>
      <c r="G276" s="31">
        <v>1</v>
      </c>
    </row>
    <row r="277" spans="1:7" x14ac:dyDescent="0.15">
      <c r="A277" s="31">
        <v>23</v>
      </c>
      <c r="B277" s="31" t="s">
        <v>1349</v>
      </c>
      <c r="C277" s="63">
        <v>42295</v>
      </c>
      <c r="D277" s="64">
        <v>0.81613425925925898</v>
      </c>
      <c r="E277" s="31" t="s">
        <v>6087</v>
      </c>
      <c r="G277" s="31">
        <v>1</v>
      </c>
    </row>
    <row r="278" spans="1:7" x14ac:dyDescent="0.15">
      <c r="A278" s="31">
        <v>24</v>
      </c>
      <c r="B278" s="31" t="s">
        <v>1558</v>
      </c>
      <c r="C278" s="63">
        <v>42295</v>
      </c>
      <c r="D278" s="64">
        <v>0.81716435185185199</v>
      </c>
      <c r="E278" s="31" t="s">
        <v>6087</v>
      </c>
      <c r="G278" s="31">
        <v>1</v>
      </c>
    </row>
    <row r="279" spans="1:7" x14ac:dyDescent="0.15">
      <c r="A279" s="31">
        <v>27</v>
      </c>
      <c r="B279" s="31" t="s">
        <v>1915</v>
      </c>
      <c r="C279" s="63">
        <v>42295</v>
      </c>
      <c r="D279" s="64">
        <v>0.81667824074074102</v>
      </c>
      <c r="E279" s="31" t="s">
        <v>6089</v>
      </c>
      <c r="G279" s="31">
        <v>1</v>
      </c>
    </row>
    <row r="280" spans="1:7" x14ac:dyDescent="0.15">
      <c r="A280" s="31">
        <v>1</v>
      </c>
      <c r="B280" s="31" t="s">
        <v>226</v>
      </c>
      <c r="C280" s="63">
        <v>42295</v>
      </c>
      <c r="D280" s="64">
        <v>0.81737268518518502</v>
      </c>
      <c r="E280" s="31" t="s">
        <v>6089</v>
      </c>
      <c r="G280" s="31">
        <v>1</v>
      </c>
    </row>
    <row r="281" spans="1:7" x14ac:dyDescent="0.15">
      <c r="A281" s="31">
        <v>18</v>
      </c>
      <c r="B281" s="31" t="s">
        <v>835</v>
      </c>
      <c r="C281" s="63">
        <v>42295</v>
      </c>
      <c r="D281" s="64">
        <v>0.817465277777778</v>
      </c>
      <c r="E281" s="31" t="s">
        <v>6087</v>
      </c>
      <c r="G281" s="31">
        <v>1</v>
      </c>
    </row>
    <row r="282" spans="1:7" x14ac:dyDescent="0.15">
      <c r="A282" s="31">
        <v>10</v>
      </c>
      <c r="B282" s="31" t="s">
        <v>1092</v>
      </c>
      <c r="C282" s="63">
        <v>42295</v>
      </c>
      <c r="D282" s="64">
        <v>0.8175</v>
      </c>
      <c r="E282" s="31" t="s">
        <v>6087</v>
      </c>
      <c r="G282" s="31">
        <v>1</v>
      </c>
    </row>
    <row r="283" spans="1:7" x14ac:dyDescent="0.15">
      <c r="A283" s="31">
        <v>16</v>
      </c>
      <c r="B283" s="31" t="s">
        <v>1398</v>
      </c>
      <c r="C283" s="63">
        <v>42295</v>
      </c>
      <c r="D283" s="64">
        <v>0.86943287037036998</v>
      </c>
      <c r="E283" s="31" t="s">
        <v>6087</v>
      </c>
      <c r="G283" s="31">
        <v>1</v>
      </c>
    </row>
    <row r="284" spans="1:7" x14ac:dyDescent="0.15">
      <c r="A284" s="31">
        <v>15</v>
      </c>
      <c r="B284" s="31" t="s">
        <v>232</v>
      </c>
      <c r="C284" s="63">
        <v>42295</v>
      </c>
      <c r="D284" s="64">
        <v>0.87247685185185198</v>
      </c>
      <c r="E284" s="31" t="s">
        <v>6087</v>
      </c>
      <c r="G284" s="31">
        <v>1</v>
      </c>
    </row>
    <row r="285" spans="1:7" x14ac:dyDescent="0.15">
      <c r="A285" s="31">
        <v>12</v>
      </c>
      <c r="B285" s="31" t="s">
        <v>228</v>
      </c>
      <c r="C285" s="63">
        <v>42295</v>
      </c>
      <c r="D285" s="64">
        <v>0.89090277777777804</v>
      </c>
      <c r="E285" s="31" t="s">
        <v>6087</v>
      </c>
      <c r="G285" s="31">
        <v>1</v>
      </c>
    </row>
    <row r="286" spans="1:7" x14ac:dyDescent="0.15">
      <c r="A286" s="31">
        <v>13</v>
      </c>
      <c r="B286" s="31" t="s">
        <v>944</v>
      </c>
      <c r="C286" s="63">
        <v>42295</v>
      </c>
      <c r="D286" s="64">
        <v>0.89096064814814802</v>
      </c>
      <c r="E286" s="31" t="s">
        <v>6087</v>
      </c>
      <c r="G286" s="31">
        <v>1</v>
      </c>
    </row>
    <row r="287" spans="1:7" x14ac:dyDescent="0.15">
      <c r="A287" s="31">
        <v>26</v>
      </c>
      <c r="B287" s="31" t="s">
        <v>1199</v>
      </c>
      <c r="C287" s="63">
        <v>42295</v>
      </c>
      <c r="D287" s="64">
        <v>0.89165509259259301</v>
      </c>
      <c r="E287" s="31" t="s">
        <v>6087</v>
      </c>
      <c r="G287" s="31">
        <v>1</v>
      </c>
    </row>
    <row r="288" spans="1:7" x14ac:dyDescent="0.15">
      <c r="A288" s="31">
        <v>22</v>
      </c>
      <c r="B288" s="31" t="s">
        <v>1878</v>
      </c>
      <c r="C288" s="63">
        <v>42295</v>
      </c>
      <c r="D288" s="64">
        <v>0.89226851851851896</v>
      </c>
      <c r="E288" s="31" t="s">
        <v>6087</v>
      </c>
      <c r="G288" s="31">
        <v>1</v>
      </c>
    </row>
    <row r="289" spans="1:7" x14ac:dyDescent="0.15">
      <c r="A289" s="31">
        <v>27</v>
      </c>
      <c r="B289" s="31" t="s">
        <v>1915</v>
      </c>
      <c r="C289" s="63">
        <v>42296</v>
      </c>
      <c r="D289" s="64">
        <v>0.31736111111111098</v>
      </c>
      <c r="E289" s="31" t="s">
        <v>6089</v>
      </c>
      <c r="G289" s="31">
        <v>1</v>
      </c>
    </row>
    <row r="290" spans="1:7" x14ac:dyDescent="0.15">
      <c r="A290" s="31">
        <v>1</v>
      </c>
      <c r="B290" s="31" t="s">
        <v>226</v>
      </c>
      <c r="C290" s="63">
        <v>42296</v>
      </c>
      <c r="D290" s="64">
        <v>0.31756944444444402</v>
      </c>
      <c r="E290" s="31" t="s">
        <v>6089</v>
      </c>
      <c r="G290" s="31">
        <v>1</v>
      </c>
    </row>
    <row r="291" spans="1:7" x14ac:dyDescent="0.15">
      <c r="A291" s="31">
        <v>12</v>
      </c>
      <c r="B291" s="31" t="s">
        <v>228</v>
      </c>
      <c r="C291" s="63">
        <v>42296</v>
      </c>
      <c r="D291" s="64">
        <v>0.31777777777777799</v>
      </c>
      <c r="E291" s="31" t="s">
        <v>6087</v>
      </c>
      <c r="G291" s="31">
        <v>1</v>
      </c>
    </row>
    <row r="292" spans="1:7" x14ac:dyDescent="0.15">
      <c r="A292" s="31">
        <v>22</v>
      </c>
      <c r="B292" s="31" t="s">
        <v>1878</v>
      </c>
      <c r="C292" s="63">
        <v>42296</v>
      </c>
      <c r="D292" s="64">
        <v>0.317962962962963</v>
      </c>
      <c r="E292" s="31" t="s">
        <v>6087</v>
      </c>
      <c r="G292" s="31">
        <v>1</v>
      </c>
    </row>
    <row r="293" spans="1:7" x14ac:dyDescent="0.15">
      <c r="A293" s="31">
        <v>26</v>
      </c>
      <c r="B293" s="31" t="s">
        <v>1199</v>
      </c>
      <c r="C293" s="63">
        <v>42296</v>
      </c>
      <c r="D293" s="64">
        <v>0.318657407407407</v>
      </c>
      <c r="E293" s="31" t="s">
        <v>6087</v>
      </c>
      <c r="G293" s="31">
        <v>1</v>
      </c>
    </row>
    <row r="294" spans="1:7" x14ac:dyDescent="0.15">
      <c r="A294" s="31">
        <v>13</v>
      </c>
      <c r="B294" s="31" t="s">
        <v>944</v>
      </c>
      <c r="C294" s="63">
        <v>42296</v>
      </c>
      <c r="D294" s="64">
        <v>0.31989583333333299</v>
      </c>
      <c r="E294" s="31" t="s">
        <v>6087</v>
      </c>
      <c r="G294" s="31">
        <v>1</v>
      </c>
    </row>
    <row r="295" spans="1:7" x14ac:dyDescent="0.15">
      <c r="A295" s="31">
        <v>10</v>
      </c>
      <c r="B295" s="31" t="s">
        <v>1092</v>
      </c>
      <c r="C295" s="63">
        <v>42296</v>
      </c>
      <c r="D295" s="64">
        <v>0.32168981481481501</v>
      </c>
      <c r="E295" s="31" t="s">
        <v>6087</v>
      </c>
      <c r="G295" s="31">
        <v>1</v>
      </c>
    </row>
    <row r="296" spans="1:7" x14ac:dyDescent="0.15">
      <c r="A296" s="31">
        <v>16</v>
      </c>
      <c r="B296" s="31" t="s">
        <v>1398</v>
      </c>
      <c r="C296" s="63">
        <v>42296</v>
      </c>
      <c r="D296" s="64">
        <v>0.32776620370370402</v>
      </c>
      <c r="E296" s="31" t="s">
        <v>6087</v>
      </c>
      <c r="G296" s="31">
        <v>1</v>
      </c>
    </row>
    <row r="297" spans="1:7" x14ac:dyDescent="0.15">
      <c r="A297" s="31">
        <v>18</v>
      </c>
      <c r="B297" s="31" t="s">
        <v>835</v>
      </c>
      <c r="C297" s="63">
        <v>42296</v>
      </c>
      <c r="D297" s="64">
        <v>0.33046296296296301</v>
      </c>
      <c r="E297" s="31" t="s">
        <v>6087</v>
      </c>
      <c r="G297" s="31">
        <v>1</v>
      </c>
    </row>
    <row r="298" spans="1:7" x14ac:dyDescent="0.15">
      <c r="A298" s="31">
        <v>15</v>
      </c>
      <c r="B298" s="31" t="s">
        <v>232</v>
      </c>
      <c r="C298" s="63">
        <v>42296</v>
      </c>
      <c r="D298" s="64">
        <v>0.33081018518518501</v>
      </c>
      <c r="E298" s="31" t="s">
        <v>6087</v>
      </c>
      <c r="G298" s="31">
        <v>1</v>
      </c>
    </row>
    <row r="299" spans="1:7" x14ac:dyDescent="0.15">
      <c r="A299" s="31">
        <v>6</v>
      </c>
      <c r="B299" s="31" t="s">
        <v>1712</v>
      </c>
      <c r="C299" s="63">
        <v>42296</v>
      </c>
      <c r="D299" s="64">
        <v>0.33092592592592601</v>
      </c>
      <c r="E299" s="31" t="s">
        <v>6087</v>
      </c>
      <c r="G299" s="31">
        <v>1</v>
      </c>
    </row>
    <row r="300" spans="1:7" x14ac:dyDescent="0.15">
      <c r="A300" s="31">
        <v>4</v>
      </c>
      <c r="B300" s="31" t="s">
        <v>6090</v>
      </c>
      <c r="C300" s="63">
        <v>42296</v>
      </c>
      <c r="D300" s="64">
        <v>0.331087962962963</v>
      </c>
      <c r="E300" s="31" t="s">
        <v>6087</v>
      </c>
      <c r="G300" s="31">
        <v>1</v>
      </c>
    </row>
    <row r="301" spans="1:7" x14ac:dyDescent="0.15">
      <c r="A301" s="31">
        <v>30</v>
      </c>
      <c r="B301" s="31" t="s">
        <v>378</v>
      </c>
      <c r="C301" s="63">
        <v>42296</v>
      </c>
      <c r="D301" s="64">
        <v>0.331203703703704</v>
      </c>
      <c r="E301" s="31" t="s">
        <v>6087</v>
      </c>
      <c r="G301" s="31">
        <v>1</v>
      </c>
    </row>
    <row r="302" spans="1:7" x14ac:dyDescent="0.15">
      <c r="A302" s="31">
        <v>7</v>
      </c>
      <c r="B302" s="31" t="s">
        <v>1130</v>
      </c>
      <c r="C302" s="63">
        <v>42296</v>
      </c>
      <c r="D302" s="64">
        <v>0.33165509259259301</v>
      </c>
      <c r="E302" s="31" t="s">
        <v>6087</v>
      </c>
      <c r="G302" s="31">
        <v>1</v>
      </c>
    </row>
    <row r="303" spans="1:7" x14ac:dyDescent="0.15">
      <c r="A303" s="31">
        <v>9</v>
      </c>
      <c r="B303" s="31" t="s">
        <v>1112</v>
      </c>
      <c r="C303" s="63">
        <v>42296</v>
      </c>
      <c r="D303" s="64">
        <v>0.33173611111111101</v>
      </c>
      <c r="E303" s="31" t="s">
        <v>6087</v>
      </c>
      <c r="G303" s="31">
        <v>1</v>
      </c>
    </row>
    <row r="304" spans="1:7" x14ac:dyDescent="0.15">
      <c r="A304" s="31">
        <v>14</v>
      </c>
      <c r="B304" s="31" t="s">
        <v>1327</v>
      </c>
      <c r="C304" s="63">
        <v>42296</v>
      </c>
      <c r="D304" s="64">
        <v>0.332476851851852</v>
      </c>
      <c r="E304" s="31" t="s">
        <v>6087</v>
      </c>
      <c r="G304" s="31">
        <v>1</v>
      </c>
    </row>
    <row r="305" spans="1:7" x14ac:dyDescent="0.15">
      <c r="A305" s="31">
        <v>20</v>
      </c>
      <c r="B305" s="31" t="s">
        <v>413</v>
      </c>
      <c r="C305" s="63">
        <v>42296</v>
      </c>
      <c r="D305" s="64">
        <v>0.33218750000000002</v>
      </c>
      <c r="E305" s="31" t="s">
        <v>6087</v>
      </c>
      <c r="G305" s="31">
        <v>1</v>
      </c>
    </row>
    <row r="306" spans="1:7" x14ac:dyDescent="0.15">
      <c r="A306" s="31">
        <v>25</v>
      </c>
      <c r="B306" s="31" t="s">
        <v>1502</v>
      </c>
      <c r="C306" s="63">
        <v>42296</v>
      </c>
      <c r="D306" s="64">
        <v>0.33263888888888898</v>
      </c>
      <c r="E306" s="31" t="s">
        <v>6087</v>
      </c>
      <c r="G306" s="31">
        <v>1</v>
      </c>
    </row>
    <row r="307" spans="1:7" x14ac:dyDescent="0.15">
      <c r="A307" s="31">
        <v>24</v>
      </c>
      <c r="B307" s="31" t="s">
        <v>1558</v>
      </c>
      <c r="C307" s="63">
        <v>42296</v>
      </c>
      <c r="D307" s="64">
        <v>0.33273148148148102</v>
      </c>
      <c r="E307" s="31" t="s">
        <v>6087</v>
      </c>
      <c r="G307" s="31">
        <v>1</v>
      </c>
    </row>
    <row r="308" spans="1:7" x14ac:dyDescent="0.15">
      <c r="A308" s="31">
        <v>23</v>
      </c>
      <c r="B308" s="31" t="s">
        <v>1349</v>
      </c>
      <c r="C308" s="63">
        <v>42296</v>
      </c>
      <c r="D308" s="64">
        <v>0.33310185185185198</v>
      </c>
      <c r="E308" s="31" t="s">
        <v>6087</v>
      </c>
      <c r="G308" s="31">
        <v>1</v>
      </c>
    </row>
    <row r="309" spans="1:7" x14ac:dyDescent="0.15">
      <c r="A309" s="31">
        <v>7</v>
      </c>
      <c r="B309" s="31" t="s">
        <v>1130</v>
      </c>
      <c r="C309" s="63">
        <v>42296</v>
      </c>
      <c r="D309" s="64">
        <v>0.72344907407407399</v>
      </c>
      <c r="E309" s="31" t="s">
        <v>6089</v>
      </c>
      <c r="G309" s="31">
        <v>1</v>
      </c>
    </row>
    <row r="310" spans="1:7" x14ac:dyDescent="0.15">
      <c r="A310" s="31">
        <v>9</v>
      </c>
      <c r="B310" s="31" t="s">
        <v>1112</v>
      </c>
      <c r="C310" s="63">
        <v>42296</v>
      </c>
      <c r="D310" s="64">
        <v>0.72376157407407404</v>
      </c>
      <c r="E310" s="31" t="s">
        <v>6087</v>
      </c>
      <c r="G310" s="31">
        <v>1</v>
      </c>
    </row>
    <row r="311" spans="1:7" x14ac:dyDescent="0.15">
      <c r="A311" s="31">
        <v>14</v>
      </c>
      <c r="B311" s="31" t="s">
        <v>1327</v>
      </c>
      <c r="C311" s="63">
        <v>42296</v>
      </c>
      <c r="D311" s="64">
        <v>0.73148148148148195</v>
      </c>
      <c r="E311" s="31" t="s">
        <v>6087</v>
      </c>
      <c r="G311" s="31">
        <v>1</v>
      </c>
    </row>
    <row r="312" spans="1:7" x14ac:dyDescent="0.15">
      <c r="A312" s="31">
        <v>25</v>
      </c>
      <c r="B312" s="31" t="s">
        <v>1502</v>
      </c>
      <c r="C312" s="63">
        <v>42296</v>
      </c>
      <c r="D312" s="64">
        <v>0.731527777777778</v>
      </c>
      <c r="E312" s="31" t="s">
        <v>6087</v>
      </c>
      <c r="G312" s="31">
        <v>1</v>
      </c>
    </row>
    <row r="313" spans="1:7" x14ac:dyDescent="0.15">
      <c r="A313" s="31">
        <v>18</v>
      </c>
      <c r="B313" s="31" t="s">
        <v>835</v>
      </c>
      <c r="C313" s="63">
        <v>42296</v>
      </c>
      <c r="D313" s="64">
        <v>0.73239583333333302</v>
      </c>
      <c r="E313" s="31" t="s">
        <v>6087</v>
      </c>
      <c r="G313" s="31">
        <v>1</v>
      </c>
    </row>
    <row r="314" spans="1:7" x14ac:dyDescent="0.15">
      <c r="A314" s="31">
        <v>4</v>
      </c>
      <c r="B314" s="31" t="s">
        <v>6090</v>
      </c>
      <c r="C314" s="63">
        <v>42296</v>
      </c>
      <c r="D314" s="64">
        <v>0.74861111111111101</v>
      </c>
      <c r="E314" s="31" t="s">
        <v>6087</v>
      </c>
      <c r="G314" s="31">
        <v>1</v>
      </c>
    </row>
    <row r="315" spans="1:7" x14ac:dyDescent="0.15">
      <c r="A315" s="31">
        <v>30</v>
      </c>
      <c r="B315" s="31" t="s">
        <v>378</v>
      </c>
      <c r="C315" s="63">
        <v>42296</v>
      </c>
      <c r="D315" s="64">
        <v>0.748842592592593</v>
      </c>
      <c r="E315" s="31" t="s">
        <v>6087</v>
      </c>
      <c r="G315" s="31">
        <v>1</v>
      </c>
    </row>
    <row r="316" spans="1:7" x14ac:dyDescent="0.15">
      <c r="A316" s="31">
        <v>23</v>
      </c>
      <c r="B316" s="31" t="s">
        <v>1349</v>
      </c>
      <c r="C316" s="63">
        <v>42296</v>
      </c>
      <c r="D316" s="64">
        <v>0.74913194444444497</v>
      </c>
      <c r="E316" s="31" t="s">
        <v>6087</v>
      </c>
      <c r="G316" s="31">
        <v>1</v>
      </c>
    </row>
    <row r="317" spans="1:7" x14ac:dyDescent="0.15">
      <c r="A317" s="31">
        <v>24</v>
      </c>
      <c r="B317" s="31" t="s">
        <v>1558</v>
      </c>
      <c r="C317" s="63">
        <v>42296</v>
      </c>
      <c r="D317" s="64">
        <v>0.74939814814814798</v>
      </c>
      <c r="E317" s="31" t="s">
        <v>6087</v>
      </c>
      <c r="G317" s="31">
        <v>1</v>
      </c>
    </row>
    <row r="318" spans="1:7" x14ac:dyDescent="0.15">
      <c r="A318" s="31">
        <v>20</v>
      </c>
      <c r="B318" s="31" t="s">
        <v>413</v>
      </c>
      <c r="C318" s="63">
        <v>42296</v>
      </c>
      <c r="D318" s="64">
        <v>0.75039351851851899</v>
      </c>
      <c r="E318" s="31" t="s">
        <v>6087</v>
      </c>
      <c r="G318" s="31">
        <v>1</v>
      </c>
    </row>
    <row r="319" spans="1:7" x14ac:dyDescent="0.15">
      <c r="A319" s="31">
        <v>6</v>
      </c>
      <c r="B319" s="31" t="s">
        <v>1712</v>
      </c>
      <c r="C319" s="63">
        <v>42296</v>
      </c>
      <c r="D319" s="64">
        <v>0.81067129629629597</v>
      </c>
      <c r="E319" s="31" t="s">
        <v>6087</v>
      </c>
      <c r="G319" s="31">
        <v>1</v>
      </c>
    </row>
    <row r="320" spans="1:7" x14ac:dyDescent="0.15">
      <c r="A320" s="31">
        <v>12</v>
      </c>
      <c r="B320" s="31" t="s">
        <v>228</v>
      </c>
      <c r="C320" s="63">
        <v>42296</v>
      </c>
      <c r="D320" s="64">
        <v>0.81585648148148104</v>
      </c>
      <c r="E320" s="31" t="s">
        <v>6087</v>
      </c>
      <c r="G320" s="31">
        <v>1</v>
      </c>
    </row>
    <row r="321" spans="1:7" x14ac:dyDescent="0.15">
      <c r="A321" s="31">
        <v>22</v>
      </c>
      <c r="B321" s="31" t="s">
        <v>1878</v>
      </c>
      <c r="C321" s="63">
        <v>42296</v>
      </c>
      <c r="D321" s="64">
        <v>0.85353009259259205</v>
      </c>
      <c r="E321" s="31" t="s">
        <v>6087</v>
      </c>
      <c r="G321" s="31">
        <v>1</v>
      </c>
    </row>
    <row r="322" spans="1:7" x14ac:dyDescent="0.15">
      <c r="A322" s="31">
        <v>27</v>
      </c>
      <c r="B322" s="31" t="s">
        <v>1915</v>
      </c>
      <c r="C322" s="63">
        <v>42296</v>
      </c>
      <c r="D322" s="64">
        <v>0.86998842592592596</v>
      </c>
      <c r="E322" s="31" t="s">
        <v>6089</v>
      </c>
      <c r="G322" s="31">
        <v>1</v>
      </c>
    </row>
    <row r="323" spans="1:7" x14ac:dyDescent="0.15">
      <c r="A323" s="31">
        <v>1</v>
      </c>
      <c r="B323" s="31" t="s">
        <v>226</v>
      </c>
      <c r="C323" s="63">
        <v>42296</v>
      </c>
      <c r="D323" s="64">
        <v>0.87010416666666701</v>
      </c>
      <c r="E323" s="31" t="s">
        <v>6089</v>
      </c>
      <c r="G323" s="31">
        <v>1</v>
      </c>
    </row>
    <row r="324" spans="1:7" x14ac:dyDescent="0.15">
      <c r="A324" s="31">
        <v>10</v>
      </c>
      <c r="B324" s="31" t="s">
        <v>1092</v>
      </c>
      <c r="C324" s="63">
        <v>42296</v>
      </c>
      <c r="D324" s="64">
        <v>0.87030092592592601</v>
      </c>
      <c r="E324" s="31" t="s">
        <v>6087</v>
      </c>
      <c r="G324" s="31">
        <v>1</v>
      </c>
    </row>
    <row r="325" spans="1:7" x14ac:dyDescent="0.15">
      <c r="A325" s="31">
        <v>15</v>
      </c>
      <c r="B325" s="31" t="s">
        <v>232</v>
      </c>
      <c r="C325" s="63">
        <v>42296</v>
      </c>
      <c r="D325" s="64">
        <v>0.875462962962963</v>
      </c>
      <c r="E325" s="31" t="s">
        <v>6087</v>
      </c>
      <c r="G325" s="31">
        <v>1</v>
      </c>
    </row>
    <row r="326" spans="1:7" x14ac:dyDescent="0.15">
      <c r="A326" s="31">
        <v>16</v>
      </c>
      <c r="B326" s="31" t="s">
        <v>1398</v>
      </c>
      <c r="C326" s="63">
        <v>42296</v>
      </c>
      <c r="D326" s="64">
        <v>0.87559027777777798</v>
      </c>
      <c r="E326" s="31" t="s">
        <v>6087</v>
      </c>
      <c r="G326" s="31">
        <v>1</v>
      </c>
    </row>
    <row r="327" spans="1:7" x14ac:dyDescent="0.15">
      <c r="A327" s="31">
        <v>13</v>
      </c>
      <c r="B327" s="31" t="s">
        <v>944</v>
      </c>
      <c r="C327" s="63">
        <v>42296</v>
      </c>
      <c r="D327" s="64">
        <v>0.87628472222222198</v>
      </c>
      <c r="E327" s="31" t="s">
        <v>6087</v>
      </c>
      <c r="G327" s="31">
        <v>1</v>
      </c>
    </row>
    <row r="328" spans="1:7" x14ac:dyDescent="0.15">
      <c r="A328" s="31">
        <v>26</v>
      </c>
      <c r="B328" s="31" t="s">
        <v>1199</v>
      </c>
      <c r="C328" s="63">
        <v>42296</v>
      </c>
      <c r="D328" s="64">
        <v>0.87767361111111097</v>
      </c>
      <c r="E328" s="31" t="s">
        <v>6087</v>
      </c>
      <c r="G328" s="31">
        <v>1</v>
      </c>
    </row>
    <row r="329" spans="1:7" x14ac:dyDescent="0.15">
      <c r="A329" s="31">
        <v>12</v>
      </c>
      <c r="B329" s="31" t="s">
        <v>228</v>
      </c>
      <c r="C329" s="63">
        <v>42297</v>
      </c>
      <c r="D329" s="64">
        <v>0.31332175925925898</v>
      </c>
      <c r="E329" s="31" t="s">
        <v>6087</v>
      </c>
      <c r="G329" s="31">
        <v>1</v>
      </c>
    </row>
    <row r="330" spans="1:7" x14ac:dyDescent="0.15">
      <c r="A330" s="31">
        <v>10</v>
      </c>
      <c r="B330" s="31" t="s">
        <v>1092</v>
      </c>
      <c r="C330" s="63">
        <v>42297</v>
      </c>
      <c r="D330" s="64">
        <v>0.318773148148148</v>
      </c>
      <c r="E330" s="31" t="s">
        <v>6087</v>
      </c>
      <c r="G330" s="31">
        <v>1</v>
      </c>
    </row>
    <row r="331" spans="1:7" x14ac:dyDescent="0.15">
      <c r="A331" s="31">
        <v>27</v>
      </c>
      <c r="B331" s="31" t="s">
        <v>1915</v>
      </c>
      <c r="C331" s="63">
        <v>42297</v>
      </c>
      <c r="D331" s="64">
        <v>0.31874999999999998</v>
      </c>
      <c r="E331" s="31" t="s">
        <v>6089</v>
      </c>
      <c r="G331" s="31">
        <v>1</v>
      </c>
    </row>
    <row r="332" spans="1:7" x14ac:dyDescent="0.15">
      <c r="A332" s="31">
        <v>1</v>
      </c>
      <c r="B332" s="31" t="s">
        <v>226</v>
      </c>
      <c r="C332" s="63">
        <v>42297</v>
      </c>
      <c r="D332" s="64">
        <v>0.318888888888889</v>
      </c>
      <c r="E332" s="31" t="s">
        <v>6089</v>
      </c>
      <c r="G332" s="31">
        <v>1</v>
      </c>
    </row>
    <row r="333" spans="1:7" x14ac:dyDescent="0.15">
      <c r="A333" s="31">
        <v>13</v>
      </c>
      <c r="B333" s="31" t="s">
        <v>944</v>
      </c>
      <c r="C333" s="63">
        <v>42297</v>
      </c>
      <c r="D333" s="64">
        <v>0.324814814814815</v>
      </c>
      <c r="E333" s="31" t="s">
        <v>6087</v>
      </c>
      <c r="G333" s="31">
        <v>1</v>
      </c>
    </row>
    <row r="334" spans="1:7" x14ac:dyDescent="0.15">
      <c r="A334" s="31">
        <v>22</v>
      </c>
      <c r="B334" s="65" t="s">
        <v>1878</v>
      </c>
      <c r="C334" s="63">
        <v>42288</v>
      </c>
      <c r="D334" s="64">
        <v>0.32712962962962999</v>
      </c>
      <c r="E334" s="31" t="s">
        <v>6087</v>
      </c>
      <c r="G334" s="31">
        <v>1</v>
      </c>
    </row>
    <row r="335" spans="1:7" x14ac:dyDescent="0.15">
      <c r="A335" s="31">
        <v>26</v>
      </c>
      <c r="B335" s="31" t="s">
        <v>1199</v>
      </c>
      <c r="C335" s="63">
        <v>42297</v>
      </c>
      <c r="D335" s="64">
        <v>0.327280092592593</v>
      </c>
      <c r="E335" s="31" t="s">
        <v>6087</v>
      </c>
      <c r="G335" s="31">
        <v>1</v>
      </c>
    </row>
    <row r="336" spans="1:7" x14ac:dyDescent="0.15">
      <c r="A336" s="31">
        <v>16</v>
      </c>
      <c r="B336" s="31" t="s">
        <v>1398</v>
      </c>
      <c r="C336" s="63">
        <v>42297</v>
      </c>
      <c r="D336" s="64">
        <v>0.328391203703704</v>
      </c>
      <c r="E336" s="31" t="s">
        <v>6087</v>
      </c>
      <c r="G336" s="31">
        <v>1</v>
      </c>
    </row>
    <row r="337" spans="1:7" x14ac:dyDescent="0.15">
      <c r="A337" s="31">
        <v>24</v>
      </c>
      <c r="B337" s="31" t="s">
        <v>1558</v>
      </c>
      <c r="C337" s="63">
        <v>42297</v>
      </c>
      <c r="D337" s="64">
        <v>0.33002314814814798</v>
      </c>
      <c r="E337" s="31" t="s">
        <v>6087</v>
      </c>
      <c r="G337" s="31">
        <v>1</v>
      </c>
    </row>
    <row r="338" spans="1:7" x14ac:dyDescent="0.15">
      <c r="A338" s="31">
        <v>18</v>
      </c>
      <c r="B338" s="31" t="s">
        <v>835</v>
      </c>
      <c r="C338" s="63">
        <v>42297</v>
      </c>
      <c r="D338" s="64">
        <v>0.33005787037036999</v>
      </c>
      <c r="E338" s="31" t="s">
        <v>6087</v>
      </c>
      <c r="G338" s="31">
        <v>1</v>
      </c>
    </row>
    <row r="339" spans="1:7" x14ac:dyDescent="0.15">
      <c r="A339" s="31">
        <v>23</v>
      </c>
      <c r="B339" s="31" t="s">
        <v>1349</v>
      </c>
      <c r="C339" s="63">
        <v>42297</v>
      </c>
      <c r="D339" s="64">
        <v>0.33021990740740698</v>
      </c>
      <c r="E339" s="31" t="s">
        <v>6087</v>
      </c>
      <c r="G339" s="31">
        <v>1</v>
      </c>
    </row>
    <row r="340" spans="1:7" x14ac:dyDescent="0.15">
      <c r="A340" s="31">
        <v>15</v>
      </c>
      <c r="B340" s="31" t="s">
        <v>232</v>
      </c>
      <c r="C340" s="63">
        <v>42297</v>
      </c>
      <c r="D340" s="64">
        <v>0.33046296296296301</v>
      </c>
      <c r="E340" s="31" t="s">
        <v>6089</v>
      </c>
      <c r="G340" s="31">
        <v>1</v>
      </c>
    </row>
    <row r="341" spans="1:7" x14ac:dyDescent="0.15">
      <c r="A341" s="31">
        <v>6</v>
      </c>
      <c r="B341" s="31" t="s">
        <v>1712</v>
      </c>
      <c r="C341" s="63">
        <v>42297</v>
      </c>
      <c r="D341" s="64">
        <v>0.33174768518518499</v>
      </c>
      <c r="E341" s="31" t="s">
        <v>6087</v>
      </c>
      <c r="G341" s="31">
        <v>1</v>
      </c>
    </row>
    <row r="342" spans="1:7" x14ac:dyDescent="0.15">
      <c r="A342" s="31">
        <v>9</v>
      </c>
      <c r="B342" s="31" t="s">
        <v>1112</v>
      </c>
      <c r="C342" s="63">
        <v>42297</v>
      </c>
      <c r="D342" s="64">
        <v>0.33138888888888901</v>
      </c>
      <c r="E342" s="31" t="s">
        <v>6087</v>
      </c>
      <c r="G342" s="31">
        <v>1</v>
      </c>
    </row>
    <row r="343" spans="1:7" x14ac:dyDescent="0.15">
      <c r="A343" s="31">
        <v>7</v>
      </c>
      <c r="B343" s="31" t="s">
        <v>1130</v>
      </c>
      <c r="C343" s="63">
        <v>42297</v>
      </c>
      <c r="D343" s="64">
        <v>0.33162037037037001</v>
      </c>
      <c r="E343" s="31" t="s">
        <v>6089</v>
      </c>
      <c r="G343" s="31">
        <v>1</v>
      </c>
    </row>
    <row r="344" spans="1:7" x14ac:dyDescent="0.15">
      <c r="A344" s="31">
        <v>20</v>
      </c>
      <c r="B344" s="31" t="s">
        <v>413</v>
      </c>
      <c r="C344" s="63">
        <v>42297</v>
      </c>
      <c r="D344" s="64">
        <v>0.331701388888889</v>
      </c>
      <c r="E344" s="31" t="s">
        <v>6087</v>
      </c>
      <c r="G344" s="31">
        <v>1</v>
      </c>
    </row>
    <row r="345" spans="1:7" x14ac:dyDescent="0.15">
      <c r="A345" s="31">
        <v>30</v>
      </c>
      <c r="B345" s="31" t="s">
        <v>378</v>
      </c>
      <c r="C345" s="63">
        <v>42297</v>
      </c>
      <c r="D345" s="64">
        <v>0.33179398148148098</v>
      </c>
      <c r="E345" s="31" t="s">
        <v>6087</v>
      </c>
      <c r="G345" s="31">
        <v>1</v>
      </c>
    </row>
    <row r="346" spans="1:7" x14ac:dyDescent="0.15">
      <c r="A346" s="31">
        <v>4</v>
      </c>
      <c r="B346" s="31" t="s">
        <v>6090</v>
      </c>
      <c r="C346" s="63">
        <v>42297</v>
      </c>
      <c r="D346" s="64">
        <v>0.33190972222222198</v>
      </c>
      <c r="E346" s="31" t="s">
        <v>6087</v>
      </c>
      <c r="G346" s="31">
        <v>1</v>
      </c>
    </row>
    <row r="347" spans="1:7" x14ac:dyDescent="0.15">
      <c r="A347" s="31">
        <v>23</v>
      </c>
      <c r="B347" s="31" t="s">
        <v>1349</v>
      </c>
      <c r="C347" s="63">
        <v>42297</v>
      </c>
      <c r="D347" s="64">
        <v>0.33246527777777801</v>
      </c>
      <c r="E347" s="31" t="s">
        <v>6087</v>
      </c>
      <c r="G347" s="31">
        <v>1</v>
      </c>
    </row>
    <row r="348" spans="1:7" x14ac:dyDescent="0.15">
      <c r="A348" s="31">
        <v>14</v>
      </c>
      <c r="B348" s="31" t="s">
        <v>1327</v>
      </c>
      <c r="C348" s="63">
        <v>42297</v>
      </c>
      <c r="D348" s="64">
        <v>0.332974537037037</v>
      </c>
      <c r="E348" s="31" t="s">
        <v>6087</v>
      </c>
      <c r="G348" s="31">
        <v>1</v>
      </c>
    </row>
    <row r="349" spans="1:7" x14ac:dyDescent="0.15">
      <c r="A349" s="31">
        <v>25</v>
      </c>
      <c r="B349" s="31" t="s">
        <v>1502</v>
      </c>
      <c r="C349" s="63">
        <v>42297</v>
      </c>
      <c r="D349" s="64">
        <v>0.33300925925925901</v>
      </c>
      <c r="E349" s="31" t="s">
        <v>6087</v>
      </c>
      <c r="G349" s="31">
        <v>1</v>
      </c>
    </row>
    <row r="350" spans="1:7" x14ac:dyDescent="0.15">
      <c r="A350" s="31">
        <v>4</v>
      </c>
      <c r="B350" s="31" t="s">
        <v>6090</v>
      </c>
      <c r="C350" s="63">
        <v>42297</v>
      </c>
      <c r="D350" s="64">
        <v>0.71337962962962997</v>
      </c>
      <c r="E350" s="31" t="s">
        <v>6087</v>
      </c>
      <c r="G350" s="31">
        <v>1</v>
      </c>
    </row>
    <row r="351" spans="1:7" x14ac:dyDescent="0.15">
      <c r="A351" s="31">
        <v>30</v>
      </c>
      <c r="B351" s="31" t="s">
        <v>378</v>
      </c>
      <c r="C351" s="63">
        <v>42297</v>
      </c>
      <c r="D351" s="64">
        <v>0.71476851851851897</v>
      </c>
      <c r="E351" s="31" t="s">
        <v>6087</v>
      </c>
      <c r="G351" s="31">
        <v>1</v>
      </c>
    </row>
    <row r="352" spans="1:7" x14ac:dyDescent="0.15">
      <c r="A352" s="31">
        <v>9</v>
      </c>
      <c r="B352" s="31" t="s">
        <v>1112</v>
      </c>
      <c r="C352" s="63">
        <v>42297</v>
      </c>
      <c r="D352" s="64">
        <v>0.71847222222222196</v>
      </c>
      <c r="E352" s="31" t="s">
        <v>6087</v>
      </c>
      <c r="G352" s="31">
        <v>1</v>
      </c>
    </row>
    <row r="353" spans="1:7" x14ac:dyDescent="0.15">
      <c r="A353" s="31">
        <v>9</v>
      </c>
      <c r="B353" s="31" t="s">
        <v>1112</v>
      </c>
      <c r="C353" s="63">
        <v>42297</v>
      </c>
      <c r="D353" s="64">
        <v>0.71894675925925899</v>
      </c>
      <c r="E353" s="31" t="s">
        <v>6087</v>
      </c>
      <c r="G353" s="31">
        <v>1</v>
      </c>
    </row>
    <row r="354" spans="1:7" x14ac:dyDescent="0.15">
      <c r="A354" s="31">
        <v>20</v>
      </c>
      <c r="B354" s="31" t="s">
        <v>413</v>
      </c>
      <c r="C354" s="63">
        <v>42297</v>
      </c>
      <c r="D354" s="64">
        <v>0.71920138888888896</v>
      </c>
      <c r="E354" s="31" t="s">
        <v>6087</v>
      </c>
      <c r="G354" s="31">
        <v>1</v>
      </c>
    </row>
    <row r="355" spans="1:7" x14ac:dyDescent="0.15">
      <c r="A355" s="31">
        <v>7</v>
      </c>
      <c r="B355" s="31" t="s">
        <v>1130</v>
      </c>
      <c r="C355" s="63">
        <v>42297</v>
      </c>
      <c r="D355" s="64">
        <v>0.71978009259259301</v>
      </c>
      <c r="E355" s="31" t="s">
        <v>6087</v>
      </c>
      <c r="G355" s="31">
        <v>1</v>
      </c>
    </row>
    <row r="356" spans="1:7" x14ac:dyDescent="0.15">
      <c r="A356" s="31">
        <v>23</v>
      </c>
      <c r="B356" s="31" t="s">
        <v>1349</v>
      </c>
      <c r="C356" s="63">
        <v>42297</v>
      </c>
      <c r="D356" s="64">
        <v>0.74913194444444497</v>
      </c>
      <c r="E356" s="31" t="s">
        <v>6087</v>
      </c>
      <c r="G356" s="31">
        <v>1</v>
      </c>
    </row>
    <row r="357" spans="1:7" x14ac:dyDescent="0.15">
      <c r="A357" s="31">
        <v>25</v>
      </c>
      <c r="B357" s="31" t="s">
        <v>1502</v>
      </c>
      <c r="C357" s="63">
        <v>42297</v>
      </c>
      <c r="D357" s="64">
        <v>0.768472222222222</v>
      </c>
      <c r="E357" s="31" t="s">
        <v>6087</v>
      </c>
      <c r="G357" s="31">
        <v>1</v>
      </c>
    </row>
    <row r="358" spans="1:7" x14ac:dyDescent="0.15">
      <c r="A358" s="31">
        <v>24</v>
      </c>
      <c r="B358" s="31" t="s">
        <v>1558</v>
      </c>
      <c r="C358" s="63">
        <v>42297</v>
      </c>
      <c r="D358" s="64">
        <v>0.77025462962962998</v>
      </c>
      <c r="E358" s="31" t="s">
        <v>6087</v>
      </c>
      <c r="G358" s="31">
        <v>1</v>
      </c>
    </row>
    <row r="359" spans="1:7" x14ac:dyDescent="0.15">
      <c r="A359" s="31">
        <v>27</v>
      </c>
      <c r="B359" s="31" t="s">
        <v>1915</v>
      </c>
      <c r="C359" s="63">
        <v>42297</v>
      </c>
      <c r="D359" s="64">
        <v>0.77027777777777795</v>
      </c>
      <c r="E359" s="31" t="s">
        <v>6089</v>
      </c>
      <c r="G359" s="31">
        <v>1</v>
      </c>
    </row>
    <row r="360" spans="1:7" x14ac:dyDescent="0.15">
      <c r="A360" s="31">
        <v>1</v>
      </c>
      <c r="B360" s="31" t="s">
        <v>226</v>
      </c>
      <c r="C360" s="63">
        <v>42297</v>
      </c>
      <c r="D360" s="64">
        <v>0.77050925925925895</v>
      </c>
      <c r="E360" s="31" t="s">
        <v>6089</v>
      </c>
      <c r="G360" s="31">
        <v>1</v>
      </c>
    </row>
    <row r="361" spans="1:7" x14ac:dyDescent="0.15">
      <c r="A361" s="31">
        <v>14</v>
      </c>
      <c r="B361" s="31" t="s">
        <v>1327</v>
      </c>
      <c r="C361" s="63">
        <v>42297</v>
      </c>
      <c r="D361" s="64">
        <v>0.77545138888888898</v>
      </c>
      <c r="E361" s="31" t="s">
        <v>6087</v>
      </c>
      <c r="G361" s="31">
        <v>1</v>
      </c>
    </row>
    <row r="362" spans="1:7" x14ac:dyDescent="0.15">
      <c r="A362" s="31">
        <v>6</v>
      </c>
      <c r="B362" s="31" t="s">
        <v>1712</v>
      </c>
      <c r="C362" s="63">
        <v>42297</v>
      </c>
      <c r="D362" s="64">
        <v>0.80912037037036999</v>
      </c>
      <c r="E362" s="31" t="s">
        <v>6087</v>
      </c>
      <c r="G362" s="31">
        <v>1</v>
      </c>
    </row>
    <row r="363" spans="1:7" x14ac:dyDescent="0.15">
      <c r="A363" s="31">
        <v>22</v>
      </c>
      <c r="B363" s="65" t="s">
        <v>1878</v>
      </c>
      <c r="C363" s="63">
        <v>42297</v>
      </c>
      <c r="D363" s="64">
        <v>0.82018518518518502</v>
      </c>
      <c r="E363" s="31" t="s">
        <v>6087</v>
      </c>
      <c r="G363" s="31">
        <v>1</v>
      </c>
    </row>
    <row r="364" spans="1:7" x14ac:dyDescent="0.15">
      <c r="A364" s="31">
        <v>18</v>
      </c>
      <c r="B364" s="31" t="s">
        <v>835</v>
      </c>
      <c r="C364" s="63">
        <v>42297</v>
      </c>
      <c r="D364" s="64">
        <v>0.84843749999999996</v>
      </c>
      <c r="E364" s="31" t="s">
        <v>6087</v>
      </c>
      <c r="G364" s="31">
        <v>1</v>
      </c>
    </row>
    <row r="365" spans="1:7" x14ac:dyDescent="0.15">
      <c r="A365" s="31">
        <v>12</v>
      </c>
      <c r="B365" s="31" t="s">
        <v>228</v>
      </c>
      <c r="C365" s="63">
        <v>42297</v>
      </c>
      <c r="D365" s="64">
        <v>0.84856481481481505</v>
      </c>
      <c r="E365" s="31" t="s">
        <v>6087</v>
      </c>
      <c r="G365" s="31">
        <v>1</v>
      </c>
    </row>
    <row r="366" spans="1:7" x14ac:dyDescent="0.15">
      <c r="A366" s="31">
        <v>15</v>
      </c>
      <c r="B366" s="31" t="s">
        <v>232</v>
      </c>
      <c r="C366" s="63">
        <v>42297</v>
      </c>
      <c r="D366" s="64">
        <v>0.87542824074074099</v>
      </c>
      <c r="E366" s="31" t="s">
        <v>6087</v>
      </c>
      <c r="G366" s="31">
        <v>1</v>
      </c>
    </row>
    <row r="367" spans="1:7" x14ac:dyDescent="0.15">
      <c r="A367" s="31">
        <v>13</v>
      </c>
      <c r="B367" s="31" t="s">
        <v>944</v>
      </c>
      <c r="C367" s="63">
        <v>42297</v>
      </c>
      <c r="D367" s="64">
        <v>0.87550925925925904</v>
      </c>
      <c r="E367" s="31" t="s">
        <v>6087</v>
      </c>
      <c r="G367" s="31">
        <v>1</v>
      </c>
    </row>
    <row r="368" spans="1:7" x14ac:dyDescent="0.15">
      <c r="A368" s="31">
        <v>16</v>
      </c>
      <c r="B368" s="31" t="s">
        <v>1398</v>
      </c>
      <c r="C368" s="63">
        <v>42297</v>
      </c>
      <c r="D368" s="64">
        <v>0.87560185185185202</v>
      </c>
      <c r="E368" s="31" t="s">
        <v>6087</v>
      </c>
      <c r="G368" s="31">
        <v>1</v>
      </c>
    </row>
    <row r="369" spans="1:7" x14ac:dyDescent="0.15">
      <c r="A369" s="31">
        <v>10</v>
      </c>
      <c r="B369" s="31" t="s">
        <v>1092</v>
      </c>
      <c r="C369" s="63">
        <v>42297</v>
      </c>
      <c r="D369" s="64">
        <v>0.90210648148148198</v>
      </c>
      <c r="E369" s="31" t="s">
        <v>6087</v>
      </c>
      <c r="G369" s="31">
        <v>1</v>
      </c>
    </row>
    <row r="370" spans="1:7" x14ac:dyDescent="0.15">
      <c r="A370" s="31">
        <v>26</v>
      </c>
      <c r="B370" s="31" t="s">
        <v>1199</v>
      </c>
      <c r="C370" s="63">
        <v>42297</v>
      </c>
      <c r="D370" s="64">
        <v>0.90280092592592598</v>
      </c>
      <c r="E370" s="31" t="s">
        <v>6087</v>
      </c>
      <c r="G370" s="31">
        <v>1</v>
      </c>
    </row>
  </sheetData>
  <autoFilter ref="A1:AM370" xr:uid="{00000000-0009-0000-0000-00000A000000}"/>
  <phoneticPr fontId="1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AM54"/>
  <sheetViews>
    <sheetView workbookViewId="0">
      <pane ySplit="1" topLeftCell="A2" activePane="bottomLeft" state="frozen"/>
      <selection pane="bottomLeft" activeCell="F2" sqref="F2"/>
    </sheetView>
  </sheetViews>
  <sheetFormatPr defaultColWidth="9" defaultRowHeight="13.5" x14ac:dyDescent="0.15"/>
  <cols>
    <col min="4" max="4" width="13.875" customWidth="1"/>
    <col min="10" max="10" width="12.375" customWidth="1"/>
    <col min="22" max="39" width="9" style="20"/>
  </cols>
  <sheetData>
    <row r="1" spans="1:21" x14ac:dyDescent="0.15">
      <c r="A1" t="s">
        <v>127</v>
      </c>
      <c r="B1" t="s">
        <v>4329</v>
      </c>
      <c r="C1" t="s">
        <v>4328</v>
      </c>
      <c r="D1" t="s">
        <v>6091</v>
      </c>
      <c r="E1" t="s">
        <v>6092</v>
      </c>
      <c r="F1" t="s">
        <v>6093</v>
      </c>
      <c r="G1" t="s">
        <v>6094</v>
      </c>
      <c r="H1" t="s">
        <v>6095</v>
      </c>
      <c r="I1" t="s">
        <v>6096</v>
      </c>
      <c r="J1" t="s">
        <v>6097</v>
      </c>
      <c r="K1" t="s">
        <v>6098</v>
      </c>
      <c r="L1" t="s">
        <v>6099</v>
      </c>
      <c r="M1" t="s">
        <v>6100</v>
      </c>
      <c r="N1" t="s">
        <v>6101</v>
      </c>
      <c r="O1" t="s">
        <v>6102</v>
      </c>
      <c r="P1" t="s">
        <v>6103</v>
      </c>
      <c r="Q1" t="s">
        <v>6104</v>
      </c>
      <c r="R1" t="s">
        <v>6105</v>
      </c>
      <c r="S1" t="s">
        <v>6106</v>
      </c>
      <c r="T1" t="s">
        <v>6107</v>
      </c>
      <c r="U1" t="s">
        <v>6108</v>
      </c>
    </row>
    <row r="2" spans="1:21" x14ac:dyDescent="0.15">
      <c r="A2" t="s">
        <v>420</v>
      </c>
      <c r="B2" t="s">
        <v>4561</v>
      </c>
      <c r="C2" t="s">
        <v>421</v>
      </c>
      <c r="D2" t="s">
        <v>6109</v>
      </c>
      <c r="E2">
        <v>2</v>
      </c>
      <c r="F2" t="s">
        <v>6110</v>
      </c>
      <c r="G2" t="s">
        <v>6111</v>
      </c>
    </row>
    <row r="3" spans="1:21" x14ac:dyDescent="0.15">
      <c r="A3" t="s">
        <v>420</v>
      </c>
      <c r="B3" t="s">
        <v>4561</v>
      </c>
      <c r="C3" t="s">
        <v>421</v>
      </c>
      <c r="D3" t="s">
        <v>6112</v>
      </c>
      <c r="E3">
        <v>2</v>
      </c>
      <c r="F3" t="s">
        <v>6113</v>
      </c>
      <c r="G3" t="s">
        <v>6111</v>
      </c>
    </row>
    <row r="4" spans="1:21" x14ac:dyDescent="0.15">
      <c r="A4" t="s">
        <v>420</v>
      </c>
      <c r="B4" t="s">
        <v>4561</v>
      </c>
      <c r="C4" t="s">
        <v>421</v>
      </c>
      <c r="D4" t="s">
        <v>4688</v>
      </c>
      <c r="E4">
        <v>2</v>
      </c>
      <c r="F4" t="s">
        <v>6114</v>
      </c>
      <c r="G4" t="s">
        <v>6115</v>
      </c>
    </row>
    <row r="5" spans="1:21" x14ac:dyDescent="0.15">
      <c r="A5" t="s">
        <v>420</v>
      </c>
      <c r="B5" t="s">
        <v>4561</v>
      </c>
      <c r="C5" t="s">
        <v>421</v>
      </c>
      <c r="D5" t="s">
        <v>6116</v>
      </c>
      <c r="E5">
        <v>2</v>
      </c>
      <c r="F5" t="s">
        <v>6114</v>
      </c>
      <c r="G5" t="s">
        <v>6111</v>
      </c>
    </row>
    <row r="6" spans="1:21" x14ac:dyDescent="0.15">
      <c r="A6" t="s">
        <v>420</v>
      </c>
      <c r="B6" t="s">
        <v>4561</v>
      </c>
      <c r="C6" t="s">
        <v>421</v>
      </c>
      <c r="D6" t="s">
        <v>5741</v>
      </c>
      <c r="E6">
        <v>2</v>
      </c>
      <c r="F6" t="s">
        <v>6117</v>
      </c>
      <c r="G6" t="s">
        <v>6118</v>
      </c>
    </row>
    <row r="7" spans="1:21" x14ac:dyDescent="0.15">
      <c r="A7" t="s">
        <v>441</v>
      </c>
      <c r="B7" t="s">
        <v>4583</v>
      </c>
      <c r="C7" t="s">
        <v>442</v>
      </c>
      <c r="D7" t="s">
        <v>6119</v>
      </c>
      <c r="E7">
        <v>2</v>
      </c>
      <c r="F7" t="s">
        <v>6120</v>
      </c>
      <c r="G7" t="s">
        <v>6118</v>
      </c>
    </row>
    <row r="8" spans="1:21" x14ac:dyDescent="0.15">
      <c r="A8" t="s">
        <v>441</v>
      </c>
      <c r="B8" t="s">
        <v>4583</v>
      </c>
      <c r="C8" t="s">
        <v>442</v>
      </c>
      <c r="D8" t="s">
        <v>6121</v>
      </c>
      <c r="E8">
        <v>2</v>
      </c>
      <c r="F8" t="s">
        <v>6122</v>
      </c>
      <c r="G8" t="s">
        <v>6118</v>
      </c>
    </row>
    <row r="9" spans="1:21" x14ac:dyDescent="0.15">
      <c r="A9" t="s">
        <v>441</v>
      </c>
      <c r="B9" t="s">
        <v>4583</v>
      </c>
      <c r="C9" t="s">
        <v>442</v>
      </c>
      <c r="D9" t="s">
        <v>6123</v>
      </c>
      <c r="E9">
        <v>2</v>
      </c>
      <c r="F9" t="s">
        <v>6124</v>
      </c>
      <c r="G9" t="s">
        <v>6125</v>
      </c>
    </row>
    <row r="10" spans="1:21" x14ac:dyDescent="0.15">
      <c r="A10" t="s">
        <v>441</v>
      </c>
      <c r="B10" t="s">
        <v>4583</v>
      </c>
      <c r="C10" t="s">
        <v>442</v>
      </c>
      <c r="D10" t="s">
        <v>6126</v>
      </c>
      <c r="E10">
        <v>2</v>
      </c>
      <c r="F10" t="s">
        <v>6124</v>
      </c>
      <c r="G10" t="s">
        <v>6127</v>
      </c>
    </row>
    <row r="11" spans="1:21" x14ac:dyDescent="0.15">
      <c r="A11" t="s">
        <v>441</v>
      </c>
      <c r="B11" t="s">
        <v>4583</v>
      </c>
      <c r="C11" t="s">
        <v>442</v>
      </c>
      <c r="D11" t="s">
        <v>6128</v>
      </c>
      <c r="E11">
        <v>2</v>
      </c>
      <c r="F11" t="s">
        <v>6129</v>
      </c>
      <c r="G11" t="s">
        <v>6115</v>
      </c>
    </row>
    <row r="12" spans="1:21" x14ac:dyDescent="0.15">
      <c r="A12" t="s">
        <v>441</v>
      </c>
      <c r="B12" t="s">
        <v>4583</v>
      </c>
      <c r="C12" t="s">
        <v>442</v>
      </c>
      <c r="D12" t="s">
        <v>6109</v>
      </c>
      <c r="E12">
        <v>2</v>
      </c>
      <c r="F12" t="s">
        <v>6130</v>
      </c>
      <c r="G12" t="s">
        <v>6115</v>
      </c>
    </row>
    <row r="13" spans="1:21" x14ac:dyDescent="0.15">
      <c r="A13" t="s">
        <v>441</v>
      </c>
      <c r="B13" t="s">
        <v>4583</v>
      </c>
      <c r="C13" t="s">
        <v>442</v>
      </c>
      <c r="D13" t="s">
        <v>6112</v>
      </c>
      <c r="E13">
        <v>2</v>
      </c>
      <c r="F13" t="s">
        <v>6131</v>
      </c>
      <c r="G13" t="s">
        <v>6118</v>
      </c>
    </row>
    <row r="14" spans="1:21" x14ac:dyDescent="0.15">
      <c r="A14" t="s">
        <v>441</v>
      </c>
      <c r="B14" t="s">
        <v>4583</v>
      </c>
      <c r="C14" t="s">
        <v>442</v>
      </c>
      <c r="D14" t="s">
        <v>4688</v>
      </c>
      <c r="E14">
        <v>2</v>
      </c>
      <c r="F14" t="s">
        <v>6132</v>
      </c>
      <c r="G14" t="s">
        <v>6125</v>
      </c>
    </row>
    <row r="15" spans="1:21" x14ac:dyDescent="0.15">
      <c r="A15" t="s">
        <v>441</v>
      </c>
      <c r="B15" t="s">
        <v>4583</v>
      </c>
      <c r="C15" t="s">
        <v>442</v>
      </c>
      <c r="D15" t="s">
        <v>6116</v>
      </c>
      <c r="E15">
        <v>2</v>
      </c>
      <c r="F15" t="s">
        <v>6133</v>
      </c>
      <c r="G15" t="s">
        <v>6115</v>
      </c>
    </row>
    <row r="16" spans="1:21" x14ac:dyDescent="0.15">
      <c r="A16" t="s">
        <v>441</v>
      </c>
      <c r="B16" t="s">
        <v>4583</v>
      </c>
      <c r="C16" t="s">
        <v>442</v>
      </c>
      <c r="D16" t="s">
        <v>5741</v>
      </c>
      <c r="E16">
        <v>2</v>
      </c>
      <c r="F16" t="s">
        <v>6134</v>
      </c>
      <c r="G16" t="s">
        <v>6115</v>
      </c>
    </row>
    <row r="17" spans="1:7" x14ac:dyDescent="0.15">
      <c r="A17" t="s">
        <v>459</v>
      </c>
      <c r="B17" t="s">
        <v>4593</v>
      </c>
      <c r="C17" t="s">
        <v>460</v>
      </c>
      <c r="D17" t="s">
        <v>6123</v>
      </c>
      <c r="E17">
        <v>1</v>
      </c>
      <c r="F17" t="s">
        <v>6135</v>
      </c>
    </row>
    <row r="18" spans="1:7" x14ac:dyDescent="0.15">
      <c r="A18" t="s">
        <v>459</v>
      </c>
      <c r="B18" t="s">
        <v>4593</v>
      </c>
      <c r="C18" t="s">
        <v>460</v>
      </c>
      <c r="D18" t="s">
        <v>6109</v>
      </c>
      <c r="E18">
        <v>2</v>
      </c>
      <c r="F18" t="s">
        <v>6136</v>
      </c>
      <c r="G18" t="s">
        <v>6137</v>
      </c>
    </row>
    <row r="19" spans="1:7" x14ac:dyDescent="0.15">
      <c r="A19" t="s">
        <v>459</v>
      </c>
      <c r="B19" t="s">
        <v>4593</v>
      </c>
      <c r="C19" t="s">
        <v>460</v>
      </c>
      <c r="D19" t="s">
        <v>6112</v>
      </c>
      <c r="E19">
        <v>2</v>
      </c>
      <c r="F19" t="s">
        <v>6138</v>
      </c>
      <c r="G19" t="s">
        <v>6137</v>
      </c>
    </row>
    <row r="20" spans="1:7" x14ac:dyDescent="0.15">
      <c r="A20" t="s">
        <v>459</v>
      </c>
      <c r="B20" t="s">
        <v>4593</v>
      </c>
      <c r="C20" t="s">
        <v>460</v>
      </c>
      <c r="D20" t="s">
        <v>4688</v>
      </c>
      <c r="E20">
        <v>2</v>
      </c>
      <c r="F20" t="s">
        <v>6139</v>
      </c>
      <c r="G20" t="s">
        <v>6140</v>
      </c>
    </row>
    <row r="21" spans="1:7" x14ac:dyDescent="0.15">
      <c r="A21" t="s">
        <v>459</v>
      </c>
      <c r="B21" t="s">
        <v>4593</v>
      </c>
      <c r="C21" t="s">
        <v>460</v>
      </c>
      <c r="D21" t="s">
        <v>6116</v>
      </c>
      <c r="E21">
        <v>2</v>
      </c>
      <c r="F21" t="s">
        <v>6138</v>
      </c>
      <c r="G21" t="s">
        <v>6118</v>
      </c>
    </row>
    <row r="22" spans="1:7" x14ac:dyDescent="0.15">
      <c r="A22" t="s">
        <v>459</v>
      </c>
      <c r="B22" t="s">
        <v>4593</v>
      </c>
      <c r="C22" t="s">
        <v>460</v>
      </c>
      <c r="D22" t="s">
        <v>5741</v>
      </c>
      <c r="E22">
        <v>2</v>
      </c>
      <c r="F22" t="s">
        <v>6141</v>
      </c>
      <c r="G22" t="s">
        <v>6142</v>
      </c>
    </row>
    <row r="23" spans="1:7" x14ac:dyDescent="0.15">
      <c r="A23" t="s">
        <v>1409</v>
      </c>
      <c r="B23" t="s">
        <v>5157</v>
      </c>
      <c r="C23" t="s">
        <v>1410</v>
      </c>
      <c r="D23" t="s">
        <v>6121</v>
      </c>
      <c r="E23">
        <v>2</v>
      </c>
      <c r="F23" t="s">
        <v>6143</v>
      </c>
      <c r="G23" t="s">
        <v>6144</v>
      </c>
    </row>
    <row r="24" spans="1:7" x14ac:dyDescent="0.15">
      <c r="A24" t="s">
        <v>1409</v>
      </c>
      <c r="B24" t="s">
        <v>5157</v>
      </c>
      <c r="C24" t="s">
        <v>1410</v>
      </c>
      <c r="D24" t="s">
        <v>6123</v>
      </c>
      <c r="E24">
        <v>2</v>
      </c>
      <c r="F24" t="s">
        <v>6145</v>
      </c>
      <c r="G24" t="s">
        <v>6146</v>
      </c>
    </row>
    <row r="25" spans="1:7" x14ac:dyDescent="0.15">
      <c r="A25" t="s">
        <v>1409</v>
      </c>
      <c r="B25" t="s">
        <v>5157</v>
      </c>
      <c r="C25" t="s">
        <v>1410</v>
      </c>
      <c r="D25" t="s">
        <v>6126</v>
      </c>
      <c r="E25">
        <v>2</v>
      </c>
      <c r="F25" t="s">
        <v>6143</v>
      </c>
      <c r="G25" t="s">
        <v>6147</v>
      </c>
    </row>
    <row r="26" spans="1:7" x14ac:dyDescent="0.15">
      <c r="A26" t="s">
        <v>1409</v>
      </c>
      <c r="B26" t="s">
        <v>5157</v>
      </c>
      <c r="C26" t="s">
        <v>1410</v>
      </c>
      <c r="D26" t="s">
        <v>6128</v>
      </c>
      <c r="E26">
        <v>2</v>
      </c>
      <c r="F26" t="s">
        <v>6139</v>
      </c>
      <c r="G26" t="s">
        <v>6147</v>
      </c>
    </row>
    <row r="27" spans="1:7" x14ac:dyDescent="0.15">
      <c r="A27" t="s">
        <v>1409</v>
      </c>
      <c r="B27" t="s">
        <v>5157</v>
      </c>
      <c r="C27" t="s">
        <v>1410</v>
      </c>
      <c r="D27" t="s">
        <v>6109</v>
      </c>
      <c r="E27">
        <v>2</v>
      </c>
      <c r="F27" t="s">
        <v>6139</v>
      </c>
      <c r="G27" t="s">
        <v>6148</v>
      </c>
    </row>
    <row r="28" spans="1:7" x14ac:dyDescent="0.15">
      <c r="A28" t="s">
        <v>1409</v>
      </c>
      <c r="B28" t="s">
        <v>5157</v>
      </c>
      <c r="C28" t="s">
        <v>1410</v>
      </c>
      <c r="D28" t="s">
        <v>6112</v>
      </c>
      <c r="E28">
        <v>2</v>
      </c>
      <c r="F28" t="s">
        <v>6143</v>
      </c>
      <c r="G28" t="s">
        <v>6148</v>
      </c>
    </row>
    <row r="29" spans="1:7" x14ac:dyDescent="0.15">
      <c r="A29" t="s">
        <v>1409</v>
      </c>
      <c r="B29" t="s">
        <v>5157</v>
      </c>
      <c r="C29" t="s">
        <v>1410</v>
      </c>
      <c r="D29" t="s">
        <v>4688</v>
      </c>
      <c r="E29">
        <v>2</v>
      </c>
      <c r="F29" t="s">
        <v>6149</v>
      </c>
      <c r="G29" t="s">
        <v>6150</v>
      </c>
    </row>
    <row r="30" spans="1:7" x14ac:dyDescent="0.15">
      <c r="A30" t="s">
        <v>1409</v>
      </c>
      <c r="B30" t="s">
        <v>5157</v>
      </c>
      <c r="C30" t="s">
        <v>1410</v>
      </c>
      <c r="D30" t="s">
        <v>6116</v>
      </c>
      <c r="E30">
        <v>2</v>
      </c>
      <c r="F30" t="s">
        <v>6139</v>
      </c>
      <c r="G30" t="s">
        <v>6151</v>
      </c>
    </row>
    <row r="31" spans="1:7" x14ac:dyDescent="0.15">
      <c r="A31" t="s">
        <v>1409</v>
      </c>
      <c r="B31" t="s">
        <v>5157</v>
      </c>
      <c r="C31" t="s">
        <v>1410</v>
      </c>
      <c r="D31" t="s">
        <v>5741</v>
      </c>
      <c r="E31">
        <v>2</v>
      </c>
      <c r="F31" t="s">
        <v>6152</v>
      </c>
      <c r="G31" t="s">
        <v>6153</v>
      </c>
    </row>
    <row r="32" spans="1:7" x14ac:dyDescent="0.15">
      <c r="A32" t="s">
        <v>1411</v>
      </c>
      <c r="B32" t="s">
        <v>5161</v>
      </c>
      <c r="C32" t="s">
        <v>1412</v>
      </c>
      <c r="D32" t="s">
        <v>6109</v>
      </c>
      <c r="E32">
        <v>2</v>
      </c>
      <c r="F32" t="s">
        <v>6154</v>
      </c>
      <c r="G32" t="s">
        <v>6155</v>
      </c>
    </row>
    <row r="33" spans="1:7" x14ac:dyDescent="0.15">
      <c r="A33" t="s">
        <v>1411</v>
      </c>
      <c r="B33" t="s">
        <v>5161</v>
      </c>
      <c r="C33" t="s">
        <v>1412</v>
      </c>
      <c r="D33" t="s">
        <v>6112</v>
      </c>
      <c r="E33">
        <v>2</v>
      </c>
      <c r="F33" t="s">
        <v>6141</v>
      </c>
      <c r="G33" t="s">
        <v>6115</v>
      </c>
    </row>
    <row r="34" spans="1:7" x14ac:dyDescent="0.15">
      <c r="A34" t="s">
        <v>1411</v>
      </c>
      <c r="B34" t="s">
        <v>5161</v>
      </c>
      <c r="C34" t="s">
        <v>1412</v>
      </c>
      <c r="D34" t="s">
        <v>4688</v>
      </c>
      <c r="E34">
        <v>2</v>
      </c>
      <c r="F34" t="s">
        <v>6117</v>
      </c>
      <c r="G34" t="s">
        <v>6142</v>
      </c>
    </row>
    <row r="35" spans="1:7" x14ac:dyDescent="0.15">
      <c r="A35" t="s">
        <v>1411</v>
      </c>
      <c r="B35" t="s">
        <v>5161</v>
      </c>
      <c r="C35" t="s">
        <v>1412</v>
      </c>
      <c r="D35" t="s">
        <v>6116</v>
      </c>
      <c r="E35">
        <v>2</v>
      </c>
      <c r="F35" t="s">
        <v>6154</v>
      </c>
      <c r="G35" t="s">
        <v>6156</v>
      </c>
    </row>
    <row r="36" spans="1:7" x14ac:dyDescent="0.15">
      <c r="A36" t="s">
        <v>1411</v>
      </c>
      <c r="B36" t="s">
        <v>5161</v>
      </c>
      <c r="C36" t="s">
        <v>1412</v>
      </c>
      <c r="D36" t="s">
        <v>5741</v>
      </c>
      <c r="E36">
        <v>2</v>
      </c>
      <c r="F36" t="s">
        <v>6138</v>
      </c>
      <c r="G36" t="s">
        <v>6157</v>
      </c>
    </row>
    <row r="37" spans="1:7" x14ac:dyDescent="0.15">
      <c r="A37" t="s">
        <v>1413</v>
      </c>
      <c r="B37" t="s">
        <v>5162</v>
      </c>
      <c r="C37" t="s">
        <v>1414</v>
      </c>
      <c r="D37" t="s">
        <v>6121</v>
      </c>
      <c r="E37">
        <v>1</v>
      </c>
      <c r="F37" t="s">
        <v>6153</v>
      </c>
    </row>
    <row r="38" spans="1:7" x14ac:dyDescent="0.15">
      <c r="A38" t="s">
        <v>1413</v>
      </c>
      <c r="B38" t="s">
        <v>5162</v>
      </c>
      <c r="C38" t="s">
        <v>1414</v>
      </c>
      <c r="D38" t="s">
        <v>6109</v>
      </c>
      <c r="E38">
        <v>2</v>
      </c>
      <c r="F38" t="s">
        <v>6158</v>
      </c>
      <c r="G38" t="s">
        <v>6159</v>
      </c>
    </row>
    <row r="39" spans="1:7" x14ac:dyDescent="0.15">
      <c r="A39" t="s">
        <v>1413</v>
      </c>
      <c r="B39" t="s">
        <v>5162</v>
      </c>
      <c r="C39" t="s">
        <v>1414</v>
      </c>
      <c r="D39" t="s">
        <v>6112</v>
      </c>
      <c r="E39">
        <v>2</v>
      </c>
      <c r="F39" t="s">
        <v>6160</v>
      </c>
      <c r="G39" t="s">
        <v>6161</v>
      </c>
    </row>
    <row r="40" spans="1:7" x14ac:dyDescent="0.15">
      <c r="A40" t="s">
        <v>1413</v>
      </c>
      <c r="B40" t="s">
        <v>5162</v>
      </c>
      <c r="C40" t="s">
        <v>1414</v>
      </c>
      <c r="D40" t="s">
        <v>4688</v>
      </c>
      <c r="E40">
        <v>2</v>
      </c>
      <c r="F40" t="s">
        <v>6162</v>
      </c>
      <c r="G40" t="s">
        <v>6163</v>
      </c>
    </row>
    <row r="41" spans="1:7" x14ac:dyDescent="0.15">
      <c r="A41" t="s">
        <v>1413</v>
      </c>
      <c r="B41" t="s">
        <v>5162</v>
      </c>
      <c r="C41" t="s">
        <v>1414</v>
      </c>
      <c r="D41" t="s">
        <v>6116</v>
      </c>
      <c r="E41">
        <v>2</v>
      </c>
      <c r="F41" t="s">
        <v>6164</v>
      </c>
      <c r="G41" t="s">
        <v>6165</v>
      </c>
    </row>
    <row r="42" spans="1:7" x14ac:dyDescent="0.15">
      <c r="A42" t="s">
        <v>1413</v>
      </c>
      <c r="B42" t="s">
        <v>5162</v>
      </c>
      <c r="C42" t="s">
        <v>1414</v>
      </c>
      <c r="D42" t="s">
        <v>5741</v>
      </c>
      <c r="E42">
        <v>2</v>
      </c>
      <c r="F42" t="s">
        <v>6166</v>
      </c>
      <c r="G42" t="s">
        <v>6167</v>
      </c>
    </row>
    <row r="43" spans="1:7" x14ac:dyDescent="0.15">
      <c r="A43" t="s">
        <v>1415</v>
      </c>
      <c r="B43" t="s">
        <v>5163</v>
      </c>
      <c r="C43" t="s">
        <v>1416</v>
      </c>
      <c r="D43" t="s">
        <v>6109</v>
      </c>
      <c r="E43">
        <v>2</v>
      </c>
      <c r="F43" t="s">
        <v>6164</v>
      </c>
      <c r="G43" t="s">
        <v>6115</v>
      </c>
    </row>
    <row r="44" spans="1:7" x14ac:dyDescent="0.15">
      <c r="A44" t="s">
        <v>1415</v>
      </c>
      <c r="B44" t="s">
        <v>5163</v>
      </c>
      <c r="C44" t="s">
        <v>1416</v>
      </c>
      <c r="D44" t="s">
        <v>6112</v>
      </c>
      <c r="E44">
        <v>2</v>
      </c>
      <c r="F44" t="s">
        <v>6143</v>
      </c>
      <c r="G44" t="s">
        <v>6115</v>
      </c>
    </row>
    <row r="45" spans="1:7" x14ac:dyDescent="0.15">
      <c r="A45" t="s">
        <v>1415</v>
      </c>
      <c r="B45" t="s">
        <v>5163</v>
      </c>
      <c r="C45" t="s">
        <v>1416</v>
      </c>
      <c r="D45" t="s">
        <v>4688</v>
      </c>
      <c r="E45">
        <v>2</v>
      </c>
      <c r="F45" t="s">
        <v>6168</v>
      </c>
      <c r="G45" t="s">
        <v>6156</v>
      </c>
    </row>
    <row r="46" spans="1:7" x14ac:dyDescent="0.15">
      <c r="A46" t="s">
        <v>1415</v>
      </c>
      <c r="B46" t="s">
        <v>5163</v>
      </c>
      <c r="C46" t="s">
        <v>1416</v>
      </c>
      <c r="D46" t="s">
        <v>6116</v>
      </c>
      <c r="E46">
        <v>2</v>
      </c>
      <c r="F46" t="s">
        <v>6131</v>
      </c>
      <c r="G46" t="s">
        <v>6125</v>
      </c>
    </row>
    <row r="47" spans="1:7" x14ac:dyDescent="0.15">
      <c r="A47" t="s">
        <v>1415</v>
      </c>
      <c r="B47" t="s">
        <v>5163</v>
      </c>
      <c r="C47" t="s">
        <v>1416</v>
      </c>
      <c r="D47" t="s">
        <v>5741</v>
      </c>
      <c r="E47">
        <v>2</v>
      </c>
      <c r="F47" t="s">
        <v>6169</v>
      </c>
      <c r="G47" t="s">
        <v>6156</v>
      </c>
    </row>
    <row r="48" spans="1:7" x14ac:dyDescent="0.15">
      <c r="A48" t="s">
        <v>1507</v>
      </c>
      <c r="B48" t="s">
        <v>5257</v>
      </c>
      <c r="C48" t="s">
        <v>1508</v>
      </c>
      <c r="D48" t="s">
        <v>6119</v>
      </c>
      <c r="E48">
        <v>2</v>
      </c>
      <c r="F48" t="s">
        <v>6138</v>
      </c>
      <c r="G48" t="s">
        <v>6170</v>
      </c>
    </row>
    <row r="49" spans="1:7" x14ac:dyDescent="0.15">
      <c r="A49" t="s">
        <v>1507</v>
      </c>
      <c r="B49" t="s">
        <v>5257</v>
      </c>
      <c r="C49" t="s">
        <v>1508</v>
      </c>
      <c r="D49" t="s">
        <v>6109</v>
      </c>
      <c r="E49">
        <v>2</v>
      </c>
      <c r="F49" t="s">
        <v>6139</v>
      </c>
      <c r="G49" t="s">
        <v>6153</v>
      </c>
    </row>
    <row r="50" spans="1:7" x14ac:dyDescent="0.15">
      <c r="A50" t="s">
        <v>1507</v>
      </c>
      <c r="B50" t="s">
        <v>5257</v>
      </c>
      <c r="C50" t="s">
        <v>1508</v>
      </c>
      <c r="D50" t="s">
        <v>6112</v>
      </c>
      <c r="E50">
        <v>2</v>
      </c>
      <c r="F50" t="s">
        <v>6117</v>
      </c>
      <c r="G50" t="s">
        <v>6153</v>
      </c>
    </row>
    <row r="51" spans="1:7" x14ac:dyDescent="0.15">
      <c r="A51" t="s">
        <v>1507</v>
      </c>
      <c r="B51" t="s">
        <v>5257</v>
      </c>
      <c r="C51" t="s">
        <v>1508</v>
      </c>
      <c r="D51" t="s">
        <v>4688</v>
      </c>
      <c r="E51">
        <v>2</v>
      </c>
      <c r="F51" t="s">
        <v>6171</v>
      </c>
      <c r="G51" t="s">
        <v>6172</v>
      </c>
    </row>
    <row r="52" spans="1:7" x14ac:dyDescent="0.15">
      <c r="A52" t="s">
        <v>1507</v>
      </c>
      <c r="B52" t="s">
        <v>5257</v>
      </c>
      <c r="C52" t="s">
        <v>1508</v>
      </c>
      <c r="D52" t="s">
        <v>6116</v>
      </c>
      <c r="E52">
        <v>2</v>
      </c>
      <c r="F52" t="s">
        <v>6173</v>
      </c>
      <c r="G52" t="s">
        <v>6174</v>
      </c>
    </row>
    <row r="53" spans="1:7" x14ac:dyDescent="0.15">
      <c r="A53" t="s">
        <v>1507</v>
      </c>
      <c r="B53" t="s">
        <v>5257</v>
      </c>
      <c r="C53" t="s">
        <v>1508</v>
      </c>
      <c r="D53" t="s">
        <v>5741</v>
      </c>
      <c r="E53">
        <v>2</v>
      </c>
      <c r="F53" t="s">
        <v>6175</v>
      </c>
      <c r="G53" t="s">
        <v>6176</v>
      </c>
    </row>
    <row r="54" spans="1:7" x14ac:dyDescent="0.15">
      <c r="A54" t="s">
        <v>1567</v>
      </c>
      <c r="B54" t="s">
        <v>5321</v>
      </c>
      <c r="C54" t="s">
        <v>1568</v>
      </c>
      <c r="D54" t="s">
        <v>6109</v>
      </c>
      <c r="E54">
        <v>1</v>
      </c>
      <c r="F54" t="s">
        <v>6177</v>
      </c>
    </row>
  </sheetData>
  <autoFilter ref="A1:AM370" xr:uid="{00000000-0009-0000-0000-00000B000000}"/>
  <phoneticPr fontId="16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AF425"/>
  <sheetViews>
    <sheetView workbookViewId="0">
      <selection activeCell="V44" sqref="V44"/>
    </sheetView>
  </sheetViews>
  <sheetFormatPr defaultColWidth="9" defaultRowHeight="13.5" x14ac:dyDescent="0.15"/>
  <cols>
    <col min="1" max="1" width="6.375" style="31" customWidth="1"/>
    <col min="2" max="2" width="6.375" style="32" customWidth="1"/>
    <col min="3" max="8" width="6.375" style="31" customWidth="1"/>
    <col min="9" max="10" width="6.375" style="32" customWidth="1"/>
    <col min="11" max="16" width="6.375" style="31" customWidth="1"/>
    <col min="17" max="17" width="9" style="31"/>
    <col min="18" max="32" width="9" style="33"/>
    <col min="33" max="16384" width="9" style="31"/>
  </cols>
  <sheetData>
    <row r="1" spans="1:16" x14ac:dyDescent="0.15">
      <c r="A1" s="34"/>
    </row>
    <row r="2" spans="1:16" x14ac:dyDescent="0.15">
      <c r="A2" s="34"/>
    </row>
    <row r="3" spans="1:16" x14ac:dyDescent="0.15">
      <c r="A3" s="35"/>
      <c r="B3" s="36"/>
    </row>
    <row r="4" spans="1:16" x14ac:dyDescent="0.15">
      <c r="A4" s="124" t="s">
        <v>6178</v>
      </c>
      <c r="B4" s="125"/>
      <c r="C4" s="125"/>
      <c r="D4" s="126"/>
      <c r="E4" s="124" t="s">
        <v>6179</v>
      </c>
      <c r="F4" s="125"/>
      <c r="G4" s="126"/>
      <c r="H4" s="124" t="s">
        <v>6180</v>
      </c>
      <c r="I4" s="126"/>
      <c r="J4" s="125" t="s">
        <v>6181</v>
      </c>
      <c r="K4" s="125"/>
      <c r="L4" s="126"/>
      <c r="M4" s="124" t="s">
        <v>6182</v>
      </c>
      <c r="N4" s="125"/>
      <c r="O4" s="125"/>
      <c r="P4" s="126"/>
    </row>
    <row r="5" spans="1:16" x14ac:dyDescent="0.15">
      <c r="A5" s="124" t="s">
        <v>6183</v>
      </c>
      <c r="B5" s="125"/>
      <c r="C5" s="125"/>
      <c r="D5" s="125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P5" s="126"/>
    </row>
    <row r="6" spans="1:16" x14ac:dyDescent="0.15">
      <c r="A6" s="124" t="s">
        <v>6184</v>
      </c>
      <c r="B6" s="125"/>
      <c r="C6" s="125"/>
      <c r="D6" s="125"/>
      <c r="E6" s="125"/>
      <c r="F6" s="125"/>
      <c r="G6" s="125"/>
      <c r="H6" s="125"/>
      <c r="I6" s="125"/>
      <c r="J6" s="125"/>
      <c r="K6" s="125"/>
      <c r="L6" s="125"/>
      <c r="M6" s="125"/>
      <c r="N6" s="125"/>
      <c r="O6" s="125"/>
      <c r="P6" s="126"/>
    </row>
    <row r="7" spans="1:16" x14ac:dyDescent="0.15">
      <c r="A7" s="37"/>
      <c r="B7" s="38"/>
      <c r="C7" s="127" t="s">
        <v>4</v>
      </c>
      <c r="D7" s="128"/>
      <c r="E7" s="129" t="s">
        <v>5</v>
      </c>
      <c r="F7" s="130"/>
      <c r="G7" s="129" t="s">
        <v>6</v>
      </c>
      <c r="H7" s="130"/>
      <c r="I7" s="38"/>
      <c r="J7" s="38"/>
      <c r="K7" s="127" t="s">
        <v>4</v>
      </c>
      <c r="L7" s="128"/>
      <c r="M7" s="129" t="s">
        <v>5</v>
      </c>
      <c r="N7" s="130"/>
      <c r="O7" s="129" t="s">
        <v>6</v>
      </c>
      <c r="P7" s="130"/>
    </row>
    <row r="8" spans="1:16" ht="24" x14ac:dyDescent="0.15">
      <c r="A8" s="39" t="s">
        <v>7</v>
      </c>
      <c r="B8" s="40" t="s">
        <v>8</v>
      </c>
      <c r="C8" s="41" t="s">
        <v>9</v>
      </c>
      <c r="D8" s="41" t="s">
        <v>10</v>
      </c>
      <c r="E8" s="41" t="s">
        <v>9</v>
      </c>
      <c r="F8" s="41" t="s">
        <v>10</v>
      </c>
      <c r="G8" s="41" t="s">
        <v>9</v>
      </c>
      <c r="H8" s="41" t="s">
        <v>10</v>
      </c>
      <c r="I8" s="48" t="s">
        <v>7</v>
      </c>
      <c r="J8" s="40" t="s">
        <v>8</v>
      </c>
      <c r="K8" s="41" t="s">
        <v>9</v>
      </c>
      <c r="L8" s="41" t="s">
        <v>10</v>
      </c>
      <c r="M8" s="41" t="s">
        <v>9</v>
      </c>
      <c r="N8" s="41" t="s">
        <v>10</v>
      </c>
      <c r="O8" s="41" t="s">
        <v>9</v>
      </c>
      <c r="P8" s="41" t="s">
        <v>10</v>
      </c>
    </row>
    <row r="9" spans="1:16" x14ac:dyDescent="0.15">
      <c r="A9" s="42" t="s">
        <v>6185</v>
      </c>
      <c r="B9" s="40" t="s">
        <v>17</v>
      </c>
      <c r="C9" s="42" t="s">
        <v>6186</v>
      </c>
      <c r="D9" s="42" t="s">
        <v>6186</v>
      </c>
      <c r="E9" s="42" t="s">
        <v>6186</v>
      </c>
      <c r="F9" s="42" t="s">
        <v>6186</v>
      </c>
      <c r="G9" s="42" t="s">
        <v>6186</v>
      </c>
      <c r="H9" s="42" t="s">
        <v>6186</v>
      </c>
      <c r="I9" s="42" t="s">
        <v>6187</v>
      </c>
      <c r="J9" s="40" t="s">
        <v>11</v>
      </c>
      <c r="K9" s="42" t="s">
        <v>6188</v>
      </c>
      <c r="L9" s="42" t="s">
        <v>6186</v>
      </c>
      <c r="M9" s="42" t="s">
        <v>6186</v>
      </c>
      <c r="N9" s="42" t="s">
        <v>6189</v>
      </c>
      <c r="O9" s="42" t="s">
        <v>6186</v>
      </c>
      <c r="P9" s="42" t="s">
        <v>6186</v>
      </c>
    </row>
    <row r="10" spans="1:16" x14ac:dyDescent="0.15">
      <c r="A10" s="42" t="s">
        <v>6190</v>
      </c>
      <c r="B10" s="40" t="s">
        <v>18</v>
      </c>
      <c r="C10" s="42" t="s">
        <v>6186</v>
      </c>
      <c r="D10" s="42" t="s">
        <v>6186</v>
      </c>
      <c r="E10" s="42" t="s">
        <v>6186</v>
      </c>
      <c r="F10" s="42" t="s">
        <v>6186</v>
      </c>
      <c r="G10" s="42" t="s">
        <v>6186</v>
      </c>
      <c r="H10" s="42" t="s">
        <v>6186</v>
      </c>
      <c r="I10" s="42" t="s">
        <v>6191</v>
      </c>
      <c r="J10" s="40" t="s">
        <v>14</v>
      </c>
      <c r="K10" s="42" t="s">
        <v>6192</v>
      </c>
      <c r="L10" s="42" t="s">
        <v>6186</v>
      </c>
      <c r="M10" s="42" t="s">
        <v>6186</v>
      </c>
      <c r="N10" s="42" t="s">
        <v>6193</v>
      </c>
      <c r="O10" s="42" t="s">
        <v>6186</v>
      </c>
      <c r="P10" s="42" t="s">
        <v>6186</v>
      </c>
    </row>
    <row r="11" spans="1:16" x14ac:dyDescent="0.15">
      <c r="A11" s="42" t="s">
        <v>6194</v>
      </c>
      <c r="B11" s="40" t="s">
        <v>11</v>
      </c>
      <c r="C11" s="42" t="s">
        <v>6186</v>
      </c>
      <c r="D11" s="42" t="s">
        <v>6186</v>
      </c>
      <c r="E11" s="42" t="s">
        <v>6186</v>
      </c>
      <c r="F11" s="42" t="s">
        <v>6186</v>
      </c>
      <c r="G11" s="42" t="s">
        <v>6186</v>
      </c>
      <c r="H11" s="42" t="s">
        <v>6186</v>
      </c>
      <c r="I11" s="42" t="s">
        <v>6195</v>
      </c>
      <c r="J11" s="40" t="s">
        <v>13</v>
      </c>
      <c r="K11" s="42" t="s">
        <v>6196</v>
      </c>
      <c r="L11" s="42" t="s">
        <v>6186</v>
      </c>
      <c r="M11" s="42" t="s">
        <v>6186</v>
      </c>
      <c r="N11" s="42" t="s">
        <v>6197</v>
      </c>
      <c r="O11" s="42" t="s">
        <v>6186</v>
      </c>
      <c r="P11" s="42" t="s">
        <v>6186</v>
      </c>
    </row>
    <row r="12" spans="1:16" x14ac:dyDescent="0.15">
      <c r="A12" s="42" t="s">
        <v>6198</v>
      </c>
      <c r="B12" s="40" t="s">
        <v>14</v>
      </c>
      <c r="C12" s="42" t="s">
        <v>6186</v>
      </c>
      <c r="D12" s="42" t="s">
        <v>6186</v>
      </c>
      <c r="E12" s="42" t="s">
        <v>6186</v>
      </c>
      <c r="F12" s="42" t="s">
        <v>6186</v>
      </c>
      <c r="G12" s="42" t="s">
        <v>6186</v>
      </c>
      <c r="H12" s="42" t="s">
        <v>6186</v>
      </c>
      <c r="I12" s="42" t="s">
        <v>6199</v>
      </c>
      <c r="J12" s="40" t="s">
        <v>15</v>
      </c>
      <c r="K12" s="42" t="s">
        <v>6200</v>
      </c>
      <c r="L12" s="42" t="s">
        <v>6186</v>
      </c>
      <c r="M12" s="42" t="s">
        <v>6186</v>
      </c>
      <c r="N12" s="42" t="s">
        <v>6201</v>
      </c>
      <c r="O12" s="42" t="s">
        <v>6186</v>
      </c>
      <c r="P12" s="42" t="s">
        <v>6186</v>
      </c>
    </row>
    <row r="13" spans="1:16" x14ac:dyDescent="0.15">
      <c r="A13" s="42" t="s">
        <v>6202</v>
      </c>
      <c r="B13" s="40" t="s">
        <v>13</v>
      </c>
      <c r="C13" s="42" t="s">
        <v>6186</v>
      </c>
      <c r="D13" s="42" t="s">
        <v>6186</v>
      </c>
      <c r="E13" s="42" t="s">
        <v>6186</v>
      </c>
      <c r="F13" s="42" t="s">
        <v>6186</v>
      </c>
      <c r="G13" s="42" t="s">
        <v>6186</v>
      </c>
      <c r="H13" s="42" t="s">
        <v>6186</v>
      </c>
      <c r="I13" s="42" t="s">
        <v>6203</v>
      </c>
      <c r="J13" s="40" t="s">
        <v>16</v>
      </c>
      <c r="K13" s="42" t="s">
        <v>6186</v>
      </c>
      <c r="L13" s="42" t="s">
        <v>6186</v>
      </c>
      <c r="M13" s="42" t="s">
        <v>6186</v>
      </c>
      <c r="N13" s="42" t="s">
        <v>6186</v>
      </c>
      <c r="O13" s="42" t="s">
        <v>6186</v>
      </c>
      <c r="P13" s="42" t="s">
        <v>6186</v>
      </c>
    </row>
    <row r="14" spans="1:16" x14ac:dyDescent="0.15">
      <c r="A14" s="42" t="s">
        <v>6204</v>
      </c>
      <c r="B14" s="40" t="s">
        <v>15</v>
      </c>
      <c r="C14" s="42" t="s">
        <v>6186</v>
      </c>
      <c r="D14" s="42" t="s">
        <v>6186</v>
      </c>
      <c r="E14" s="42" t="s">
        <v>6186</v>
      </c>
      <c r="F14" s="42" t="s">
        <v>6186</v>
      </c>
      <c r="G14" s="42" t="s">
        <v>6186</v>
      </c>
      <c r="H14" s="42" t="s">
        <v>6186</v>
      </c>
      <c r="I14" s="42" t="s">
        <v>6205</v>
      </c>
      <c r="J14" s="40" t="s">
        <v>17</v>
      </c>
      <c r="K14" s="42" t="s">
        <v>6186</v>
      </c>
      <c r="L14" s="42" t="s">
        <v>6186</v>
      </c>
      <c r="M14" s="42" t="s">
        <v>6186</v>
      </c>
      <c r="N14" s="42" t="s">
        <v>6186</v>
      </c>
      <c r="O14" s="42" t="s">
        <v>6186</v>
      </c>
      <c r="P14" s="42" t="s">
        <v>6186</v>
      </c>
    </row>
    <row r="15" spans="1:16" x14ac:dyDescent="0.15">
      <c r="A15" s="42" t="s">
        <v>6206</v>
      </c>
      <c r="B15" s="40" t="s">
        <v>16</v>
      </c>
      <c r="C15" s="42" t="s">
        <v>6186</v>
      </c>
      <c r="D15" s="42" t="s">
        <v>6186</v>
      </c>
      <c r="E15" s="42" t="s">
        <v>6186</v>
      </c>
      <c r="F15" s="42"/>
      <c r="G15" s="42"/>
      <c r="H15" s="42" t="s">
        <v>6186</v>
      </c>
      <c r="I15" s="42" t="s">
        <v>6207</v>
      </c>
      <c r="J15" s="40" t="s">
        <v>18</v>
      </c>
      <c r="K15" s="42" t="s">
        <v>6186</v>
      </c>
      <c r="L15" s="42" t="s">
        <v>6186</v>
      </c>
      <c r="M15" s="42" t="s">
        <v>6186</v>
      </c>
      <c r="N15" s="42" t="s">
        <v>6186</v>
      </c>
      <c r="O15" s="42" t="s">
        <v>6186</v>
      </c>
      <c r="P15" s="42" t="s">
        <v>6186</v>
      </c>
    </row>
    <row r="16" spans="1:16" x14ac:dyDescent="0.15">
      <c r="A16" s="42" t="s">
        <v>6208</v>
      </c>
      <c r="B16" s="40" t="s">
        <v>17</v>
      </c>
      <c r="C16" s="42" t="s">
        <v>6209</v>
      </c>
      <c r="D16" s="43" t="s">
        <v>6186</v>
      </c>
      <c r="E16" s="43" t="s">
        <v>6186</v>
      </c>
      <c r="F16" s="42" t="s">
        <v>6210</v>
      </c>
      <c r="G16" s="42"/>
      <c r="H16" s="42" t="s">
        <v>6186</v>
      </c>
      <c r="I16" s="42" t="s">
        <v>6211</v>
      </c>
      <c r="J16" s="40" t="s">
        <v>11</v>
      </c>
      <c r="K16" s="42" t="s">
        <v>6186</v>
      </c>
      <c r="L16" s="42" t="s">
        <v>6186</v>
      </c>
      <c r="M16" s="42" t="s">
        <v>6186</v>
      </c>
      <c r="N16" s="42" t="s">
        <v>6186</v>
      </c>
      <c r="O16" s="42" t="s">
        <v>6186</v>
      </c>
      <c r="P16" s="42" t="s">
        <v>6186</v>
      </c>
    </row>
    <row r="17" spans="1:16" x14ac:dyDescent="0.15">
      <c r="A17" s="42" t="s">
        <v>6212</v>
      </c>
      <c r="B17" s="40" t="s">
        <v>18</v>
      </c>
      <c r="C17" s="42" t="s">
        <v>6213</v>
      </c>
      <c r="D17" s="42" t="s">
        <v>6186</v>
      </c>
      <c r="E17" s="42" t="s">
        <v>6186</v>
      </c>
      <c r="F17" s="42" t="s">
        <v>6214</v>
      </c>
      <c r="G17" s="42"/>
      <c r="H17" s="42" t="s">
        <v>6186</v>
      </c>
      <c r="I17" s="42" t="s">
        <v>6215</v>
      </c>
      <c r="J17" s="40" t="s">
        <v>14</v>
      </c>
      <c r="K17" s="42" t="s">
        <v>6186</v>
      </c>
      <c r="L17" s="42" t="s">
        <v>6186</v>
      </c>
      <c r="M17" s="42" t="s">
        <v>6186</v>
      </c>
      <c r="N17" s="42" t="s">
        <v>6186</v>
      </c>
      <c r="O17" s="42" t="s">
        <v>6186</v>
      </c>
      <c r="P17" s="42" t="s">
        <v>6186</v>
      </c>
    </row>
    <row r="18" spans="1:16" x14ac:dyDescent="0.15">
      <c r="A18" s="42" t="s">
        <v>6216</v>
      </c>
      <c r="B18" s="40" t="s">
        <v>11</v>
      </c>
      <c r="C18" s="42" t="s">
        <v>6217</v>
      </c>
      <c r="D18" s="42" t="s">
        <v>6186</v>
      </c>
      <c r="E18" s="42" t="s">
        <v>6186</v>
      </c>
      <c r="F18" s="42" t="s">
        <v>6218</v>
      </c>
      <c r="G18" s="42"/>
      <c r="H18" s="42" t="s">
        <v>6186</v>
      </c>
      <c r="I18" s="42" t="s">
        <v>6219</v>
      </c>
      <c r="J18" s="40" t="s">
        <v>13</v>
      </c>
      <c r="K18" s="42" t="s">
        <v>6186</v>
      </c>
      <c r="L18" s="42" t="s">
        <v>6186</v>
      </c>
      <c r="M18" s="42" t="s">
        <v>6186</v>
      </c>
      <c r="N18" s="42" t="s">
        <v>6186</v>
      </c>
      <c r="O18" s="42" t="s">
        <v>6186</v>
      </c>
      <c r="P18" s="42" t="s">
        <v>6186</v>
      </c>
    </row>
    <row r="19" spans="1:16" x14ac:dyDescent="0.15">
      <c r="A19" s="42" t="s">
        <v>6220</v>
      </c>
      <c r="B19" s="40" t="s">
        <v>14</v>
      </c>
      <c r="C19" s="42"/>
      <c r="D19" s="42"/>
      <c r="E19" s="42"/>
      <c r="F19" s="42"/>
      <c r="G19" s="42" t="s">
        <v>6186</v>
      </c>
      <c r="H19" s="42" t="s">
        <v>6186</v>
      </c>
      <c r="I19" s="42" t="s">
        <v>6221</v>
      </c>
      <c r="J19" s="40" t="s">
        <v>15</v>
      </c>
      <c r="K19" s="42" t="s">
        <v>6186</v>
      </c>
      <c r="L19" s="42" t="s">
        <v>6186</v>
      </c>
      <c r="M19" s="42" t="s">
        <v>6186</v>
      </c>
      <c r="N19" s="42" t="s">
        <v>6186</v>
      </c>
      <c r="O19" s="42" t="s">
        <v>6186</v>
      </c>
      <c r="P19" s="42" t="s">
        <v>6186</v>
      </c>
    </row>
    <row r="20" spans="1:16" x14ac:dyDescent="0.15">
      <c r="A20" s="42" t="s">
        <v>6222</v>
      </c>
      <c r="B20" s="40" t="s">
        <v>13</v>
      </c>
      <c r="C20" s="42" t="s">
        <v>6192</v>
      </c>
      <c r="D20" s="42" t="s">
        <v>6186</v>
      </c>
      <c r="E20" s="42" t="s">
        <v>6186</v>
      </c>
      <c r="F20" s="42" t="s">
        <v>6223</v>
      </c>
      <c r="G20" s="42" t="s">
        <v>6186</v>
      </c>
      <c r="H20" s="42" t="s">
        <v>6186</v>
      </c>
      <c r="I20" s="42" t="s">
        <v>6224</v>
      </c>
      <c r="J20" s="40" t="s">
        <v>16</v>
      </c>
      <c r="K20" s="42" t="s">
        <v>6186</v>
      </c>
      <c r="L20" s="42" t="s">
        <v>6186</v>
      </c>
      <c r="M20" s="42" t="s">
        <v>6186</v>
      </c>
      <c r="N20" s="42" t="s">
        <v>6186</v>
      </c>
      <c r="O20" s="42" t="s">
        <v>6186</v>
      </c>
      <c r="P20" s="42" t="s">
        <v>6186</v>
      </c>
    </row>
    <row r="21" spans="1:16" x14ac:dyDescent="0.15">
      <c r="A21" s="42" t="s">
        <v>6225</v>
      </c>
      <c r="B21" s="40" t="s">
        <v>15</v>
      </c>
      <c r="C21" s="42" t="s">
        <v>6196</v>
      </c>
      <c r="D21" s="42" t="s">
        <v>6186</v>
      </c>
      <c r="E21" s="42" t="s">
        <v>6186</v>
      </c>
      <c r="F21" s="42" t="s">
        <v>6226</v>
      </c>
      <c r="G21" s="42" t="s">
        <v>6186</v>
      </c>
      <c r="H21" s="42" t="s">
        <v>6186</v>
      </c>
      <c r="I21" s="42" t="s">
        <v>6227</v>
      </c>
      <c r="J21" s="40" t="s">
        <v>17</v>
      </c>
      <c r="K21" s="42" t="s">
        <v>6186</v>
      </c>
      <c r="L21" s="42" t="s">
        <v>6186</v>
      </c>
      <c r="M21" s="42" t="s">
        <v>6186</v>
      </c>
      <c r="N21" s="42" t="s">
        <v>6186</v>
      </c>
      <c r="O21" s="42" t="s">
        <v>6186</v>
      </c>
      <c r="P21" s="42" t="s">
        <v>6186</v>
      </c>
    </row>
    <row r="22" spans="1:16" x14ac:dyDescent="0.15">
      <c r="A22" s="42" t="s">
        <v>6228</v>
      </c>
      <c r="B22" s="40" t="s">
        <v>16</v>
      </c>
      <c r="C22" s="42" t="s">
        <v>6188</v>
      </c>
      <c r="D22" s="42" t="s">
        <v>6186</v>
      </c>
      <c r="E22" s="42" t="s">
        <v>6186</v>
      </c>
      <c r="F22" s="42" t="s">
        <v>6229</v>
      </c>
      <c r="G22" s="42" t="s">
        <v>6186</v>
      </c>
      <c r="H22" s="42" t="s">
        <v>6186</v>
      </c>
      <c r="I22" s="42" t="s">
        <v>6230</v>
      </c>
      <c r="J22" s="40" t="s">
        <v>18</v>
      </c>
      <c r="K22" s="42" t="s">
        <v>6186</v>
      </c>
      <c r="L22" s="42" t="s">
        <v>6186</v>
      </c>
      <c r="M22" s="42" t="s">
        <v>6186</v>
      </c>
      <c r="N22" s="42" t="s">
        <v>6186</v>
      </c>
      <c r="O22" s="42" t="s">
        <v>6186</v>
      </c>
      <c r="P22" s="42" t="s">
        <v>6186</v>
      </c>
    </row>
    <row r="23" spans="1:16" x14ac:dyDescent="0.15">
      <c r="A23" s="42" t="s">
        <v>6231</v>
      </c>
      <c r="B23" s="40" t="s">
        <v>17</v>
      </c>
      <c r="C23" s="42" t="s">
        <v>6232</v>
      </c>
      <c r="D23" s="42" t="s">
        <v>6186</v>
      </c>
      <c r="E23" s="42" t="s">
        <v>6186</v>
      </c>
      <c r="F23" s="42" t="s">
        <v>6233</v>
      </c>
      <c r="G23" s="42" t="s">
        <v>6186</v>
      </c>
      <c r="H23" s="42" t="s">
        <v>6186</v>
      </c>
      <c r="I23" s="42" t="s">
        <v>6234</v>
      </c>
      <c r="J23" s="40" t="s">
        <v>11</v>
      </c>
      <c r="K23" s="42" t="s">
        <v>6186</v>
      </c>
      <c r="L23" s="42" t="s">
        <v>6186</v>
      </c>
      <c r="M23" s="42" t="s">
        <v>6186</v>
      </c>
      <c r="N23" s="42" t="s">
        <v>6186</v>
      </c>
      <c r="O23" s="42" t="s">
        <v>6186</v>
      </c>
      <c r="P23" s="42" t="s">
        <v>6186</v>
      </c>
    </row>
    <row r="24" spans="1:16" x14ac:dyDescent="0.15">
      <c r="A24" s="42" t="s">
        <v>6235</v>
      </c>
      <c r="B24" s="40" t="s">
        <v>18</v>
      </c>
      <c r="C24" s="42" t="s">
        <v>6217</v>
      </c>
      <c r="D24" s="42" t="s">
        <v>6186</v>
      </c>
      <c r="E24" s="42" t="s">
        <v>6186</v>
      </c>
      <c r="F24" s="42" t="s">
        <v>6236</v>
      </c>
      <c r="G24" s="42" t="s">
        <v>6186</v>
      </c>
      <c r="H24" s="42" t="s">
        <v>6186</v>
      </c>
      <c r="I24" s="42" t="s">
        <v>12</v>
      </c>
      <c r="J24" s="42" t="s">
        <v>12</v>
      </c>
      <c r="K24" s="42" t="s">
        <v>12</v>
      </c>
      <c r="L24" s="42" t="s">
        <v>12</v>
      </c>
      <c r="M24" s="42" t="s">
        <v>12</v>
      </c>
      <c r="N24" s="42" t="s">
        <v>12</v>
      </c>
      <c r="O24" s="42" t="s">
        <v>12</v>
      </c>
      <c r="P24" s="42" t="s">
        <v>12</v>
      </c>
    </row>
    <row r="25" spans="1:16" x14ac:dyDescent="0.15">
      <c r="A25" s="35"/>
      <c r="C25" s="46"/>
      <c r="D25" s="46"/>
      <c r="E25" s="46"/>
      <c r="F25" s="46"/>
      <c r="G25" s="47"/>
      <c r="H25" s="47"/>
      <c r="I25" s="36"/>
      <c r="M25" s="131" t="s">
        <v>6237</v>
      </c>
      <c r="N25" s="131"/>
      <c r="O25" s="131"/>
      <c r="P25" s="131"/>
    </row>
    <row r="26" spans="1:16" x14ac:dyDescent="0.15">
      <c r="A26" s="34"/>
    </row>
    <row r="27" spans="1:16" x14ac:dyDescent="0.15">
      <c r="A27" s="34"/>
    </row>
    <row r="28" spans="1:16" x14ac:dyDescent="0.15">
      <c r="A28" s="35"/>
      <c r="B28" s="36"/>
    </row>
    <row r="29" spans="1:16" x14ac:dyDescent="0.15">
      <c r="A29" s="124" t="s">
        <v>6178</v>
      </c>
      <c r="B29" s="125"/>
      <c r="C29" s="125"/>
      <c r="D29" s="126"/>
      <c r="E29" s="124" t="s">
        <v>6238</v>
      </c>
      <c r="F29" s="125"/>
      <c r="G29" s="126"/>
      <c r="H29" s="124" t="s">
        <v>6239</v>
      </c>
      <c r="I29" s="126"/>
      <c r="J29" s="125" t="s">
        <v>6181</v>
      </c>
      <c r="K29" s="125"/>
      <c r="L29" s="126"/>
      <c r="M29" s="124" t="s">
        <v>6182</v>
      </c>
      <c r="N29" s="125"/>
      <c r="O29" s="125"/>
      <c r="P29" s="126"/>
    </row>
    <row r="30" spans="1:16" x14ac:dyDescent="0.15">
      <c r="A30" s="124" t="s">
        <v>6240</v>
      </c>
      <c r="B30" s="125"/>
      <c r="C30" s="125"/>
      <c r="D30" s="125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6"/>
    </row>
    <row r="31" spans="1:16" x14ac:dyDescent="0.15">
      <c r="A31" s="124" t="s">
        <v>6184</v>
      </c>
      <c r="B31" s="125"/>
      <c r="C31" s="125"/>
      <c r="D31" s="125"/>
      <c r="E31" s="125"/>
      <c r="F31" s="125"/>
      <c r="G31" s="125"/>
      <c r="H31" s="125"/>
      <c r="I31" s="125"/>
      <c r="J31" s="125"/>
      <c r="K31" s="125"/>
      <c r="L31" s="125"/>
      <c r="M31" s="125"/>
      <c r="N31" s="125"/>
      <c r="O31" s="125"/>
      <c r="P31" s="126"/>
    </row>
    <row r="32" spans="1:16" x14ac:dyDescent="0.15">
      <c r="A32" s="37"/>
      <c r="B32" s="38"/>
      <c r="C32" s="127" t="s">
        <v>4</v>
      </c>
      <c r="D32" s="128"/>
      <c r="E32" s="129" t="s">
        <v>5</v>
      </c>
      <c r="F32" s="130"/>
      <c r="G32" s="129" t="s">
        <v>6</v>
      </c>
      <c r="H32" s="130"/>
      <c r="I32" s="38"/>
      <c r="J32" s="38"/>
      <c r="K32" s="127" t="s">
        <v>4</v>
      </c>
      <c r="L32" s="128"/>
      <c r="M32" s="129" t="s">
        <v>5</v>
      </c>
      <c r="N32" s="130"/>
      <c r="O32" s="129" t="s">
        <v>6</v>
      </c>
      <c r="P32" s="130"/>
    </row>
    <row r="33" spans="1:16" ht="24" x14ac:dyDescent="0.15">
      <c r="A33" s="39" t="s">
        <v>7</v>
      </c>
      <c r="B33" s="40" t="s">
        <v>8</v>
      </c>
      <c r="C33" s="41" t="s">
        <v>9</v>
      </c>
      <c r="D33" s="41" t="s">
        <v>10</v>
      </c>
      <c r="E33" s="41" t="s">
        <v>9</v>
      </c>
      <c r="F33" s="41" t="s">
        <v>10</v>
      </c>
      <c r="G33" s="41" t="s">
        <v>9</v>
      </c>
      <c r="H33" s="41" t="s">
        <v>10</v>
      </c>
      <c r="I33" s="48" t="s">
        <v>7</v>
      </c>
      <c r="J33" s="40" t="s">
        <v>8</v>
      </c>
      <c r="K33" s="41" t="s">
        <v>9</v>
      </c>
      <c r="L33" s="41" t="s">
        <v>10</v>
      </c>
      <c r="M33" s="41" t="s">
        <v>9</v>
      </c>
      <c r="N33" s="41" t="s">
        <v>10</v>
      </c>
      <c r="O33" s="41" t="s">
        <v>9</v>
      </c>
      <c r="P33" s="41" t="s">
        <v>10</v>
      </c>
    </row>
    <row r="34" spans="1:16" x14ac:dyDescent="0.15">
      <c r="A34" s="42" t="s">
        <v>6185</v>
      </c>
      <c r="B34" s="40" t="s">
        <v>17</v>
      </c>
      <c r="C34" s="42" t="s">
        <v>6232</v>
      </c>
      <c r="D34" s="43"/>
      <c r="E34" s="43"/>
      <c r="F34" s="42" t="s">
        <v>6241</v>
      </c>
      <c r="G34" s="42"/>
      <c r="H34" s="42" t="s">
        <v>6186</v>
      </c>
      <c r="I34" s="42" t="s">
        <v>6187</v>
      </c>
      <c r="J34" s="40" t="s">
        <v>11</v>
      </c>
      <c r="K34" s="42" t="s">
        <v>6213</v>
      </c>
      <c r="L34" s="42" t="s">
        <v>6186</v>
      </c>
      <c r="M34" s="42" t="s">
        <v>6186</v>
      </c>
      <c r="N34" s="42" t="s">
        <v>6189</v>
      </c>
      <c r="O34" s="42" t="s">
        <v>6186</v>
      </c>
      <c r="P34" s="42" t="s">
        <v>6186</v>
      </c>
    </row>
    <row r="35" spans="1:16" x14ac:dyDescent="0.15">
      <c r="A35" s="42" t="s">
        <v>6190</v>
      </c>
      <c r="B35" s="40" t="s">
        <v>18</v>
      </c>
      <c r="C35" s="42" t="s">
        <v>6200</v>
      </c>
      <c r="D35" s="43"/>
      <c r="E35" s="43"/>
      <c r="F35" s="42" t="s">
        <v>6242</v>
      </c>
      <c r="G35" s="43"/>
      <c r="H35" s="43" t="s">
        <v>6186</v>
      </c>
      <c r="I35" s="42" t="s">
        <v>6191</v>
      </c>
      <c r="J35" s="40" t="s">
        <v>14</v>
      </c>
      <c r="K35" s="42" t="s">
        <v>6232</v>
      </c>
      <c r="L35" s="43" t="s">
        <v>6186</v>
      </c>
      <c r="M35" s="43" t="s">
        <v>6186</v>
      </c>
      <c r="N35" s="42" t="s">
        <v>6193</v>
      </c>
      <c r="O35" s="43" t="s">
        <v>6186</v>
      </c>
      <c r="P35" s="43" t="s">
        <v>6186</v>
      </c>
    </row>
    <row r="36" spans="1:16" x14ac:dyDescent="0.15">
      <c r="A36" s="42" t="s">
        <v>6194</v>
      </c>
      <c r="B36" s="40" t="s">
        <v>11</v>
      </c>
      <c r="C36" s="42" t="s">
        <v>6196</v>
      </c>
      <c r="D36" s="43"/>
      <c r="E36" s="43"/>
      <c r="F36" s="42" t="s">
        <v>6243</v>
      </c>
      <c r="G36" s="43"/>
      <c r="H36" s="43" t="s">
        <v>6186</v>
      </c>
      <c r="I36" s="42" t="s">
        <v>6195</v>
      </c>
      <c r="J36" s="40" t="s">
        <v>13</v>
      </c>
      <c r="K36" s="42" t="s">
        <v>6244</v>
      </c>
      <c r="L36" s="43" t="s">
        <v>6186</v>
      </c>
      <c r="M36" s="43" t="s">
        <v>6186</v>
      </c>
      <c r="N36" s="42" t="s">
        <v>6197</v>
      </c>
      <c r="O36" s="43" t="s">
        <v>6186</v>
      </c>
      <c r="P36" s="43" t="s">
        <v>6186</v>
      </c>
    </row>
    <row r="37" spans="1:16" x14ac:dyDescent="0.15">
      <c r="A37" s="42" t="s">
        <v>6198</v>
      </c>
      <c r="B37" s="40" t="s">
        <v>14</v>
      </c>
      <c r="C37" s="42" t="s">
        <v>6245</v>
      </c>
      <c r="D37" s="43"/>
      <c r="E37" s="43"/>
      <c r="F37" s="42" t="s">
        <v>6246</v>
      </c>
      <c r="G37" s="43"/>
      <c r="H37" s="43" t="s">
        <v>6186</v>
      </c>
      <c r="I37" s="42" t="s">
        <v>6199</v>
      </c>
      <c r="J37" s="40" t="s">
        <v>15</v>
      </c>
      <c r="K37" s="42" t="s">
        <v>6213</v>
      </c>
      <c r="L37" s="43" t="s">
        <v>6186</v>
      </c>
      <c r="M37" s="43" t="s">
        <v>6186</v>
      </c>
      <c r="N37" s="42" t="s">
        <v>6201</v>
      </c>
      <c r="O37" s="43" t="s">
        <v>6186</v>
      </c>
      <c r="P37" s="43" t="s">
        <v>6186</v>
      </c>
    </row>
    <row r="38" spans="1:16" x14ac:dyDescent="0.15">
      <c r="A38" s="42" t="s">
        <v>6202</v>
      </c>
      <c r="B38" s="40" t="s">
        <v>13</v>
      </c>
      <c r="C38" s="42" t="s">
        <v>6188</v>
      </c>
      <c r="D38" s="43"/>
      <c r="E38" s="43"/>
      <c r="F38" s="42" t="s">
        <v>6247</v>
      </c>
      <c r="G38" s="43"/>
      <c r="H38" s="43" t="s">
        <v>6186</v>
      </c>
      <c r="I38" s="42" t="s">
        <v>6203</v>
      </c>
      <c r="J38" s="40" t="s">
        <v>16</v>
      </c>
      <c r="K38" s="43" t="s">
        <v>6186</v>
      </c>
      <c r="L38" s="43" t="s">
        <v>6186</v>
      </c>
      <c r="M38" s="43" t="s">
        <v>6186</v>
      </c>
      <c r="N38" s="43" t="s">
        <v>6186</v>
      </c>
      <c r="O38" s="43" t="s">
        <v>6186</v>
      </c>
      <c r="P38" s="43" t="s">
        <v>6186</v>
      </c>
    </row>
    <row r="39" spans="1:16" x14ac:dyDescent="0.15">
      <c r="A39" s="42" t="s">
        <v>6204</v>
      </c>
      <c r="B39" s="40" t="s">
        <v>15</v>
      </c>
      <c r="C39" s="42" t="s">
        <v>6217</v>
      </c>
      <c r="D39" s="43"/>
      <c r="E39" s="43"/>
      <c r="F39" s="42" t="s">
        <v>6248</v>
      </c>
      <c r="G39" s="43"/>
      <c r="H39" s="43" t="s">
        <v>6186</v>
      </c>
      <c r="I39" s="42" t="s">
        <v>6205</v>
      </c>
      <c r="J39" s="40" t="s">
        <v>17</v>
      </c>
      <c r="K39" s="43" t="s">
        <v>6186</v>
      </c>
      <c r="L39" s="43" t="s">
        <v>6186</v>
      </c>
      <c r="M39" s="43" t="s">
        <v>6186</v>
      </c>
      <c r="N39" s="43" t="s">
        <v>6186</v>
      </c>
      <c r="O39" s="43" t="s">
        <v>6186</v>
      </c>
      <c r="P39" s="43" t="s">
        <v>6186</v>
      </c>
    </row>
    <row r="40" spans="1:16" x14ac:dyDescent="0.15">
      <c r="A40" s="42" t="s">
        <v>6206</v>
      </c>
      <c r="B40" s="40" t="s">
        <v>16</v>
      </c>
      <c r="C40" s="42" t="s">
        <v>6200</v>
      </c>
      <c r="D40" s="43"/>
      <c r="E40" s="43"/>
      <c r="F40" s="42" t="s">
        <v>6249</v>
      </c>
      <c r="G40" s="43"/>
      <c r="H40" s="43" t="s">
        <v>6186</v>
      </c>
      <c r="I40" s="42" t="s">
        <v>6207</v>
      </c>
      <c r="J40" s="40" t="s">
        <v>18</v>
      </c>
      <c r="K40" s="43" t="s">
        <v>6186</v>
      </c>
      <c r="L40" s="43" t="s">
        <v>6186</v>
      </c>
      <c r="M40" s="43" t="s">
        <v>6186</v>
      </c>
      <c r="N40" s="43" t="s">
        <v>6186</v>
      </c>
      <c r="O40" s="43" t="s">
        <v>6186</v>
      </c>
      <c r="P40" s="43" t="s">
        <v>6186</v>
      </c>
    </row>
    <row r="41" spans="1:16" x14ac:dyDescent="0.15">
      <c r="A41" s="42" t="s">
        <v>6208</v>
      </c>
      <c r="B41" s="40" t="s">
        <v>17</v>
      </c>
      <c r="C41" s="42" t="s">
        <v>6232</v>
      </c>
      <c r="D41" s="43"/>
      <c r="E41" s="43"/>
      <c r="F41" s="42" t="s">
        <v>6210</v>
      </c>
      <c r="G41" s="43"/>
      <c r="H41" s="43" t="s">
        <v>6186</v>
      </c>
      <c r="I41" s="42" t="s">
        <v>6211</v>
      </c>
      <c r="J41" s="40" t="s">
        <v>11</v>
      </c>
      <c r="K41" s="43" t="s">
        <v>6186</v>
      </c>
      <c r="L41" s="43" t="s">
        <v>6186</v>
      </c>
      <c r="M41" s="43" t="s">
        <v>6186</v>
      </c>
      <c r="N41" s="43" t="s">
        <v>6186</v>
      </c>
      <c r="O41" s="43" t="s">
        <v>6186</v>
      </c>
      <c r="P41" s="43" t="s">
        <v>6186</v>
      </c>
    </row>
    <row r="42" spans="1:16" x14ac:dyDescent="0.15">
      <c r="A42" s="42" t="s">
        <v>6212</v>
      </c>
      <c r="B42" s="40" t="s">
        <v>18</v>
      </c>
      <c r="C42" s="42" t="s">
        <v>6250</v>
      </c>
      <c r="D42" s="42"/>
      <c r="E42" s="42"/>
      <c r="F42" s="42" t="s">
        <v>6251</v>
      </c>
      <c r="G42" s="43"/>
      <c r="H42" s="43" t="s">
        <v>6186</v>
      </c>
      <c r="I42" s="42" t="s">
        <v>6215</v>
      </c>
      <c r="J42" s="40" t="s">
        <v>14</v>
      </c>
      <c r="K42" s="43" t="s">
        <v>6186</v>
      </c>
      <c r="L42" s="43" t="s">
        <v>6186</v>
      </c>
      <c r="M42" s="43" t="s">
        <v>6186</v>
      </c>
      <c r="N42" s="43" t="s">
        <v>6186</v>
      </c>
      <c r="O42" s="43" t="s">
        <v>6186</v>
      </c>
      <c r="P42" s="43" t="s">
        <v>6186</v>
      </c>
    </row>
    <row r="43" spans="1:16" x14ac:dyDescent="0.15">
      <c r="A43" s="42" t="s">
        <v>6216</v>
      </c>
      <c r="B43" s="40" t="s">
        <v>11</v>
      </c>
      <c r="C43" s="42" t="s">
        <v>6244</v>
      </c>
      <c r="D43" s="42"/>
      <c r="E43" s="42"/>
      <c r="F43" s="42" t="s">
        <v>6218</v>
      </c>
      <c r="G43" s="42"/>
      <c r="H43" s="42" t="s">
        <v>6186</v>
      </c>
      <c r="I43" s="42" t="s">
        <v>6219</v>
      </c>
      <c r="J43" s="40" t="s">
        <v>13</v>
      </c>
      <c r="K43" s="42" t="s">
        <v>6186</v>
      </c>
      <c r="L43" s="42" t="s">
        <v>6186</v>
      </c>
      <c r="M43" s="42" t="s">
        <v>6186</v>
      </c>
      <c r="N43" s="42" t="s">
        <v>6186</v>
      </c>
      <c r="O43" s="42" t="s">
        <v>6186</v>
      </c>
      <c r="P43" s="42" t="s">
        <v>6186</v>
      </c>
    </row>
    <row r="44" spans="1:16" x14ac:dyDescent="0.15">
      <c r="A44" s="42" t="s">
        <v>6220</v>
      </c>
      <c r="B44" s="40" t="s">
        <v>14</v>
      </c>
      <c r="C44" s="42" t="s">
        <v>6200</v>
      </c>
      <c r="D44" s="42"/>
      <c r="E44" s="42"/>
      <c r="F44" s="42" t="s">
        <v>6118</v>
      </c>
      <c r="G44" s="42"/>
      <c r="H44" s="42" t="s">
        <v>6186</v>
      </c>
      <c r="I44" s="42" t="s">
        <v>6221</v>
      </c>
      <c r="J44" s="40" t="s">
        <v>15</v>
      </c>
      <c r="K44" s="42" t="s">
        <v>6186</v>
      </c>
      <c r="L44" s="42" t="s">
        <v>6186</v>
      </c>
      <c r="M44" s="42" t="s">
        <v>6186</v>
      </c>
      <c r="N44" s="42" t="s">
        <v>6186</v>
      </c>
      <c r="O44" s="42" t="s">
        <v>6186</v>
      </c>
      <c r="P44" s="42" t="s">
        <v>6186</v>
      </c>
    </row>
    <row r="45" spans="1:16" x14ac:dyDescent="0.15">
      <c r="A45" s="42" t="s">
        <v>6222</v>
      </c>
      <c r="B45" s="40" t="s">
        <v>13</v>
      </c>
      <c r="C45" s="42" t="s">
        <v>6232</v>
      </c>
      <c r="D45" s="42" t="s">
        <v>6186</v>
      </c>
      <c r="E45" s="42" t="s">
        <v>6186</v>
      </c>
      <c r="F45" s="42" t="s">
        <v>6223</v>
      </c>
      <c r="G45" s="42" t="s">
        <v>6186</v>
      </c>
      <c r="H45" s="42" t="s">
        <v>6186</v>
      </c>
      <c r="I45" s="42" t="s">
        <v>6224</v>
      </c>
      <c r="J45" s="40" t="s">
        <v>16</v>
      </c>
      <c r="K45" s="42" t="s">
        <v>6186</v>
      </c>
      <c r="L45" s="42" t="s">
        <v>6186</v>
      </c>
      <c r="M45" s="42" t="s">
        <v>6186</v>
      </c>
      <c r="N45" s="42" t="s">
        <v>6186</v>
      </c>
      <c r="O45" s="42" t="s">
        <v>6186</v>
      </c>
      <c r="P45" s="42" t="s">
        <v>6186</v>
      </c>
    </row>
    <row r="46" spans="1:16" x14ac:dyDescent="0.15">
      <c r="A46" s="42" t="s">
        <v>6225</v>
      </c>
      <c r="B46" s="40" t="s">
        <v>15</v>
      </c>
      <c r="C46" s="42" t="s">
        <v>6250</v>
      </c>
      <c r="D46" s="42" t="s">
        <v>6186</v>
      </c>
      <c r="E46" s="42" t="s">
        <v>6186</v>
      </c>
      <c r="F46" s="42" t="s">
        <v>6252</v>
      </c>
      <c r="G46" s="42" t="s">
        <v>6186</v>
      </c>
      <c r="H46" s="42" t="s">
        <v>6186</v>
      </c>
      <c r="I46" s="42" t="s">
        <v>6227</v>
      </c>
      <c r="J46" s="40" t="s">
        <v>17</v>
      </c>
      <c r="K46" s="42" t="s">
        <v>6186</v>
      </c>
      <c r="L46" s="42" t="s">
        <v>6186</v>
      </c>
      <c r="M46" s="42" t="s">
        <v>6186</v>
      </c>
      <c r="N46" s="42" t="s">
        <v>6186</v>
      </c>
      <c r="O46" s="42" t="s">
        <v>6186</v>
      </c>
      <c r="P46" s="42" t="s">
        <v>6186</v>
      </c>
    </row>
    <row r="47" spans="1:16" x14ac:dyDescent="0.15">
      <c r="A47" s="42" t="s">
        <v>6228</v>
      </c>
      <c r="B47" s="40" t="s">
        <v>16</v>
      </c>
      <c r="C47" s="42" t="s">
        <v>6196</v>
      </c>
      <c r="D47" s="42" t="s">
        <v>6186</v>
      </c>
      <c r="E47" s="42" t="s">
        <v>6186</v>
      </c>
      <c r="F47" s="42" t="s">
        <v>6229</v>
      </c>
      <c r="G47" s="42" t="s">
        <v>6186</v>
      </c>
      <c r="H47" s="42" t="s">
        <v>6186</v>
      </c>
      <c r="I47" s="42" t="s">
        <v>6230</v>
      </c>
      <c r="J47" s="40" t="s">
        <v>18</v>
      </c>
      <c r="K47" s="42" t="s">
        <v>6186</v>
      </c>
      <c r="L47" s="42" t="s">
        <v>6186</v>
      </c>
      <c r="M47" s="42" t="s">
        <v>6186</v>
      </c>
      <c r="N47" s="42" t="s">
        <v>6186</v>
      </c>
      <c r="O47" s="42" t="s">
        <v>6186</v>
      </c>
      <c r="P47" s="42" t="s">
        <v>6186</v>
      </c>
    </row>
    <row r="48" spans="1:16" x14ac:dyDescent="0.15">
      <c r="A48" s="42" t="s">
        <v>6231</v>
      </c>
      <c r="B48" s="40" t="s">
        <v>17</v>
      </c>
      <c r="C48" s="42" t="s">
        <v>6232</v>
      </c>
      <c r="D48" s="42" t="s">
        <v>6186</v>
      </c>
      <c r="E48" s="42" t="s">
        <v>6186</v>
      </c>
      <c r="F48" s="42" t="s">
        <v>6233</v>
      </c>
      <c r="G48" s="42" t="s">
        <v>6186</v>
      </c>
      <c r="H48" s="42" t="s">
        <v>6186</v>
      </c>
      <c r="I48" s="42" t="s">
        <v>6234</v>
      </c>
      <c r="J48" s="40" t="s">
        <v>11</v>
      </c>
      <c r="K48" s="42" t="s">
        <v>6186</v>
      </c>
      <c r="L48" s="42" t="s">
        <v>6186</v>
      </c>
      <c r="M48" s="42" t="s">
        <v>6186</v>
      </c>
      <c r="N48" s="42" t="s">
        <v>6186</v>
      </c>
      <c r="O48" s="42" t="s">
        <v>6186</v>
      </c>
      <c r="P48" s="42" t="s">
        <v>6186</v>
      </c>
    </row>
    <row r="49" spans="1:16" x14ac:dyDescent="0.15">
      <c r="A49" s="42" t="s">
        <v>6235</v>
      </c>
      <c r="B49" s="40" t="s">
        <v>18</v>
      </c>
      <c r="C49" s="42" t="s">
        <v>6209</v>
      </c>
      <c r="D49" s="42" t="s">
        <v>6186</v>
      </c>
      <c r="E49" s="42" t="s">
        <v>6186</v>
      </c>
      <c r="F49" s="42" t="s">
        <v>6236</v>
      </c>
      <c r="G49" s="42" t="s">
        <v>6186</v>
      </c>
      <c r="H49" s="42" t="s">
        <v>6186</v>
      </c>
      <c r="I49" s="42" t="s">
        <v>12</v>
      </c>
      <c r="J49" s="42" t="s">
        <v>12</v>
      </c>
      <c r="K49" s="42" t="s">
        <v>12</v>
      </c>
      <c r="L49" s="42" t="s">
        <v>12</v>
      </c>
      <c r="M49" s="42" t="s">
        <v>12</v>
      </c>
      <c r="N49" s="42" t="s">
        <v>12</v>
      </c>
      <c r="O49" s="42" t="s">
        <v>12</v>
      </c>
      <c r="P49" s="42" t="s">
        <v>12</v>
      </c>
    </row>
    <row r="50" spans="1:16" x14ac:dyDescent="0.15">
      <c r="A50" s="35"/>
      <c r="C50" s="46"/>
      <c r="D50" s="46"/>
      <c r="E50" s="46"/>
      <c r="F50" s="46"/>
      <c r="G50" s="47"/>
      <c r="H50" s="47"/>
      <c r="I50" s="36"/>
      <c r="M50" s="131" t="s">
        <v>6237</v>
      </c>
      <c r="N50" s="131"/>
      <c r="O50" s="131"/>
      <c r="P50" s="131"/>
    </row>
    <row r="51" spans="1:16" x14ac:dyDescent="0.15">
      <c r="A51" s="34"/>
    </row>
    <row r="52" spans="1:16" x14ac:dyDescent="0.15">
      <c r="A52" s="34"/>
    </row>
    <row r="53" spans="1:16" x14ac:dyDescent="0.15">
      <c r="A53" s="35"/>
      <c r="B53" s="36"/>
    </row>
    <row r="54" spans="1:16" x14ac:dyDescent="0.15">
      <c r="A54" s="124" t="s">
        <v>6178</v>
      </c>
      <c r="B54" s="125"/>
      <c r="C54" s="125"/>
      <c r="D54" s="126"/>
      <c r="E54" s="124" t="s">
        <v>6253</v>
      </c>
      <c r="F54" s="125"/>
      <c r="G54" s="126"/>
      <c r="H54" s="124" t="s">
        <v>6254</v>
      </c>
      <c r="I54" s="126"/>
      <c r="J54" s="125" t="s">
        <v>6181</v>
      </c>
      <c r="K54" s="125"/>
      <c r="L54" s="126"/>
      <c r="M54" s="124" t="s">
        <v>6182</v>
      </c>
      <c r="N54" s="125"/>
      <c r="O54" s="125"/>
      <c r="P54" s="126"/>
    </row>
    <row r="55" spans="1:16" x14ac:dyDescent="0.15">
      <c r="A55" s="124" t="s">
        <v>6255</v>
      </c>
      <c r="B55" s="125"/>
      <c r="C55" s="125"/>
      <c r="D55" s="125"/>
      <c r="E55" s="125"/>
      <c r="F55" s="125"/>
      <c r="G55" s="125"/>
      <c r="H55" s="125"/>
      <c r="I55" s="125"/>
      <c r="J55" s="125"/>
      <c r="K55" s="125"/>
      <c r="L55" s="125"/>
      <c r="M55" s="125"/>
      <c r="N55" s="125"/>
      <c r="O55" s="125"/>
      <c r="P55" s="126"/>
    </row>
    <row r="56" spans="1:16" x14ac:dyDescent="0.15">
      <c r="A56" s="124" t="s">
        <v>6184</v>
      </c>
      <c r="B56" s="125"/>
      <c r="C56" s="125"/>
      <c r="D56" s="125"/>
      <c r="E56" s="125"/>
      <c r="F56" s="125"/>
      <c r="G56" s="125"/>
      <c r="H56" s="125"/>
      <c r="I56" s="125"/>
      <c r="J56" s="125"/>
      <c r="K56" s="125"/>
      <c r="L56" s="125"/>
      <c r="M56" s="125"/>
      <c r="N56" s="125"/>
      <c r="O56" s="125"/>
      <c r="P56" s="126"/>
    </row>
    <row r="57" spans="1:16" x14ac:dyDescent="0.15">
      <c r="A57" s="37"/>
      <c r="B57" s="38"/>
      <c r="C57" s="127" t="s">
        <v>4</v>
      </c>
      <c r="D57" s="128"/>
      <c r="E57" s="129" t="s">
        <v>5</v>
      </c>
      <c r="F57" s="130"/>
      <c r="G57" s="129" t="s">
        <v>6</v>
      </c>
      <c r="H57" s="130"/>
      <c r="I57" s="38"/>
      <c r="J57" s="38"/>
      <c r="K57" s="127" t="s">
        <v>4</v>
      </c>
      <c r="L57" s="128"/>
      <c r="M57" s="129" t="s">
        <v>5</v>
      </c>
      <c r="N57" s="130"/>
      <c r="O57" s="129" t="s">
        <v>6</v>
      </c>
      <c r="P57" s="130"/>
    </row>
    <row r="58" spans="1:16" ht="24" x14ac:dyDescent="0.15">
      <c r="A58" s="39" t="s">
        <v>7</v>
      </c>
      <c r="B58" s="40" t="s">
        <v>8</v>
      </c>
      <c r="C58" s="41" t="s">
        <v>9</v>
      </c>
      <c r="D58" s="41" t="s">
        <v>10</v>
      </c>
      <c r="E58" s="41" t="s">
        <v>9</v>
      </c>
      <c r="F58" s="41" t="s">
        <v>10</v>
      </c>
      <c r="G58" s="41" t="s">
        <v>9</v>
      </c>
      <c r="H58" s="41" t="s">
        <v>10</v>
      </c>
      <c r="I58" s="48" t="s">
        <v>7</v>
      </c>
      <c r="J58" s="40" t="s">
        <v>8</v>
      </c>
      <c r="K58" s="41" t="s">
        <v>9</v>
      </c>
      <c r="L58" s="41" t="s">
        <v>10</v>
      </c>
      <c r="M58" s="41" t="s">
        <v>9</v>
      </c>
      <c r="N58" s="41" t="s">
        <v>10</v>
      </c>
      <c r="O58" s="41" t="s">
        <v>9</v>
      </c>
      <c r="P58" s="41" t="s">
        <v>10</v>
      </c>
    </row>
    <row r="59" spans="1:16" x14ac:dyDescent="0.15">
      <c r="A59" s="42" t="s">
        <v>6185</v>
      </c>
      <c r="B59" s="40" t="s">
        <v>17</v>
      </c>
      <c r="C59" s="42" t="s">
        <v>6250</v>
      </c>
      <c r="D59" s="43"/>
      <c r="E59" s="43"/>
      <c r="F59" s="42" t="s">
        <v>6241</v>
      </c>
      <c r="G59" s="43"/>
      <c r="H59" s="43" t="s">
        <v>6186</v>
      </c>
      <c r="I59" s="42" t="s">
        <v>6187</v>
      </c>
      <c r="J59" s="40" t="s">
        <v>11</v>
      </c>
      <c r="K59" s="42"/>
      <c r="L59" s="43"/>
      <c r="M59" s="43"/>
      <c r="N59" s="42"/>
      <c r="O59" s="43" t="s">
        <v>6186</v>
      </c>
      <c r="P59" s="43" t="s">
        <v>6186</v>
      </c>
    </row>
    <row r="60" spans="1:16" x14ac:dyDescent="0.15">
      <c r="A60" s="42" t="s">
        <v>6190</v>
      </c>
      <c r="B60" s="40" t="s">
        <v>18</v>
      </c>
      <c r="C60" s="42" t="s">
        <v>6217</v>
      </c>
      <c r="D60" s="43"/>
      <c r="E60" s="43"/>
      <c r="F60" s="42" t="s">
        <v>6242</v>
      </c>
      <c r="G60" s="43"/>
      <c r="H60" s="43" t="s">
        <v>6186</v>
      </c>
      <c r="I60" s="42" t="s">
        <v>6191</v>
      </c>
      <c r="J60" s="40" t="s">
        <v>14</v>
      </c>
      <c r="K60" s="42"/>
      <c r="L60" s="43"/>
      <c r="M60" s="43"/>
      <c r="N60" s="42"/>
      <c r="O60" s="43" t="s">
        <v>6186</v>
      </c>
      <c r="P60" s="43" t="s">
        <v>6186</v>
      </c>
    </row>
    <row r="61" spans="1:16" x14ac:dyDescent="0.15">
      <c r="A61" s="42" t="s">
        <v>6194</v>
      </c>
      <c r="B61" s="40" t="s">
        <v>11</v>
      </c>
      <c r="C61" s="42" t="s">
        <v>6192</v>
      </c>
      <c r="D61" s="43"/>
      <c r="E61" s="43"/>
      <c r="F61" s="42" t="s">
        <v>6243</v>
      </c>
      <c r="G61" s="43"/>
      <c r="H61" s="43" t="s">
        <v>6186</v>
      </c>
      <c r="I61" s="42" t="s">
        <v>6195</v>
      </c>
      <c r="J61" s="40" t="s">
        <v>13</v>
      </c>
      <c r="K61" s="42" t="s">
        <v>6196</v>
      </c>
      <c r="L61" s="43" t="s">
        <v>6186</v>
      </c>
      <c r="M61" s="43" t="s">
        <v>6186</v>
      </c>
      <c r="N61" s="42" t="s">
        <v>6197</v>
      </c>
      <c r="O61" s="43" t="s">
        <v>6186</v>
      </c>
      <c r="P61" s="43" t="s">
        <v>6186</v>
      </c>
    </row>
    <row r="62" spans="1:16" x14ac:dyDescent="0.15">
      <c r="A62" s="42" t="s">
        <v>6198</v>
      </c>
      <c r="B62" s="40" t="s">
        <v>14</v>
      </c>
      <c r="C62" s="43"/>
      <c r="D62" s="43"/>
      <c r="E62" s="43"/>
      <c r="F62" s="43"/>
      <c r="G62" s="43"/>
      <c r="H62" s="43" t="s">
        <v>6186</v>
      </c>
      <c r="I62" s="42" t="s">
        <v>6199</v>
      </c>
      <c r="J62" s="40" t="s">
        <v>15</v>
      </c>
      <c r="K62" s="42" t="s">
        <v>6213</v>
      </c>
      <c r="L62" s="43" t="s">
        <v>6186</v>
      </c>
      <c r="M62" s="43" t="s">
        <v>6186</v>
      </c>
      <c r="N62" s="42" t="s">
        <v>6201</v>
      </c>
      <c r="O62" s="43" t="s">
        <v>6186</v>
      </c>
      <c r="P62" s="43" t="s">
        <v>6186</v>
      </c>
    </row>
    <row r="63" spans="1:16" x14ac:dyDescent="0.15">
      <c r="A63" s="42" t="s">
        <v>6202</v>
      </c>
      <c r="B63" s="40" t="s">
        <v>13</v>
      </c>
      <c r="C63" s="43"/>
      <c r="D63" s="43"/>
      <c r="E63" s="43"/>
      <c r="F63" s="43"/>
      <c r="G63" s="43"/>
      <c r="H63" s="43" t="s">
        <v>6186</v>
      </c>
      <c r="I63" s="42" t="s">
        <v>6203</v>
      </c>
      <c r="J63" s="40" t="s">
        <v>16</v>
      </c>
      <c r="K63" s="43" t="s">
        <v>6186</v>
      </c>
      <c r="L63" s="43" t="s">
        <v>6186</v>
      </c>
      <c r="M63" s="43" t="s">
        <v>6186</v>
      </c>
      <c r="N63" s="43" t="s">
        <v>6186</v>
      </c>
      <c r="O63" s="43" t="s">
        <v>6186</v>
      </c>
      <c r="P63" s="43" t="s">
        <v>6186</v>
      </c>
    </row>
    <row r="64" spans="1:16" x14ac:dyDescent="0.15">
      <c r="A64" s="42" t="s">
        <v>6204</v>
      </c>
      <c r="B64" s="40" t="s">
        <v>15</v>
      </c>
      <c r="C64" s="43"/>
      <c r="D64" s="43"/>
      <c r="E64" s="43"/>
      <c r="F64" s="43"/>
      <c r="G64" s="43"/>
      <c r="H64" s="43" t="s">
        <v>6186</v>
      </c>
      <c r="I64" s="42" t="s">
        <v>6205</v>
      </c>
      <c r="J64" s="40" t="s">
        <v>17</v>
      </c>
      <c r="K64" s="43" t="s">
        <v>6186</v>
      </c>
      <c r="L64" s="43" t="s">
        <v>6186</v>
      </c>
      <c r="M64" s="43" t="s">
        <v>6186</v>
      </c>
      <c r="N64" s="43" t="s">
        <v>6186</v>
      </c>
      <c r="O64" s="43" t="s">
        <v>6186</v>
      </c>
      <c r="P64" s="43" t="s">
        <v>6186</v>
      </c>
    </row>
    <row r="65" spans="1:16" x14ac:dyDescent="0.15">
      <c r="A65" s="42" t="s">
        <v>6206</v>
      </c>
      <c r="B65" s="40" t="s">
        <v>16</v>
      </c>
      <c r="C65" s="43"/>
      <c r="D65" s="43"/>
      <c r="E65" s="43"/>
      <c r="F65" s="43"/>
      <c r="G65" s="43"/>
      <c r="H65" s="43" t="s">
        <v>6186</v>
      </c>
      <c r="I65" s="42" t="s">
        <v>6207</v>
      </c>
      <c r="J65" s="40" t="s">
        <v>18</v>
      </c>
      <c r="K65" s="43" t="s">
        <v>6186</v>
      </c>
      <c r="L65" s="43" t="s">
        <v>6186</v>
      </c>
      <c r="M65" s="43" t="s">
        <v>6186</v>
      </c>
      <c r="N65" s="43" t="s">
        <v>6186</v>
      </c>
      <c r="O65" s="43" t="s">
        <v>6186</v>
      </c>
      <c r="P65" s="43" t="s">
        <v>6186</v>
      </c>
    </row>
    <row r="66" spans="1:16" x14ac:dyDescent="0.15">
      <c r="A66" s="42" t="s">
        <v>6208</v>
      </c>
      <c r="B66" s="40" t="s">
        <v>17</v>
      </c>
      <c r="C66" s="42" t="s">
        <v>6256</v>
      </c>
      <c r="D66" s="43"/>
      <c r="E66" s="43"/>
      <c r="F66" s="42" t="s">
        <v>6210</v>
      </c>
      <c r="G66" s="43"/>
      <c r="H66" s="43" t="s">
        <v>6186</v>
      </c>
      <c r="I66" s="42" t="s">
        <v>6211</v>
      </c>
      <c r="J66" s="40" t="s">
        <v>11</v>
      </c>
      <c r="K66" s="43" t="s">
        <v>6186</v>
      </c>
      <c r="L66" s="43" t="s">
        <v>6186</v>
      </c>
      <c r="M66" s="43" t="s">
        <v>6186</v>
      </c>
      <c r="N66" s="43" t="s">
        <v>6186</v>
      </c>
      <c r="O66" s="43" t="s">
        <v>6186</v>
      </c>
      <c r="P66" s="43" t="s">
        <v>6186</v>
      </c>
    </row>
    <row r="67" spans="1:16" x14ac:dyDescent="0.15">
      <c r="A67" s="42" t="s">
        <v>6212</v>
      </c>
      <c r="B67" s="40" t="s">
        <v>18</v>
      </c>
      <c r="C67" s="42" t="s">
        <v>6196</v>
      </c>
      <c r="D67" s="43"/>
      <c r="E67" s="43"/>
      <c r="F67" s="42" t="s">
        <v>6251</v>
      </c>
      <c r="G67" s="42"/>
      <c r="H67" s="42" t="s">
        <v>6186</v>
      </c>
      <c r="I67" s="42" t="s">
        <v>6215</v>
      </c>
      <c r="J67" s="40" t="s">
        <v>14</v>
      </c>
      <c r="K67" s="42" t="s">
        <v>6186</v>
      </c>
      <c r="L67" s="42" t="s">
        <v>6186</v>
      </c>
      <c r="M67" s="42" t="s">
        <v>6186</v>
      </c>
      <c r="N67" s="42" t="s">
        <v>6186</v>
      </c>
      <c r="O67" s="42" t="s">
        <v>6186</v>
      </c>
      <c r="P67" s="42" t="s">
        <v>6186</v>
      </c>
    </row>
    <row r="68" spans="1:16" x14ac:dyDescent="0.15">
      <c r="A68" s="42" t="s">
        <v>6216</v>
      </c>
      <c r="B68" s="40" t="s">
        <v>11</v>
      </c>
      <c r="C68" s="42" t="s">
        <v>6209</v>
      </c>
      <c r="D68" s="43"/>
      <c r="E68" s="43"/>
      <c r="F68" s="42" t="s">
        <v>6218</v>
      </c>
      <c r="G68" s="43"/>
      <c r="H68" s="43" t="s">
        <v>6186</v>
      </c>
      <c r="I68" s="42" t="s">
        <v>6219</v>
      </c>
      <c r="J68" s="40" t="s">
        <v>13</v>
      </c>
      <c r="K68" s="43" t="s">
        <v>6186</v>
      </c>
      <c r="L68" s="43" t="s">
        <v>6186</v>
      </c>
      <c r="M68" s="43" t="s">
        <v>6186</v>
      </c>
      <c r="N68" s="43" t="s">
        <v>6186</v>
      </c>
      <c r="O68" s="43" t="s">
        <v>6186</v>
      </c>
      <c r="P68" s="43" t="s">
        <v>6186</v>
      </c>
    </row>
    <row r="69" spans="1:16" x14ac:dyDescent="0.15">
      <c r="A69" s="42" t="s">
        <v>6220</v>
      </c>
      <c r="B69" s="40" t="s">
        <v>14</v>
      </c>
      <c r="C69" s="42" t="s">
        <v>6232</v>
      </c>
      <c r="D69" s="43"/>
      <c r="E69" s="43"/>
      <c r="F69" s="42" t="s">
        <v>6118</v>
      </c>
      <c r="G69" s="43"/>
      <c r="H69" s="43" t="s">
        <v>6186</v>
      </c>
      <c r="I69" s="42" t="s">
        <v>6221</v>
      </c>
      <c r="J69" s="40" t="s">
        <v>15</v>
      </c>
      <c r="K69" s="43" t="s">
        <v>6186</v>
      </c>
      <c r="L69" s="43" t="s">
        <v>6186</v>
      </c>
      <c r="M69" s="43" t="s">
        <v>6186</v>
      </c>
      <c r="N69" s="43" t="s">
        <v>6186</v>
      </c>
      <c r="O69" s="43" t="s">
        <v>6186</v>
      </c>
      <c r="P69" s="43" t="s">
        <v>6186</v>
      </c>
    </row>
    <row r="70" spans="1:16" x14ac:dyDescent="0.15">
      <c r="A70" s="42" t="s">
        <v>6222</v>
      </c>
      <c r="B70" s="40" t="s">
        <v>13</v>
      </c>
      <c r="C70" s="42" t="s">
        <v>6188</v>
      </c>
      <c r="D70" s="43" t="s">
        <v>6186</v>
      </c>
      <c r="E70" s="43" t="s">
        <v>6186</v>
      </c>
      <c r="F70" s="42" t="s">
        <v>6223</v>
      </c>
      <c r="G70" s="43" t="s">
        <v>6186</v>
      </c>
      <c r="H70" s="43" t="s">
        <v>6186</v>
      </c>
      <c r="I70" s="42" t="s">
        <v>6224</v>
      </c>
      <c r="J70" s="40" t="s">
        <v>16</v>
      </c>
      <c r="K70" s="43" t="s">
        <v>6186</v>
      </c>
      <c r="L70" s="43" t="s">
        <v>6186</v>
      </c>
      <c r="M70" s="43" t="s">
        <v>6186</v>
      </c>
      <c r="N70" s="43" t="s">
        <v>6186</v>
      </c>
      <c r="O70" s="43" t="s">
        <v>6186</v>
      </c>
      <c r="P70" s="43" t="s">
        <v>6186</v>
      </c>
    </row>
    <row r="71" spans="1:16" x14ac:dyDescent="0.15">
      <c r="A71" s="42" t="s">
        <v>6225</v>
      </c>
      <c r="B71" s="40" t="s">
        <v>15</v>
      </c>
      <c r="C71" s="42" t="s">
        <v>6213</v>
      </c>
      <c r="D71" s="43" t="s">
        <v>6186</v>
      </c>
      <c r="E71" s="43" t="s">
        <v>6186</v>
      </c>
      <c r="F71" s="42" t="s">
        <v>6252</v>
      </c>
      <c r="G71" s="43" t="s">
        <v>6186</v>
      </c>
      <c r="H71" s="43" t="s">
        <v>6186</v>
      </c>
      <c r="I71" s="42" t="s">
        <v>6227</v>
      </c>
      <c r="J71" s="40" t="s">
        <v>17</v>
      </c>
      <c r="K71" s="43" t="s">
        <v>6186</v>
      </c>
      <c r="L71" s="43" t="s">
        <v>6186</v>
      </c>
      <c r="M71" s="43" t="s">
        <v>6186</v>
      </c>
      <c r="N71" s="43" t="s">
        <v>6186</v>
      </c>
      <c r="O71" s="43" t="s">
        <v>6186</v>
      </c>
      <c r="P71" s="43" t="s">
        <v>6186</v>
      </c>
    </row>
    <row r="72" spans="1:16" x14ac:dyDescent="0.15">
      <c r="A72" s="42" t="s">
        <v>6228</v>
      </c>
      <c r="B72" s="40" t="s">
        <v>16</v>
      </c>
      <c r="C72" s="42" t="s">
        <v>6192</v>
      </c>
      <c r="D72" s="43" t="s">
        <v>6186</v>
      </c>
      <c r="E72" s="43" t="s">
        <v>6186</v>
      </c>
      <c r="F72" s="42" t="s">
        <v>6229</v>
      </c>
      <c r="G72" s="43" t="s">
        <v>6186</v>
      </c>
      <c r="H72" s="43" t="s">
        <v>6186</v>
      </c>
      <c r="I72" s="42" t="s">
        <v>6230</v>
      </c>
      <c r="J72" s="40" t="s">
        <v>18</v>
      </c>
      <c r="K72" s="43" t="s">
        <v>6186</v>
      </c>
      <c r="L72" s="43" t="s">
        <v>6186</v>
      </c>
      <c r="M72" s="43" t="s">
        <v>6186</v>
      </c>
      <c r="N72" s="43" t="s">
        <v>6186</v>
      </c>
      <c r="O72" s="43" t="s">
        <v>6186</v>
      </c>
      <c r="P72" s="43" t="s">
        <v>6186</v>
      </c>
    </row>
    <row r="73" spans="1:16" x14ac:dyDescent="0.15">
      <c r="A73" s="42" t="s">
        <v>6231</v>
      </c>
      <c r="B73" s="40" t="s">
        <v>17</v>
      </c>
      <c r="C73" s="42" t="s">
        <v>6213</v>
      </c>
      <c r="D73" s="43" t="s">
        <v>6186</v>
      </c>
      <c r="E73" s="43" t="s">
        <v>6186</v>
      </c>
      <c r="F73" s="42" t="s">
        <v>6233</v>
      </c>
      <c r="G73" s="43" t="s">
        <v>6186</v>
      </c>
      <c r="H73" s="43" t="s">
        <v>6186</v>
      </c>
      <c r="I73" s="42" t="s">
        <v>6234</v>
      </c>
      <c r="J73" s="40" t="s">
        <v>11</v>
      </c>
      <c r="K73" s="43" t="s">
        <v>6186</v>
      </c>
      <c r="L73" s="43" t="s">
        <v>6186</v>
      </c>
      <c r="M73" s="43" t="s">
        <v>6186</v>
      </c>
      <c r="N73" s="43" t="s">
        <v>6186</v>
      </c>
      <c r="O73" s="43" t="s">
        <v>6186</v>
      </c>
      <c r="P73" s="43" t="s">
        <v>6186</v>
      </c>
    </row>
    <row r="74" spans="1:16" x14ac:dyDescent="0.15">
      <c r="A74" s="42" t="s">
        <v>6235</v>
      </c>
      <c r="B74" s="40" t="s">
        <v>18</v>
      </c>
      <c r="C74" s="42" t="s">
        <v>6192</v>
      </c>
      <c r="D74" s="43" t="s">
        <v>6186</v>
      </c>
      <c r="E74" s="43" t="s">
        <v>6186</v>
      </c>
      <c r="F74" s="42" t="s">
        <v>6236</v>
      </c>
      <c r="G74" s="43" t="s">
        <v>6186</v>
      </c>
      <c r="H74" s="43" t="s">
        <v>6186</v>
      </c>
      <c r="I74" s="42" t="s">
        <v>12</v>
      </c>
      <c r="J74" s="42" t="s">
        <v>12</v>
      </c>
      <c r="K74" s="42" t="s">
        <v>12</v>
      </c>
      <c r="L74" s="42" t="s">
        <v>12</v>
      </c>
      <c r="M74" s="42" t="s">
        <v>12</v>
      </c>
      <c r="N74" s="42" t="s">
        <v>12</v>
      </c>
      <c r="O74" s="42" t="s">
        <v>12</v>
      </c>
      <c r="P74" s="42" t="s">
        <v>12</v>
      </c>
    </row>
    <row r="75" spans="1:16" x14ac:dyDescent="0.15">
      <c r="A75" s="35"/>
      <c r="C75" s="46"/>
      <c r="D75" s="46"/>
      <c r="E75" s="46"/>
      <c r="F75" s="46"/>
      <c r="G75" s="47"/>
      <c r="H75" s="47"/>
      <c r="I75" s="36"/>
      <c r="M75" s="131" t="s">
        <v>6237</v>
      </c>
      <c r="N75" s="131"/>
      <c r="O75" s="131"/>
      <c r="P75" s="131"/>
    </row>
    <row r="76" spans="1:16" x14ac:dyDescent="0.15">
      <c r="A76" s="34"/>
    </row>
    <row r="77" spans="1:16" x14ac:dyDescent="0.15">
      <c r="A77" s="34"/>
    </row>
    <row r="78" spans="1:16" x14ac:dyDescent="0.15">
      <c r="A78" s="35"/>
      <c r="B78" s="36"/>
    </row>
    <row r="79" spans="1:16" x14ac:dyDescent="0.15">
      <c r="A79" s="124" t="s">
        <v>6178</v>
      </c>
      <c r="B79" s="125"/>
      <c r="C79" s="125"/>
      <c r="D79" s="126"/>
      <c r="E79" s="124" t="s">
        <v>6257</v>
      </c>
      <c r="F79" s="125"/>
      <c r="G79" s="126"/>
      <c r="H79" s="124" t="s">
        <v>6258</v>
      </c>
      <c r="I79" s="126"/>
      <c r="J79" s="125" t="s">
        <v>6181</v>
      </c>
      <c r="K79" s="125"/>
      <c r="L79" s="126"/>
      <c r="M79" s="124" t="s">
        <v>6182</v>
      </c>
      <c r="N79" s="125"/>
      <c r="O79" s="125"/>
      <c r="P79" s="126"/>
    </row>
    <row r="80" spans="1:16" x14ac:dyDescent="0.15">
      <c r="A80" s="124" t="s">
        <v>6259</v>
      </c>
      <c r="B80" s="125"/>
      <c r="C80" s="125"/>
      <c r="D80" s="125"/>
      <c r="E80" s="125"/>
      <c r="F80" s="125"/>
      <c r="G80" s="125"/>
      <c r="H80" s="125"/>
      <c r="I80" s="125"/>
      <c r="J80" s="125"/>
      <c r="K80" s="125"/>
      <c r="L80" s="125"/>
      <c r="M80" s="125"/>
      <c r="N80" s="125"/>
      <c r="O80" s="125"/>
      <c r="P80" s="126"/>
    </row>
    <row r="81" spans="1:16" x14ac:dyDescent="0.15">
      <c r="A81" s="124" t="s">
        <v>6184</v>
      </c>
      <c r="B81" s="125"/>
      <c r="C81" s="125"/>
      <c r="D81" s="125"/>
      <c r="E81" s="125"/>
      <c r="F81" s="125"/>
      <c r="G81" s="125"/>
      <c r="H81" s="125"/>
      <c r="I81" s="125"/>
      <c r="J81" s="125"/>
      <c r="K81" s="125"/>
      <c r="L81" s="125"/>
      <c r="M81" s="125"/>
      <c r="N81" s="125"/>
      <c r="O81" s="125"/>
      <c r="P81" s="126"/>
    </row>
    <row r="82" spans="1:16" x14ac:dyDescent="0.15">
      <c r="A82" s="37"/>
      <c r="B82" s="38"/>
      <c r="C82" s="127" t="s">
        <v>4</v>
      </c>
      <c r="D82" s="128"/>
      <c r="E82" s="129" t="s">
        <v>5</v>
      </c>
      <c r="F82" s="130"/>
      <c r="G82" s="129" t="s">
        <v>6</v>
      </c>
      <c r="H82" s="130"/>
      <c r="I82" s="38"/>
      <c r="J82" s="38"/>
      <c r="K82" s="127" t="s">
        <v>4</v>
      </c>
      <c r="L82" s="128"/>
      <c r="M82" s="129" t="s">
        <v>5</v>
      </c>
      <c r="N82" s="130"/>
      <c r="O82" s="129" t="s">
        <v>6</v>
      </c>
      <c r="P82" s="130"/>
    </row>
    <row r="83" spans="1:16" ht="24" x14ac:dyDescent="0.15">
      <c r="A83" s="39" t="s">
        <v>7</v>
      </c>
      <c r="B83" s="40" t="s">
        <v>8</v>
      </c>
      <c r="C83" s="41" t="s">
        <v>9</v>
      </c>
      <c r="D83" s="41" t="s">
        <v>10</v>
      </c>
      <c r="E83" s="41" t="s">
        <v>9</v>
      </c>
      <c r="F83" s="41" t="s">
        <v>10</v>
      </c>
      <c r="G83" s="41" t="s">
        <v>9</v>
      </c>
      <c r="H83" s="41" t="s">
        <v>10</v>
      </c>
      <c r="I83" s="48" t="s">
        <v>7</v>
      </c>
      <c r="J83" s="40" t="s">
        <v>8</v>
      </c>
      <c r="K83" s="41" t="s">
        <v>9</v>
      </c>
      <c r="L83" s="41" t="s">
        <v>10</v>
      </c>
      <c r="M83" s="41" t="s">
        <v>9</v>
      </c>
      <c r="N83" s="41" t="s">
        <v>10</v>
      </c>
      <c r="O83" s="41" t="s">
        <v>9</v>
      </c>
      <c r="P83" s="41" t="s">
        <v>10</v>
      </c>
    </row>
    <row r="84" spans="1:16" x14ac:dyDescent="0.15">
      <c r="A84" s="42" t="s">
        <v>6185</v>
      </c>
      <c r="B84" s="40" t="s">
        <v>17</v>
      </c>
      <c r="C84" s="42" t="s">
        <v>6192</v>
      </c>
      <c r="D84" s="43"/>
      <c r="E84" s="43"/>
      <c r="F84" s="42" t="s">
        <v>6241</v>
      </c>
      <c r="G84" s="43"/>
      <c r="H84" s="43" t="s">
        <v>6186</v>
      </c>
      <c r="I84" s="42" t="s">
        <v>6187</v>
      </c>
      <c r="J84" s="40" t="s">
        <v>11</v>
      </c>
      <c r="K84" s="42" t="s">
        <v>6260</v>
      </c>
      <c r="L84" s="43" t="s">
        <v>6186</v>
      </c>
      <c r="M84" s="43" t="s">
        <v>6186</v>
      </c>
      <c r="N84" s="42" t="s">
        <v>6189</v>
      </c>
      <c r="O84" s="43" t="s">
        <v>6186</v>
      </c>
      <c r="P84" s="43" t="s">
        <v>6186</v>
      </c>
    </row>
    <row r="85" spans="1:16" x14ac:dyDescent="0.15">
      <c r="A85" s="42" t="s">
        <v>6190</v>
      </c>
      <c r="B85" s="40" t="s">
        <v>18</v>
      </c>
      <c r="C85" s="42" t="s">
        <v>6196</v>
      </c>
      <c r="D85" s="43"/>
      <c r="E85" s="43"/>
      <c r="F85" s="42" t="s">
        <v>6242</v>
      </c>
      <c r="G85" s="43"/>
      <c r="H85" s="43" t="s">
        <v>6186</v>
      </c>
      <c r="I85" s="42" t="s">
        <v>6191</v>
      </c>
      <c r="J85" s="40" t="s">
        <v>14</v>
      </c>
      <c r="K85" s="42" t="s">
        <v>6192</v>
      </c>
      <c r="L85" s="43" t="s">
        <v>6186</v>
      </c>
      <c r="M85" s="43" t="s">
        <v>6186</v>
      </c>
      <c r="N85" s="42" t="s">
        <v>6193</v>
      </c>
      <c r="O85" s="43" t="s">
        <v>6186</v>
      </c>
      <c r="P85" s="43" t="s">
        <v>6186</v>
      </c>
    </row>
    <row r="86" spans="1:16" x14ac:dyDescent="0.15">
      <c r="A86" s="42" t="s">
        <v>6194</v>
      </c>
      <c r="B86" s="40" t="s">
        <v>11</v>
      </c>
      <c r="C86" s="42" t="s">
        <v>6213</v>
      </c>
      <c r="D86" s="43"/>
      <c r="E86" s="43"/>
      <c r="F86" s="42" t="s">
        <v>6243</v>
      </c>
      <c r="G86" s="43"/>
      <c r="H86" s="43" t="s">
        <v>6186</v>
      </c>
      <c r="I86" s="42" t="s">
        <v>6195</v>
      </c>
      <c r="J86" s="40" t="s">
        <v>13</v>
      </c>
      <c r="K86" s="42" t="s">
        <v>6260</v>
      </c>
      <c r="L86" s="43" t="s">
        <v>6186</v>
      </c>
      <c r="M86" s="43" t="s">
        <v>6186</v>
      </c>
      <c r="N86" s="42" t="s">
        <v>6197</v>
      </c>
      <c r="O86" s="43" t="s">
        <v>6186</v>
      </c>
      <c r="P86" s="43" t="s">
        <v>6186</v>
      </c>
    </row>
    <row r="87" spans="1:16" x14ac:dyDescent="0.15">
      <c r="A87" s="42" t="s">
        <v>6198</v>
      </c>
      <c r="B87" s="40" t="s">
        <v>14</v>
      </c>
      <c r="C87" s="43"/>
      <c r="D87" s="43"/>
      <c r="E87" s="43"/>
      <c r="F87" s="43"/>
      <c r="G87" s="43"/>
      <c r="H87" s="43" t="s">
        <v>6186</v>
      </c>
      <c r="I87" s="42" t="s">
        <v>6199</v>
      </c>
      <c r="J87" s="40" t="s">
        <v>15</v>
      </c>
      <c r="K87" s="42" t="s">
        <v>6209</v>
      </c>
      <c r="L87" s="43" t="s">
        <v>6186</v>
      </c>
      <c r="M87" s="43" t="s">
        <v>6186</v>
      </c>
      <c r="N87" s="42" t="s">
        <v>6201</v>
      </c>
      <c r="O87" s="43" t="s">
        <v>6186</v>
      </c>
      <c r="P87" s="43" t="s">
        <v>6186</v>
      </c>
    </row>
    <row r="88" spans="1:16" x14ac:dyDescent="0.15">
      <c r="A88" s="42" t="s">
        <v>6202</v>
      </c>
      <c r="B88" s="40" t="s">
        <v>13</v>
      </c>
      <c r="C88" s="43"/>
      <c r="D88" s="43"/>
      <c r="E88" s="43"/>
      <c r="F88" s="43"/>
      <c r="G88" s="43"/>
      <c r="H88" s="43" t="s">
        <v>6186</v>
      </c>
      <c r="I88" s="42" t="s">
        <v>6203</v>
      </c>
      <c r="J88" s="40" t="s">
        <v>16</v>
      </c>
      <c r="K88" s="43" t="s">
        <v>6186</v>
      </c>
      <c r="L88" s="43" t="s">
        <v>6186</v>
      </c>
      <c r="M88" s="43" t="s">
        <v>6186</v>
      </c>
      <c r="N88" s="43" t="s">
        <v>6186</v>
      </c>
      <c r="O88" s="43" t="s">
        <v>6186</v>
      </c>
      <c r="P88" s="43" t="s">
        <v>6186</v>
      </c>
    </row>
    <row r="89" spans="1:16" x14ac:dyDescent="0.15">
      <c r="A89" s="42" t="s">
        <v>6204</v>
      </c>
      <c r="B89" s="40" t="s">
        <v>15</v>
      </c>
      <c r="C89" s="43"/>
      <c r="D89" s="43"/>
      <c r="E89" s="43"/>
      <c r="F89" s="43"/>
      <c r="G89" s="43"/>
      <c r="H89" s="43" t="s">
        <v>6186</v>
      </c>
      <c r="I89" s="42" t="s">
        <v>6205</v>
      </c>
      <c r="J89" s="40" t="s">
        <v>17</v>
      </c>
      <c r="K89" s="43" t="s">
        <v>6186</v>
      </c>
      <c r="L89" s="43" t="s">
        <v>6186</v>
      </c>
      <c r="M89" s="43" t="s">
        <v>6186</v>
      </c>
      <c r="N89" s="43" t="s">
        <v>6186</v>
      </c>
      <c r="O89" s="43" t="s">
        <v>6186</v>
      </c>
      <c r="P89" s="43" t="s">
        <v>6186</v>
      </c>
    </row>
    <row r="90" spans="1:16" x14ac:dyDescent="0.15">
      <c r="A90" s="42" t="s">
        <v>6206</v>
      </c>
      <c r="B90" s="40" t="s">
        <v>16</v>
      </c>
      <c r="C90" s="43"/>
      <c r="D90" s="43"/>
      <c r="E90" s="43"/>
      <c r="F90" s="43"/>
      <c r="G90" s="43"/>
      <c r="H90" s="43" t="s">
        <v>6186</v>
      </c>
      <c r="I90" s="42" t="s">
        <v>6207</v>
      </c>
      <c r="J90" s="40" t="s">
        <v>18</v>
      </c>
      <c r="K90" s="43" t="s">
        <v>6186</v>
      </c>
      <c r="L90" s="43" t="s">
        <v>6186</v>
      </c>
      <c r="M90" s="43" t="s">
        <v>6186</v>
      </c>
      <c r="N90" s="43" t="s">
        <v>6186</v>
      </c>
      <c r="O90" s="43" t="s">
        <v>6186</v>
      </c>
      <c r="P90" s="43" t="s">
        <v>6186</v>
      </c>
    </row>
    <row r="91" spans="1:16" x14ac:dyDescent="0.15">
      <c r="A91" s="42" t="s">
        <v>6208</v>
      </c>
      <c r="B91" s="40" t="s">
        <v>17</v>
      </c>
      <c r="C91" s="42" t="s">
        <v>6232</v>
      </c>
      <c r="D91" s="43"/>
      <c r="E91" s="43"/>
      <c r="F91" s="42" t="s">
        <v>6210</v>
      </c>
      <c r="G91" s="43"/>
      <c r="H91" s="43" t="s">
        <v>6186</v>
      </c>
      <c r="I91" s="42" t="s">
        <v>6211</v>
      </c>
      <c r="J91" s="40" t="s">
        <v>11</v>
      </c>
      <c r="K91" s="43" t="s">
        <v>6186</v>
      </c>
      <c r="L91" s="43" t="s">
        <v>6186</v>
      </c>
      <c r="M91" s="43" t="s">
        <v>6186</v>
      </c>
      <c r="N91" s="43" t="s">
        <v>6186</v>
      </c>
      <c r="O91" s="43" t="s">
        <v>6186</v>
      </c>
      <c r="P91" s="43" t="s">
        <v>6186</v>
      </c>
    </row>
    <row r="92" spans="1:16" x14ac:dyDescent="0.15">
      <c r="A92" s="42" t="s">
        <v>6212</v>
      </c>
      <c r="B92" s="40" t="s">
        <v>18</v>
      </c>
      <c r="C92" s="42" t="s">
        <v>6250</v>
      </c>
      <c r="D92" s="43"/>
      <c r="E92" s="43"/>
      <c r="F92" s="42" t="s">
        <v>6251</v>
      </c>
      <c r="G92" s="42"/>
      <c r="H92" s="42" t="s">
        <v>6186</v>
      </c>
      <c r="I92" s="42" t="s">
        <v>6215</v>
      </c>
      <c r="J92" s="40" t="s">
        <v>14</v>
      </c>
      <c r="K92" s="42" t="s">
        <v>6186</v>
      </c>
      <c r="L92" s="42" t="s">
        <v>6186</v>
      </c>
      <c r="M92" s="42" t="s">
        <v>6186</v>
      </c>
      <c r="N92" s="42" t="s">
        <v>6186</v>
      </c>
      <c r="O92" s="42" t="s">
        <v>6186</v>
      </c>
      <c r="P92" s="42" t="s">
        <v>6186</v>
      </c>
    </row>
    <row r="93" spans="1:16" x14ac:dyDescent="0.15">
      <c r="A93" s="42" t="s">
        <v>6216</v>
      </c>
      <c r="B93" s="40" t="s">
        <v>11</v>
      </c>
      <c r="C93" s="42" t="s">
        <v>6217</v>
      </c>
      <c r="D93" s="43"/>
      <c r="E93" s="43"/>
      <c r="F93" s="42" t="s">
        <v>6218</v>
      </c>
      <c r="G93" s="43"/>
      <c r="H93" s="43" t="s">
        <v>6186</v>
      </c>
      <c r="I93" s="42" t="s">
        <v>6219</v>
      </c>
      <c r="J93" s="40" t="s">
        <v>13</v>
      </c>
      <c r="K93" s="43" t="s">
        <v>6186</v>
      </c>
      <c r="L93" s="43" t="s">
        <v>6186</v>
      </c>
      <c r="M93" s="43" t="s">
        <v>6186</v>
      </c>
      <c r="N93" s="43" t="s">
        <v>6186</v>
      </c>
      <c r="O93" s="43" t="s">
        <v>6186</v>
      </c>
      <c r="P93" s="43" t="s">
        <v>6186</v>
      </c>
    </row>
    <row r="94" spans="1:16" x14ac:dyDescent="0.15">
      <c r="A94" s="42" t="s">
        <v>6220</v>
      </c>
      <c r="B94" s="40" t="s">
        <v>14</v>
      </c>
      <c r="C94" s="42" t="s">
        <v>6213</v>
      </c>
      <c r="D94" s="43"/>
      <c r="E94" s="43"/>
      <c r="F94" s="42" t="s">
        <v>6118</v>
      </c>
      <c r="G94" s="43"/>
      <c r="H94" s="43" t="s">
        <v>6186</v>
      </c>
      <c r="I94" s="42" t="s">
        <v>6221</v>
      </c>
      <c r="J94" s="40" t="s">
        <v>15</v>
      </c>
      <c r="K94" s="43" t="s">
        <v>6186</v>
      </c>
      <c r="L94" s="43" t="s">
        <v>6186</v>
      </c>
      <c r="M94" s="43" t="s">
        <v>6186</v>
      </c>
      <c r="N94" s="43" t="s">
        <v>6186</v>
      </c>
      <c r="O94" s="43" t="s">
        <v>6186</v>
      </c>
      <c r="P94" s="43" t="s">
        <v>6186</v>
      </c>
    </row>
    <row r="95" spans="1:16" x14ac:dyDescent="0.15">
      <c r="A95" s="42" t="s">
        <v>6222</v>
      </c>
      <c r="B95" s="40" t="s">
        <v>13</v>
      </c>
      <c r="C95" s="42" t="s">
        <v>6188</v>
      </c>
      <c r="D95" s="43" t="s">
        <v>6186</v>
      </c>
      <c r="E95" s="43" t="s">
        <v>6186</v>
      </c>
      <c r="F95" s="42" t="s">
        <v>6223</v>
      </c>
      <c r="G95" s="43" t="s">
        <v>6186</v>
      </c>
      <c r="H95" s="43" t="s">
        <v>6186</v>
      </c>
      <c r="I95" s="42" t="s">
        <v>6224</v>
      </c>
      <c r="J95" s="40" t="s">
        <v>16</v>
      </c>
      <c r="K95" s="43" t="s">
        <v>6186</v>
      </c>
      <c r="L95" s="43" t="s">
        <v>6186</v>
      </c>
      <c r="M95" s="43" t="s">
        <v>6186</v>
      </c>
      <c r="N95" s="43" t="s">
        <v>6186</v>
      </c>
      <c r="O95" s="43" t="s">
        <v>6186</v>
      </c>
      <c r="P95" s="43" t="s">
        <v>6186</v>
      </c>
    </row>
    <row r="96" spans="1:16" x14ac:dyDescent="0.15">
      <c r="A96" s="42" t="s">
        <v>6225</v>
      </c>
      <c r="B96" s="40" t="s">
        <v>15</v>
      </c>
      <c r="C96" s="42" t="s">
        <v>6232</v>
      </c>
      <c r="D96" s="43" t="s">
        <v>6186</v>
      </c>
      <c r="E96" s="43" t="s">
        <v>6186</v>
      </c>
      <c r="F96" s="42" t="s">
        <v>6261</v>
      </c>
      <c r="G96" s="43" t="s">
        <v>6186</v>
      </c>
      <c r="H96" s="43" t="s">
        <v>6186</v>
      </c>
      <c r="I96" s="42" t="s">
        <v>6227</v>
      </c>
      <c r="J96" s="40" t="s">
        <v>17</v>
      </c>
      <c r="K96" s="43" t="s">
        <v>6186</v>
      </c>
      <c r="L96" s="43" t="s">
        <v>6186</v>
      </c>
      <c r="M96" s="43" t="s">
        <v>6186</v>
      </c>
      <c r="N96" s="43" t="s">
        <v>6186</v>
      </c>
      <c r="O96" s="43" t="s">
        <v>6186</v>
      </c>
      <c r="P96" s="43" t="s">
        <v>6186</v>
      </c>
    </row>
    <row r="97" spans="1:16" x14ac:dyDescent="0.15">
      <c r="A97" s="42" t="s">
        <v>6228</v>
      </c>
      <c r="B97" s="40" t="s">
        <v>16</v>
      </c>
      <c r="C97" s="42" t="s">
        <v>6217</v>
      </c>
      <c r="D97" s="43" t="s">
        <v>6186</v>
      </c>
      <c r="E97" s="43" t="s">
        <v>6186</v>
      </c>
      <c r="F97" s="42" t="s">
        <v>6229</v>
      </c>
      <c r="G97" s="43" t="s">
        <v>6186</v>
      </c>
      <c r="H97" s="43" t="s">
        <v>6186</v>
      </c>
      <c r="I97" s="42" t="s">
        <v>6230</v>
      </c>
      <c r="J97" s="40" t="s">
        <v>18</v>
      </c>
      <c r="K97" s="43" t="s">
        <v>6186</v>
      </c>
      <c r="L97" s="43" t="s">
        <v>6186</v>
      </c>
      <c r="M97" s="43" t="s">
        <v>6186</v>
      </c>
      <c r="N97" s="43" t="s">
        <v>6186</v>
      </c>
      <c r="O97" s="43" t="s">
        <v>6186</v>
      </c>
      <c r="P97" s="43" t="s">
        <v>6186</v>
      </c>
    </row>
    <row r="98" spans="1:16" x14ac:dyDescent="0.15">
      <c r="A98" s="42" t="s">
        <v>6231</v>
      </c>
      <c r="B98" s="40" t="s">
        <v>17</v>
      </c>
      <c r="C98" s="42" t="s">
        <v>6262</v>
      </c>
      <c r="D98" s="43" t="s">
        <v>6186</v>
      </c>
      <c r="E98" s="43" t="s">
        <v>6186</v>
      </c>
      <c r="F98" s="42" t="s">
        <v>6233</v>
      </c>
      <c r="G98" s="43" t="s">
        <v>6186</v>
      </c>
      <c r="H98" s="43" t="s">
        <v>6186</v>
      </c>
      <c r="I98" s="42" t="s">
        <v>6234</v>
      </c>
      <c r="J98" s="40" t="s">
        <v>11</v>
      </c>
      <c r="K98" s="43" t="s">
        <v>6186</v>
      </c>
      <c r="L98" s="43" t="s">
        <v>6186</v>
      </c>
      <c r="M98" s="43" t="s">
        <v>6186</v>
      </c>
      <c r="N98" s="43" t="s">
        <v>6186</v>
      </c>
      <c r="O98" s="43" t="s">
        <v>6186</v>
      </c>
      <c r="P98" s="43" t="s">
        <v>6186</v>
      </c>
    </row>
    <row r="99" spans="1:16" x14ac:dyDescent="0.15">
      <c r="A99" s="42" t="s">
        <v>6235</v>
      </c>
      <c r="B99" s="40" t="s">
        <v>18</v>
      </c>
      <c r="C99" s="42" t="s">
        <v>6213</v>
      </c>
      <c r="D99" s="43" t="s">
        <v>6186</v>
      </c>
      <c r="E99" s="43" t="s">
        <v>6186</v>
      </c>
      <c r="F99" s="42" t="s">
        <v>6236</v>
      </c>
      <c r="G99" s="43" t="s">
        <v>6186</v>
      </c>
      <c r="H99" s="43" t="s">
        <v>6186</v>
      </c>
      <c r="I99" s="42" t="s">
        <v>12</v>
      </c>
      <c r="J99" s="42" t="s">
        <v>12</v>
      </c>
      <c r="K99" s="42" t="s">
        <v>12</v>
      </c>
      <c r="L99" s="42" t="s">
        <v>12</v>
      </c>
      <c r="M99" s="42" t="s">
        <v>12</v>
      </c>
      <c r="N99" s="42" t="s">
        <v>12</v>
      </c>
      <c r="O99" s="42" t="s">
        <v>12</v>
      </c>
      <c r="P99" s="42" t="s">
        <v>12</v>
      </c>
    </row>
    <row r="100" spans="1:16" x14ac:dyDescent="0.15">
      <c r="A100" s="35"/>
      <c r="C100" s="46"/>
      <c r="D100" s="46"/>
      <c r="E100" s="46"/>
      <c r="F100" s="46"/>
      <c r="G100" s="47"/>
      <c r="H100" s="47"/>
      <c r="I100" s="36"/>
      <c r="M100" s="131" t="s">
        <v>6237</v>
      </c>
      <c r="N100" s="131"/>
      <c r="O100" s="131"/>
      <c r="P100" s="131"/>
    </row>
    <row r="101" spans="1:16" x14ac:dyDescent="0.15">
      <c r="A101" s="34"/>
    </row>
    <row r="102" spans="1:16" x14ac:dyDescent="0.15">
      <c r="A102" s="34"/>
    </row>
    <row r="103" spans="1:16" x14ac:dyDescent="0.15">
      <c r="A103" s="35"/>
      <c r="B103" s="36"/>
    </row>
    <row r="104" spans="1:16" x14ac:dyDescent="0.15">
      <c r="A104" s="124" t="s">
        <v>6178</v>
      </c>
      <c r="B104" s="125"/>
      <c r="C104" s="125"/>
      <c r="D104" s="126"/>
      <c r="E104" s="124" t="s">
        <v>6263</v>
      </c>
      <c r="F104" s="125"/>
      <c r="G104" s="126"/>
      <c r="H104" s="124" t="s">
        <v>6264</v>
      </c>
      <c r="I104" s="126"/>
      <c r="J104" s="125" t="s">
        <v>6181</v>
      </c>
      <c r="K104" s="125"/>
      <c r="L104" s="126"/>
      <c r="M104" s="124" t="s">
        <v>6182</v>
      </c>
      <c r="N104" s="125"/>
      <c r="O104" s="125"/>
      <c r="P104" s="126"/>
    </row>
    <row r="105" spans="1:16" x14ac:dyDescent="0.15">
      <c r="A105" s="124" t="s">
        <v>6240</v>
      </c>
      <c r="B105" s="125"/>
      <c r="C105" s="125"/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6"/>
    </row>
    <row r="106" spans="1:16" x14ac:dyDescent="0.15">
      <c r="A106" s="124" t="s">
        <v>6184</v>
      </c>
      <c r="B106" s="125"/>
      <c r="C106" s="125"/>
      <c r="D106" s="125"/>
      <c r="E106" s="125"/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6"/>
    </row>
    <row r="107" spans="1:16" x14ac:dyDescent="0.15">
      <c r="A107" s="37"/>
      <c r="B107" s="38"/>
      <c r="C107" s="127" t="s">
        <v>4</v>
      </c>
      <c r="D107" s="128"/>
      <c r="E107" s="129" t="s">
        <v>5</v>
      </c>
      <c r="F107" s="130"/>
      <c r="G107" s="129" t="s">
        <v>6</v>
      </c>
      <c r="H107" s="130"/>
      <c r="I107" s="38"/>
      <c r="J107" s="38"/>
      <c r="K107" s="127" t="s">
        <v>4</v>
      </c>
      <c r="L107" s="128"/>
      <c r="M107" s="129" t="s">
        <v>5</v>
      </c>
      <c r="N107" s="130"/>
      <c r="O107" s="129" t="s">
        <v>6</v>
      </c>
      <c r="P107" s="130"/>
    </row>
    <row r="108" spans="1:16" ht="24" x14ac:dyDescent="0.15">
      <c r="A108" s="39" t="s">
        <v>7</v>
      </c>
      <c r="B108" s="40" t="s">
        <v>8</v>
      </c>
      <c r="C108" s="41" t="s">
        <v>9</v>
      </c>
      <c r="D108" s="41" t="s">
        <v>10</v>
      </c>
      <c r="E108" s="41" t="s">
        <v>9</v>
      </c>
      <c r="F108" s="41" t="s">
        <v>10</v>
      </c>
      <c r="G108" s="41" t="s">
        <v>9</v>
      </c>
      <c r="H108" s="41" t="s">
        <v>10</v>
      </c>
      <c r="I108" s="48" t="s">
        <v>7</v>
      </c>
      <c r="J108" s="40" t="s">
        <v>8</v>
      </c>
      <c r="K108" s="41" t="s">
        <v>9</v>
      </c>
      <c r="L108" s="41" t="s">
        <v>10</v>
      </c>
      <c r="M108" s="41" t="s">
        <v>9</v>
      </c>
      <c r="N108" s="41" t="s">
        <v>10</v>
      </c>
      <c r="O108" s="41" t="s">
        <v>9</v>
      </c>
      <c r="P108" s="41" t="s">
        <v>10</v>
      </c>
    </row>
    <row r="109" spans="1:16" x14ac:dyDescent="0.15">
      <c r="A109" s="42" t="s">
        <v>6185</v>
      </c>
      <c r="B109" s="40" t="s">
        <v>17</v>
      </c>
      <c r="C109" s="42" t="s">
        <v>6192</v>
      </c>
      <c r="D109" s="43"/>
      <c r="E109" s="43"/>
      <c r="F109" s="42" t="s">
        <v>6241</v>
      </c>
      <c r="G109" s="43"/>
      <c r="H109" s="43" t="s">
        <v>6186</v>
      </c>
      <c r="I109" s="42" t="s">
        <v>6187</v>
      </c>
      <c r="J109" s="40" t="s">
        <v>11</v>
      </c>
      <c r="K109" s="42" t="s">
        <v>6250</v>
      </c>
      <c r="L109" s="43" t="s">
        <v>6186</v>
      </c>
      <c r="M109" s="43" t="s">
        <v>6186</v>
      </c>
      <c r="N109" s="42" t="s">
        <v>6189</v>
      </c>
      <c r="O109" s="43" t="s">
        <v>6186</v>
      </c>
      <c r="P109" s="43" t="s">
        <v>6186</v>
      </c>
    </row>
    <row r="110" spans="1:16" x14ac:dyDescent="0.15">
      <c r="A110" s="42" t="s">
        <v>6190</v>
      </c>
      <c r="B110" s="40" t="s">
        <v>18</v>
      </c>
      <c r="C110" s="42" t="s">
        <v>6250</v>
      </c>
      <c r="D110" s="43"/>
      <c r="E110" s="43"/>
      <c r="F110" s="42" t="s">
        <v>6242</v>
      </c>
      <c r="G110" s="43"/>
      <c r="H110" s="43" t="s">
        <v>6186</v>
      </c>
      <c r="I110" s="42" t="s">
        <v>6191</v>
      </c>
      <c r="J110" s="40" t="s">
        <v>14</v>
      </c>
      <c r="K110" s="42" t="s">
        <v>6217</v>
      </c>
      <c r="L110" s="43" t="s">
        <v>6186</v>
      </c>
      <c r="M110" s="43" t="s">
        <v>6186</v>
      </c>
      <c r="N110" s="42" t="s">
        <v>6193</v>
      </c>
      <c r="O110" s="43" t="s">
        <v>6186</v>
      </c>
      <c r="P110" s="43" t="s">
        <v>6186</v>
      </c>
    </row>
    <row r="111" spans="1:16" x14ac:dyDescent="0.15">
      <c r="A111" s="42" t="s">
        <v>6194</v>
      </c>
      <c r="B111" s="40" t="s">
        <v>11</v>
      </c>
      <c r="C111" s="42" t="s">
        <v>6213</v>
      </c>
      <c r="D111" s="43"/>
      <c r="E111" s="43"/>
      <c r="F111" s="42" t="s">
        <v>6243</v>
      </c>
      <c r="G111" s="42"/>
      <c r="H111" s="42" t="s">
        <v>6186</v>
      </c>
      <c r="I111" s="42" t="s">
        <v>6195</v>
      </c>
      <c r="J111" s="40" t="s">
        <v>13</v>
      </c>
      <c r="K111" s="42" t="s">
        <v>6192</v>
      </c>
      <c r="L111" s="42" t="s">
        <v>6186</v>
      </c>
      <c r="M111" s="42" t="s">
        <v>6186</v>
      </c>
      <c r="N111" s="42" t="s">
        <v>6197</v>
      </c>
      <c r="O111" s="42" t="s">
        <v>6186</v>
      </c>
      <c r="P111" s="42" t="s">
        <v>6186</v>
      </c>
    </row>
    <row r="112" spans="1:16" x14ac:dyDescent="0.15">
      <c r="A112" s="42" t="s">
        <v>6198</v>
      </c>
      <c r="B112" s="40" t="s">
        <v>14</v>
      </c>
      <c r="C112" s="42" t="s">
        <v>6232</v>
      </c>
      <c r="D112" s="43"/>
      <c r="E112" s="43"/>
      <c r="F112" s="42" t="s">
        <v>6246</v>
      </c>
      <c r="G112" s="42"/>
      <c r="H112" s="42" t="s">
        <v>6186</v>
      </c>
      <c r="I112" s="42" t="s">
        <v>6199</v>
      </c>
      <c r="J112" s="40" t="s">
        <v>15</v>
      </c>
      <c r="K112" s="42" t="s">
        <v>6232</v>
      </c>
      <c r="L112" s="42" t="s">
        <v>6186</v>
      </c>
      <c r="M112" s="42" t="s">
        <v>6186</v>
      </c>
      <c r="N112" s="42" t="s">
        <v>6201</v>
      </c>
      <c r="O112" s="42" t="s">
        <v>6186</v>
      </c>
      <c r="P112" s="42" t="s">
        <v>6186</v>
      </c>
    </row>
    <row r="113" spans="1:16" x14ac:dyDescent="0.15">
      <c r="A113" s="42" t="s">
        <v>6202</v>
      </c>
      <c r="B113" s="40" t="s">
        <v>13</v>
      </c>
      <c r="C113" s="42" t="s">
        <v>6209</v>
      </c>
      <c r="D113" s="43"/>
      <c r="E113" s="43"/>
      <c r="F113" s="42" t="s">
        <v>6247</v>
      </c>
      <c r="G113" s="43"/>
      <c r="H113" s="43" t="s">
        <v>6186</v>
      </c>
      <c r="I113" s="42" t="s">
        <v>6203</v>
      </c>
      <c r="J113" s="40" t="s">
        <v>16</v>
      </c>
      <c r="K113" s="43" t="s">
        <v>6186</v>
      </c>
      <c r="L113" s="43" t="s">
        <v>6186</v>
      </c>
      <c r="M113" s="43" t="s">
        <v>6186</v>
      </c>
      <c r="N113" s="43" t="s">
        <v>6186</v>
      </c>
      <c r="O113" s="43" t="s">
        <v>6186</v>
      </c>
      <c r="P113" s="43" t="s">
        <v>6186</v>
      </c>
    </row>
    <row r="114" spans="1:16" x14ac:dyDescent="0.15">
      <c r="A114" s="42" t="s">
        <v>6204</v>
      </c>
      <c r="B114" s="40" t="s">
        <v>15</v>
      </c>
      <c r="C114" s="42" t="s">
        <v>6213</v>
      </c>
      <c r="D114" s="43"/>
      <c r="E114" s="43"/>
      <c r="F114" s="42" t="s">
        <v>6248</v>
      </c>
      <c r="G114" s="43"/>
      <c r="H114" s="43" t="s">
        <v>6186</v>
      </c>
      <c r="I114" s="42" t="s">
        <v>6205</v>
      </c>
      <c r="J114" s="40" t="s">
        <v>17</v>
      </c>
      <c r="K114" s="43" t="s">
        <v>6186</v>
      </c>
      <c r="L114" s="43" t="s">
        <v>6186</v>
      </c>
      <c r="M114" s="43" t="s">
        <v>6186</v>
      </c>
      <c r="N114" s="43" t="s">
        <v>6186</v>
      </c>
      <c r="O114" s="43" t="s">
        <v>6186</v>
      </c>
      <c r="P114" s="43" t="s">
        <v>6186</v>
      </c>
    </row>
    <row r="115" spans="1:16" x14ac:dyDescent="0.15">
      <c r="A115" s="42" t="s">
        <v>6206</v>
      </c>
      <c r="B115" s="40" t="s">
        <v>16</v>
      </c>
      <c r="C115" s="42" t="s">
        <v>6192</v>
      </c>
      <c r="D115" s="43"/>
      <c r="E115" s="43"/>
      <c r="F115" s="42" t="s">
        <v>6249</v>
      </c>
      <c r="G115" s="43"/>
      <c r="H115" s="43" t="s">
        <v>6186</v>
      </c>
      <c r="I115" s="42" t="s">
        <v>6207</v>
      </c>
      <c r="J115" s="40" t="s">
        <v>18</v>
      </c>
      <c r="K115" s="43" t="s">
        <v>6186</v>
      </c>
      <c r="L115" s="43" t="s">
        <v>6186</v>
      </c>
      <c r="M115" s="43" t="s">
        <v>6186</v>
      </c>
      <c r="N115" s="43" t="s">
        <v>6186</v>
      </c>
      <c r="O115" s="43" t="s">
        <v>6186</v>
      </c>
      <c r="P115" s="43" t="s">
        <v>6186</v>
      </c>
    </row>
    <row r="116" spans="1:16" x14ac:dyDescent="0.15">
      <c r="A116" s="42" t="s">
        <v>6208</v>
      </c>
      <c r="B116" s="40" t="s">
        <v>17</v>
      </c>
      <c r="C116" s="42" t="s">
        <v>6217</v>
      </c>
      <c r="D116" s="42"/>
      <c r="E116" s="42"/>
      <c r="F116" s="42" t="s">
        <v>6210</v>
      </c>
      <c r="G116" s="42"/>
      <c r="H116" s="42" t="s">
        <v>6186</v>
      </c>
      <c r="I116" s="42" t="s">
        <v>6211</v>
      </c>
      <c r="J116" s="40" t="s">
        <v>11</v>
      </c>
      <c r="K116" s="42" t="s">
        <v>6186</v>
      </c>
      <c r="L116" s="42" t="s">
        <v>6186</v>
      </c>
      <c r="M116" s="42" t="s">
        <v>6186</v>
      </c>
      <c r="N116" s="42" t="s">
        <v>6186</v>
      </c>
      <c r="O116" s="42" t="s">
        <v>6186</v>
      </c>
      <c r="P116" s="42" t="s">
        <v>6186</v>
      </c>
    </row>
    <row r="117" spans="1:16" x14ac:dyDescent="0.15">
      <c r="A117" s="42" t="s">
        <v>6212</v>
      </c>
      <c r="B117" s="40" t="s">
        <v>18</v>
      </c>
      <c r="C117" s="42" t="s">
        <v>6192</v>
      </c>
      <c r="D117" s="42"/>
      <c r="E117" s="42"/>
      <c r="F117" s="42" t="s">
        <v>6251</v>
      </c>
      <c r="G117" s="42"/>
      <c r="H117" s="42" t="s">
        <v>6186</v>
      </c>
      <c r="I117" s="42" t="s">
        <v>6215</v>
      </c>
      <c r="J117" s="40" t="s">
        <v>14</v>
      </c>
      <c r="K117" s="42" t="s">
        <v>6186</v>
      </c>
      <c r="L117" s="42" t="s">
        <v>6186</v>
      </c>
      <c r="M117" s="42" t="s">
        <v>6186</v>
      </c>
      <c r="N117" s="42" t="s">
        <v>6186</v>
      </c>
      <c r="O117" s="42" t="s">
        <v>6186</v>
      </c>
      <c r="P117" s="42" t="s">
        <v>6186</v>
      </c>
    </row>
    <row r="118" spans="1:16" x14ac:dyDescent="0.15">
      <c r="A118" s="42" t="s">
        <v>6216</v>
      </c>
      <c r="B118" s="40" t="s">
        <v>11</v>
      </c>
      <c r="C118" s="42" t="s">
        <v>6260</v>
      </c>
      <c r="D118" s="42"/>
      <c r="E118" s="42"/>
      <c r="F118" s="42" t="s">
        <v>6218</v>
      </c>
      <c r="G118" s="42"/>
      <c r="H118" s="42" t="s">
        <v>6186</v>
      </c>
      <c r="I118" s="42" t="s">
        <v>6219</v>
      </c>
      <c r="J118" s="40" t="s">
        <v>13</v>
      </c>
      <c r="K118" s="42" t="s">
        <v>6186</v>
      </c>
      <c r="L118" s="42" t="s">
        <v>6186</v>
      </c>
      <c r="M118" s="42" t="s">
        <v>6186</v>
      </c>
      <c r="N118" s="42" t="s">
        <v>6186</v>
      </c>
      <c r="O118" s="42" t="s">
        <v>6186</v>
      </c>
      <c r="P118" s="42" t="s">
        <v>6186</v>
      </c>
    </row>
    <row r="119" spans="1:16" x14ac:dyDescent="0.15">
      <c r="A119" s="42" t="s">
        <v>6220</v>
      </c>
      <c r="B119" s="40" t="s">
        <v>14</v>
      </c>
      <c r="C119" s="42" t="s">
        <v>6209</v>
      </c>
      <c r="D119" s="42"/>
      <c r="E119" s="42"/>
      <c r="F119" s="42" t="s">
        <v>6118</v>
      </c>
      <c r="G119" s="42"/>
      <c r="H119" s="42" t="s">
        <v>6186</v>
      </c>
      <c r="I119" s="42" t="s">
        <v>6221</v>
      </c>
      <c r="J119" s="40" t="s">
        <v>15</v>
      </c>
      <c r="K119" s="42" t="s">
        <v>6186</v>
      </c>
      <c r="L119" s="42" t="s">
        <v>6186</v>
      </c>
      <c r="M119" s="42" t="s">
        <v>6186</v>
      </c>
      <c r="N119" s="42" t="s">
        <v>6186</v>
      </c>
      <c r="O119" s="42" t="s">
        <v>6186</v>
      </c>
      <c r="P119" s="42" t="s">
        <v>6186</v>
      </c>
    </row>
    <row r="120" spans="1:16" x14ac:dyDescent="0.15">
      <c r="A120" s="42" t="s">
        <v>6222</v>
      </c>
      <c r="B120" s="40" t="s">
        <v>13</v>
      </c>
      <c r="C120" s="42" t="s">
        <v>6209</v>
      </c>
      <c r="D120" s="42" t="s">
        <v>6186</v>
      </c>
      <c r="E120" s="42" t="s">
        <v>6186</v>
      </c>
      <c r="F120" s="42" t="s">
        <v>6223</v>
      </c>
      <c r="G120" s="42" t="s">
        <v>6186</v>
      </c>
      <c r="H120" s="42" t="s">
        <v>6186</v>
      </c>
      <c r="I120" s="42" t="s">
        <v>6224</v>
      </c>
      <c r="J120" s="40" t="s">
        <v>16</v>
      </c>
      <c r="K120" s="42" t="s">
        <v>6186</v>
      </c>
      <c r="L120" s="42" t="s">
        <v>6186</v>
      </c>
      <c r="M120" s="42" t="s">
        <v>6186</v>
      </c>
      <c r="N120" s="42" t="s">
        <v>6186</v>
      </c>
      <c r="O120" s="42" t="s">
        <v>6186</v>
      </c>
      <c r="P120" s="42" t="s">
        <v>6186</v>
      </c>
    </row>
    <row r="121" spans="1:16" x14ac:dyDescent="0.15">
      <c r="A121" s="42" t="s">
        <v>6225</v>
      </c>
      <c r="B121" s="40" t="s">
        <v>15</v>
      </c>
      <c r="C121" s="42" t="s">
        <v>6250</v>
      </c>
      <c r="D121" s="42" t="s">
        <v>6186</v>
      </c>
      <c r="E121" s="42" t="s">
        <v>6186</v>
      </c>
      <c r="F121" s="42" t="s">
        <v>6252</v>
      </c>
      <c r="G121" s="42" t="s">
        <v>6186</v>
      </c>
      <c r="H121" s="42" t="s">
        <v>6186</v>
      </c>
      <c r="I121" s="42" t="s">
        <v>6227</v>
      </c>
      <c r="J121" s="40" t="s">
        <v>17</v>
      </c>
      <c r="K121" s="42" t="s">
        <v>6186</v>
      </c>
      <c r="L121" s="42" t="s">
        <v>6186</v>
      </c>
      <c r="M121" s="42" t="s">
        <v>6186</v>
      </c>
      <c r="N121" s="42" t="s">
        <v>6186</v>
      </c>
      <c r="O121" s="42" t="s">
        <v>6186</v>
      </c>
      <c r="P121" s="42" t="s">
        <v>6186</v>
      </c>
    </row>
    <row r="122" spans="1:16" x14ac:dyDescent="0.15">
      <c r="A122" s="42" t="s">
        <v>6228</v>
      </c>
      <c r="B122" s="40" t="s">
        <v>16</v>
      </c>
      <c r="C122" s="42" t="s">
        <v>6200</v>
      </c>
      <c r="D122" s="42" t="s">
        <v>6186</v>
      </c>
      <c r="E122" s="42" t="s">
        <v>6186</v>
      </c>
      <c r="F122" s="42" t="s">
        <v>6229</v>
      </c>
      <c r="G122" s="42" t="s">
        <v>6186</v>
      </c>
      <c r="H122" s="42" t="s">
        <v>6186</v>
      </c>
      <c r="I122" s="42" t="s">
        <v>6230</v>
      </c>
      <c r="J122" s="40" t="s">
        <v>18</v>
      </c>
      <c r="K122" s="42" t="s">
        <v>6186</v>
      </c>
      <c r="L122" s="42" t="s">
        <v>6186</v>
      </c>
      <c r="M122" s="42" t="s">
        <v>6186</v>
      </c>
      <c r="N122" s="42" t="s">
        <v>6186</v>
      </c>
      <c r="O122" s="42" t="s">
        <v>6186</v>
      </c>
      <c r="P122" s="42" t="s">
        <v>6186</v>
      </c>
    </row>
    <row r="123" spans="1:16" x14ac:dyDescent="0.15">
      <c r="A123" s="42" t="s">
        <v>6231</v>
      </c>
      <c r="B123" s="40" t="s">
        <v>17</v>
      </c>
      <c r="C123" s="42" t="s">
        <v>6196</v>
      </c>
      <c r="D123" s="42" t="s">
        <v>6186</v>
      </c>
      <c r="E123" s="42" t="s">
        <v>6186</v>
      </c>
      <c r="F123" s="42" t="s">
        <v>6233</v>
      </c>
      <c r="G123" s="42" t="s">
        <v>6186</v>
      </c>
      <c r="H123" s="42" t="s">
        <v>6186</v>
      </c>
      <c r="I123" s="42" t="s">
        <v>6234</v>
      </c>
      <c r="J123" s="40" t="s">
        <v>11</v>
      </c>
      <c r="K123" s="42" t="s">
        <v>6186</v>
      </c>
      <c r="L123" s="42" t="s">
        <v>6186</v>
      </c>
      <c r="M123" s="42" t="s">
        <v>6186</v>
      </c>
      <c r="N123" s="42" t="s">
        <v>6186</v>
      </c>
      <c r="O123" s="42" t="s">
        <v>6186</v>
      </c>
      <c r="P123" s="42" t="s">
        <v>6186</v>
      </c>
    </row>
    <row r="124" spans="1:16" x14ac:dyDescent="0.15">
      <c r="A124" s="42" t="s">
        <v>6235</v>
      </c>
      <c r="B124" s="40" t="s">
        <v>18</v>
      </c>
      <c r="C124" s="42" t="s">
        <v>6213</v>
      </c>
      <c r="D124" s="42" t="s">
        <v>6186</v>
      </c>
      <c r="E124" s="42" t="s">
        <v>6186</v>
      </c>
      <c r="F124" s="42" t="s">
        <v>6236</v>
      </c>
      <c r="G124" s="42" t="s">
        <v>6186</v>
      </c>
      <c r="H124" s="42" t="s">
        <v>6186</v>
      </c>
      <c r="I124" s="42" t="s">
        <v>12</v>
      </c>
      <c r="J124" s="42" t="s">
        <v>12</v>
      </c>
      <c r="K124" s="42" t="s">
        <v>12</v>
      </c>
      <c r="L124" s="42" t="s">
        <v>12</v>
      </c>
      <c r="M124" s="42" t="s">
        <v>12</v>
      </c>
      <c r="N124" s="42" t="s">
        <v>12</v>
      </c>
      <c r="O124" s="42" t="s">
        <v>12</v>
      </c>
      <c r="P124" s="42" t="s">
        <v>12</v>
      </c>
    </row>
    <row r="125" spans="1:16" x14ac:dyDescent="0.15">
      <c r="A125" s="35"/>
      <c r="C125" s="46"/>
      <c r="D125" s="46"/>
      <c r="E125" s="46"/>
      <c r="F125" s="46"/>
      <c r="G125" s="47"/>
      <c r="H125" s="47"/>
      <c r="I125" s="36"/>
      <c r="M125" s="131" t="s">
        <v>6237</v>
      </c>
      <c r="N125" s="131"/>
      <c r="O125" s="131"/>
      <c r="P125" s="131"/>
    </row>
    <row r="126" spans="1:16" x14ac:dyDescent="0.15">
      <c r="A126" s="34"/>
    </row>
    <row r="127" spans="1:16" x14ac:dyDescent="0.15">
      <c r="A127" s="34"/>
    </row>
    <row r="128" spans="1:16" x14ac:dyDescent="0.15">
      <c r="A128" s="35"/>
      <c r="B128" s="36"/>
    </row>
    <row r="129" spans="1:16" x14ac:dyDescent="0.15">
      <c r="A129" s="124" t="s">
        <v>6178</v>
      </c>
      <c r="B129" s="125"/>
      <c r="C129" s="125"/>
      <c r="D129" s="126"/>
      <c r="E129" s="124" t="s">
        <v>6265</v>
      </c>
      <c r="F129" s="125"/>
      <c r="G129" s="126"/>
      <c r="H129" s="124" t="s">
        <v>6266</v>
      </c>
      <c r="I129" s="126"/>
      <c r="J129" s="125" t="s">
        <v>6181</v>
      </c>
      <c r="K129" s="125"/>
      <c r="L129" s="126"/>
      <c r="M129" s="124" t="s">
        <v>6182</v>
      </c>
      <c r="N129" s="125"/>
      <c r="O129" s="125"/>
      <c r="P129" s="126"/>
    </row>
    <row r="130" spans="1:16" x14ac:dyDescent="0.15">
      <c r="A130" s="124" t="s">
        <v>6267</v>
      </c>
      <c r="B130" s="125"/>
      <c r="C130" s="125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6"/>
    </row>
    <row r="131" spans="1:16" x14ac:dyDescent="0.15">
      <c r="A131" s="124" t="s">
        <v>6184</v>
      </c>
      <c r="B131" s="125"/>
      <c r="C131" s="125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6"/>
    </row>
    <row r="132" spans="1:16" x14ac:dyDescent="0.15">
      <c r="A132" s="37"/>
      <c r="B132" s="38"/>
      <c r="C132" s="127" t="s">
        <v>4</v>
      </c>
      <c r="D132" s="128"/>
      <c r="E132" s="129" t="s">
        <v>5</v>
      </c>
      <c r="F132" s="130"/>
      <c r="G132" s="129" t="s">
        <v>6</v>
      </c>
      <c r="H132" s="130"/>
      <c r="I132" s="38"/>
      <c r="J132" s="38"/>
      <c r="K132" s="127" t="s">
        <v>4</v>
      </c>
      <c r="L132" s="128"/>
      <c r="M132" s="129" t="s">
        <v>5</v>
      </c>
      <c r="N132" s="130"/>
      <c r="O132" s="129" t="s">
        <v>6</v>
      </c>
      <c r="P132" s="130"/>
    </row>
    <row r="133" spans="1:16" ht="24" x14ac:dyDescent="0.15">
      <c r="A133" s="39" t="s">
        <v>7</v>
      </c>
      <c r="B133" s="40" t="s">
        <v>8</v>
      </c>
      <c r="C133" s="41" t="s">
        <v>9</v>
      </c>
      <c r="D133" s="41" t="s">
        <v>10</v>
      </c>
      <c r="E133" s="41" t="s">
        <v>9</v>
      </c>
      <c r="F133" s="41" t="s">
        <v>10</v>
      </c>
      <c r="G133" s="41" t="s">
        <v>9</v>
      </c>
      <c r="H133" s="41" t="s">
        <v>10</v>
      </c>
      <c r="I133" s="48" t="s">
        <v>7</v>
      </c>
      <c r="J133" s="40" t="s">
        <v>8</v>
      </c>
      <c r="K133" s="41" t="s">
        <v>9</v>
      </c>
      <c r="L133" s="41" t="s">
        <v>10</v>
      </c>
      <c r="M133" s="41" t="s">
        <v>9</v>
      </c>
      <c r="N133" s="41" t="s">
        <v>10</v>
      </c>
      <c r="O133" s="41" t="s">
        <v>9</v>
      </c>
      <c r="P133" s="41" t="s">
        <v>10</v>
      </c>
    </row>
    <row r="134" spans="1:16" x14ac:dyDescent="0.15">
      <c r="A134" s="42" t="s">
        <v>6185</v>
      </c>
      <c r="B134" s="40" t="s">
        <v>17</v>
      </c>
      <c r="C134" s="42" t="s">
        <v>6186</v>
      </c>
      <c r="D134" s="42" t="s">
        <v>6186</v>
      </c>
      <c r="E134" s="42" t="s">
        <v>6186</v>
      </c>
      <c r="F134" s="42" t="s">
        <v>6186</v>
      </c>
      <c r="G134" s="42" t="s">
        <v>6186</v>
      </c>
      <c r="H134" s="42" t="s">
        <v>6186</v>
      </c>
      <c r="I134" s="42" t="s">
        <v>6187</v>
      </c>
      <c r="J134" s="40" t="s">
        <v>11</v>
      </c>
      <c r="K134" s="42" t="s">
        <v>6256</v>
      </c>
      <c r="L134" s="42" t="s">
        <v>6186</v>
      </c>
      <c r="M134" s="42" t="s">
        <v>6186</v>
      </c>
      <c r="N134" s="42" t="s">
        <v>6189</v>
      </c>
      <c r="O134" s="42" t="s">
        <v>6186</v>
      </c>
      <c r="P134" s="42" t="s">
        <v>6186</v>
      </c>
    </row>
    <row r="135" spans="1:16" x14ac:dyDescent="0.15">
      <c r="A135" s="42" t="s">
        <v>6190</v>
      </c>
      <c r="B135" s="40" t="s">
        <v>18</v>
      </c>
      <c r="C135" s="42" t="s">
        <v>6186</v>
      </c>
      <c r="D135" s="42" t="s">
        <v>6186</v>
      </c>
      <c r="E135" s="42" t="s">
        <v>6186</v>
      </c>
      <c r="F135" s="42" t="s">
        <v>6186</v>
      </c>
      <c r="G135" s="42" t="s">
        <v>6186</v>
      </c>
      <c r="H135" s="42" t="s">
        <v>6186</v>
      </c>
      <c r="I135" s="42" t="s">
        <v>6191</v>
      </c>
      <c r="J135" s="40" t="s">
        <v>14</v>
      </c>
      <c r="K135" s="42" t="s">
        <v>6213</v>
      </c>
      <c r="L135" s="42" t="s">
        <v>6186</v>
      </c>
      <c r="M135" s="42" t="s">
        <v>6186</v>
      </c>
      <c r="N135" s="42" t="s">
        <v>6193</v>
      </c>
      <c r="O135" s="42" t="s">
        <v>6186</v>
      </c>
      <c r="P135" s="42" t="s">
        <v>6186</v>
      </c>
    </row>
    <row r="136" spans="1:16" x14ac:dyDescent="0.15">
      <c r="A136" s="42" t="s">
        <v>6194</v>
      </c>
      <c r="B136" s="40" t="s">
        <v>11</v>
      </c>
      <c r="C136" s="42" t="s">
        <v>6186</v>
      </c>
      <c r="D136" s="42" t="s">
        <v>6186</v>
      </c>
      <c r="E136" s="42" t="s">
        <v>6186</v>
      </c>
      <c r="F136" s="42" t="s">
        <v>6186</v>
      </c>
      <c r="G136" s="42" t="s">
        <v>6186</v>
      </c>
      <c r="H136" s="42" t="s">
        <v>6186</v>
      </c>
      <c r="I136" s="42" t="s">
        <v>6195</v>
      </c>
      <c r="J136" s="40" t="s">
        <v>13</v>
      </c>
      <c r="K136" s="42" t="s">
        <v>6250</v>
      </c>
      <c r="L136" s="42" t="s">
        <v>6186</v>
      </c>
      <c r="M136" s="42" t="s">
        <v>6186</v>
      </c>
      <c r="N136" s="42" t="s">
        <v>6197</v>
      </c>
      <c r="O136" s="42" t="s">
        <v>6186</v>
      </c>
      <c r="P136" s="42" t="s">
        <v>6186</v>
      </c>
    </row>
    <row r="137" spans="1:16" x14ac:dyDescent="0.15">
      <c r="A137" s="42" t="s">
        <v>6198</v>
      </c>
      <c r="B137" s="40" t="s">
        <v>14</v>
      </c>
      <c r="C137" s="42" t="s">
        <v>6186</v>
      </c>
      <c r="D137" s="42" t="s">
        <v>6186</v>
      </c>
      <c r="E137" s="42" t="s">
        <v>6186</v>
      </c>
      <c r="F137" s="42" t="s">
        <v>6186</v>
      </c>
      <c r="G137" s="42" t="s">
        <v>6186</v>
      </c>
      <c r="H137" s="42" t="s">
        <v>6186</v>
      </c>
      <c r="I137" s="42" t="s">
        <v>6199</v>
      </c>
      <c r="J137" s="40" t="s">
        <v>15</v>
      </c>
      <c r="K137" s="42" t="s">
        <v>6268</v>
      </c>
      <c r="L137" s="42" t="s">
        <v>6186</v>
      </c>
      <c r="M137" s="42" t="s">
        <v>6186</v>
      </c>
      <c r="N137" s="42" t="s">
        <v>6201</v>
      </c>
      <c r="O137" s="42" t="s">
        <v>6186</v>
      </c>
      <c r="P137" s="42" t="s">
        <v>6186</v>
      </c>
    </row>
    <row r="138" spans="1:16" x14ac:dyDescent="0.15">
      <c r="A138" s="42" t="s">
        <v>6202</v>
      </c>
      <c r="B138" s="40" t="s">
        <v>13</v>
      </c>
      <c r="C138" s="42" t="s">
        <v>6186</v>
      </c>
      <c r="D138" s="42" t="s">
        <v>6186</v>
      </c>
      <c r="E138" s="42" t="s">
        <v>6186</v>
      </c>
      <c r="F138" s="42" t="s">
        <v>6186</v>
      </c>
      <c r="G138" s="42" t="s">
        <v>6186</v>
      </c>
      <c r="H138" s="42" t="s">
        <v>6186</v>
      </c>
      <c r="I138" s="42" t="s">
        <v>6203</v>
      </c>
      <c r="J138" s="40" t="s">
        <v>16</v>
      </c>
      <c r="K138" s="42" t="s">
        <v>6186</v>
      </c>
      <c r="L138" s="42" t="s">
        <v>6186</v>
      </c>
      <c r="M138" s="42" t="s">
        <v>6186</v>
      </c>
      <c r="N138" s="42" t="s">
        <v>6186</v>
      </c>
      <c r="O138" s="42" t="s">
        <v>6186</v>
      </c>
      <c r="P138" s="42" t="s">
        <v>6186</v>
      </c>
    </row>
    <row r="139" spans="1:16" x14ac:dyDescent="0.15">
      <c r="A139" s="42" t="s">
        <v>6204</v>
      </c>
      <c r="B139" s="40" t="s">
        <v>15</v>
      </c>
      <c r="C139" s="42" t="s">
        <v>6186</v>
      </c>
      <c r="D139" s="42" t="s">
        <v>6186</v>
      </c>
      <c r="E139" s="42" t="s">
        <v>6186</v>
      </c>
      <c r="F139" s="42" t="s">
        <v>6186</v>
      </c>
      <c r="G139" s="42" t="s">
        <v>6186</v>
      </c>
      <c r="H139" s="42" t="s">
        <v>6186</v>
      </c>
      <c r="I139" s="42" t="s">
        <v>6205</v>
      </c>
      <c r="J139" s="40" t="s">
        <v>17</v>
      </c>
      <c r="K139" s="42" t="s">
        <v>6186</v>
      </c>
      <c r="L139" s="42" t="s">
        <v>6186</v>
      </c>
      <c r="M139" s="42" t="s">
        <v>6186</v>
      </c>
      <c r="N139" s="42" t="s">
        <v>6186</v>
      </c>
      <c r="O139" s="42" t="s">
        <v>6186</v>
      </c>
      <c r="P139" s="42" t="s">
        <v>6186</v>
      </c>
    </row>
    <row r="140" spans="1:16" x14ac:dyDescent="0.15">
      <c r="A140" s="42" t="s">
        <v>6206</v>
      </c>
      <c r="B140" s="40" t="s">
        <v>16</v>
      </c>
      <c r="C140" s="42" t="s">
        <v>6186</v>
      </c>
      <c r="D140" s="42" t="s">
        <v>6186</v>
      </c>
      <c r="E140" s="42" t="s">
        <v>6186</v>
      </c>
      <c r="F140" s="42" t="s">
        <v>6186</v>
      </c>
      <c r="G140" s="42" t="s">
        <v>6186</v>
      </c>
      <c r="H140" s="42" t="s">
        <v>6186</v>
      </c>
      <c r="I140" s="42" t="s">
        <v>6207</v>
      </c>
      <c r="J140" s="40" t="s">
        <v>18</v>
      </c>
      <c r="K140" s="42" t="s">
        <v>6186</v>
      </c>
      <c r="L140" s="42" t="s">
        <v>6186</v>
      </c>
      <c r="M140" s="42" t="s">
        <v>6186</v>
      </c>
      <c r="N140" s="42" t="s">
        <v>6186</v>
      </c>
      <c r="O140" s="42" t="s">
        <v>6186</v>
      </c>
      <c r="P140" s="42" t="s">
        <v>6186</v>
      </c>
    </row>
    <row r="141" spans="1:16" x14ac:dyDescent="0.15">
      <c r="A141" s="42" t="s">
        <v>6208</v>
      </c>
      <c r="B141" s="40" t="s">
        <v>17</v>
      </c>
      <c r="C141" s="42"/>
      <c r="D141" s="42"/>
      <c r="E141" s="42"/>
      <c r="F141" s="42"/>
      <c r="G141" s="42"/>
      <c r="H141" s="42" t="s">
        <v>6186</v>
      </c>
      <c r="I141" s="42" t="s">
        <v>6211</v>
      </c>
      <c r="J141" s="40" t="s">
        <v>11</v>
      </c>
      <c r="K141" s="42" t="s">
        <v>6186</v>
      </c>
      <c r="L141" s="42" t="s">
        <v>6186</v>
      </c>
      <c r="M141" s="42" t="s">
        <v>6186</v>
      </c>
      <c r="N141" s="42" t="s">
        <v>6186</v>
      </c>
      <c r="O141" s="42" t="s">
        <v>6186</v>
      </c>
      <c r="P141" s="42" t="s">
        <v>6186</v>
      </c>
    </row>
    <row r="142" spans="1:16" x14ac:dyDescent="0.15">
      <c r="A142" s="42" t="s">
        <v>6212</v>
      </c>
      <c r="B142" s="40" t="s">
        <v>18</v>
      </c>
      <c r="C142" s="42" t="s">
        <v>6232</v>
      </c>
      <c r="D142" s="42" t="s">
        <v>6186</v>
      </c>
      <c r="E142" s="42" t="s">
        <v>6186</v>
      </c>
      <c r="F142" s="42" t="s">
        <v>6251</v>
      </c>
      <c r="G142" s="42"/>
      <c r="H142" s="42" t="s">
        <v>6186</v>
      </c>
      <c r="I142" s="42" t="s">
        <v>6215</v>
      </c>
      <c r="J142" s="40" t="s">
        <v>14</v>
      </c>
      <c r="K142" s="42" t="s">
        <v>6186</v>
      </c>
      <c r="L142" s="42" t="s">
        <v>6186</v>
      </c>
      <c r="M142" s="42" t="s">
        <v>6186</v>
      </c>
      <c r="N142" s="42" t="s">
        <v>6186</v>
      </c>
      <c r="O142" s="42" t="s">
        <v>6186</v>
      </c>
      <c r="P142" s="42" t="s">
        <v>6186</v>
      </c>
    </row>
    <row r="143" spans="1:16" x14ac:dyDescent="0.15">
      <c r="A143" s="42" t="s">
        <v>6216</v>
      </c>
      <c r="B143" s="40" t="s">
        <v>11</v>
      </c>
      <c r="C143" s="42" t="s">
        <v>6200</v>
      </c>
      <c r="D143" s="42" t="s">
        <v>6186</v>
      </c>
      <c r="E143" s="42" t="s">
        <v>6186</v>
      </c>
      <c r="F143" s="42" t="s">
        <v>6218</v>
      </c>
      <c r="G143" s="42" t="s">
        <v>6186</v>
      </c>
      <c r="H143" s="42" t="s">
        <v>6186</v>
      </c>
      <c r="I143" s="42" t="s">
        <v>6219</v>
      </c>
      <c r="J143" s="40" t="s">
        <v>13</v>
      </c>
      <c r="K143" s="42" t="s">
        <v>6186</v>
      </c>
      <c r="L143" s="42" t="s">
        <v>6186</v>
      </c>
      <c r="M143" s="42" t="s">
        <v>6186</v>
      </c>
      <c r="N143" s="42" t="s">
        <v>6186</v>
      </c>
      <c r="O143" s="42" t="s">
        <v>6186</v>
      </c>
      <c r="P143" s="42" t="s">
        <v>6186</v>
      </c>
    </row>
    <row r="144" spans="1:16" x14ac:dyDescent="0.15">
      <c r="A144" s="42" t="s">
        <v>6220</v>
      </c>
      <c r="B144" s="40" t="s">
        <v>14</v>
      </c>
      <c r="C144" s="42" t="s">
        <v>6188</v>
      </c>
      <c r="D144" s="42" t="s">
        <v>6186</v>
      </c>
      <c r="E144" s="42" t="s">
        <v>6186</v>
      </c>
      <c r="F144" s="42" t="s">
        <v>6118</v>
      </c>
      <c r="G144" s="42" t="s">
        <v>6186</v>
      </c>
      <c r="H144" s="42" t="s">
        <v>6186</v>
      </c>
      <c r="I144" s="42" t="s">
        <v>6221</v>
      </c>
      <c r="J144" s="40" t="s">
        <v>15</v>
      </c>
      <c r="K144" s="42" t="s">
        <v>6186</v>
      </c>
      <c r="L144" s="42" t="s">
        <v>6186</v>
      </c>
      <c r="M144" s="42" t="s">
        <v>6186</v>
      </c>
      <c r="N144" s="42" t="s">
        <v>6186</v>
      </c>
      <c r="O144" s="42" t="s">
        <v>6186</v>
      </c>
      <c r="P144" s="42" t="s">
        <v>6186</v>
      </c>
    </row>
    <row r="145" spans="1:16" x14ac:dyDescent="0.15">
      <c r="A145" s="42" t="s">
        <v>6222</v>
      </c>
      <c r="B145" s="40" t="s">
        <v>13</v>
      </c>
      <c r="C145" s="42" t="s">
        <v>6192</v>
      </c>
      <c r="D145" s="42" t="s">
        <v>6186</v>
      </c>
      <c r="E145" s="42" t="s">
        <v>6186</v>
      </c>
      <c r="F145" s="42" t="s">
        <v>6223</v>
      </c>
      <c r="G145" s="42" t="s">
        <v>6186</v>
      </c>
      <c r="H145" s="42" t="s">
        <v>6186</v>
      </c>
      <c r="I145" s="42" t="s">
        <v>6224</v>
      </c>
      <c r="J145" s="40" t="s">
        <v>16</v>
      </c>
      <c r="K145" s="42" t="s">
        <v>6186</v>
      </c>
      <c r="L145" s="42" t="s">
        <v>6186</v>
      </c>
      <c r="M145" s="42" t="s">
        <v>6186</v>
      </c>
      <c r="N145" s="42" t="s">
        <v>6186</v>
      </c>
      <c r="O145" s="42" t="s">
        <v>6186</v>
      </c>
      <c r="P145" s="42" t="s">
        <v>6186</v>
      </c>
    </row>
    <row r="146" spans="1:16" x14ac:dyDescent="0.15">
      <c r="A146" s="42" t="s">
        <v>6225</v>
      </c>
      <c r="B146" s="40" t="s">
        <v>15</v>
      </c>
      <c r="C146" s="42" t="s">
        <v>6196</v>
      </c>
      <c r="D146" s="42" t="s">
        <v>6186</v>
      </c>
      <c r="E146" s="42" t="s">
        <v>6186</v>
      </c>
      <c r="F146" s="42" t="s">
        <v>6252</v>
      </c>
      <c r="G146" s="42" t="s">
        <v>6186</v>
      </c>
      <c r="H146" s="42" t="s">
        <v>6186</v>
      </c>
      <c r="I146" s="42" t="s">
        <v>6227</v>
      </c>
      <c r="J146" s="40" t="s">
        <v>17</v>
      </c>
      <c r="K146" s="42" t="s">
        <v>6186</v>
      </c>
      <c r="L146" s="42" t="s">
        <v>6186</v>
      </c>
      <c r="M146" s="42" t="s">
        <v>6186</v>
      </c>
      <c r="N146" s="42" t="s">
        <v>6186</v>
      </c>
      <c r="O146" s="42" t="s">
        <v>6186</v>
      </c>
      <c r="P146" s="42" t="s">
        <v>6186</v>
      </c>
    </row>
    <row r="147" spans="1:16" x14ac:dyDescent="0.15">
      <c r="A147" s="42" t="s">
        <v>6228</v>
      </c>
      <c r="B147" s="40" t="s">
        <v>16</v>
      </c>
      <c r="C147" s="42" t="s">
        <v>6245</v>
      </c>
      <c r="D147" s="42" t="s">
        <v>6186</v>
      </c>
      <c r="E147" s="42" t="s">
        <v>6186</v>
      </c>
      <c r="F147" s="42" t="s">
        <v>6229</v>
      </c>
      <c r="G147" s="42" t="s">
        <v>6186</v>
      </c>
      <c r="H147" s="42" t="s">
        <v>6186</v>
      </c>
      <c r="I147" s="42" t="s">
        <v>6230</v>
      </c>
      <c r="J147" s="40" t="s">
        <v>18</v>
      </c>
      <c r="K147" s="42" t="s">
        <v>6186</v>
      </c>
      <c r="L147" s="42" t="s">
        <v>6186</v>
      </c>
      <c r="M147" s="42" t="s">
        <v>6186</v>
      </c>
      <c r="N147" s="42" t="s">
        <v>6186</v>
      </c>
      <c r="O147" s="42" t="s">
        <v>6186</v>
      </c>
      <c r="P147" s="42" t="s">
        <v>6186</v>
      </c>
    </row>
    <row r="148" spans="1:16" x14ac:dyDescent="0.15">
      <c r="A148" s="42" t="s">
        <v>6231</v>
      </c>
      <c r="B148" s="40" t="s">
        <v>17</v>
      </c>
      <c r="C148" s="42" t="s">
        <v>6188</v>
      </c>
      <c r="D148" s="42" t="s">
        <v>6186</v>
      </c>
      <c r="E148" s="42" t="s">
        <v>6186</v>
      </c>
      <c r="F148" s="42" t="s">
        <v>6233</v>
      </c>
      <c r="G148" s="42" t="s">
        <v>6186</v>
      </c>
      <c r="H148" s="42" t="s">
        <v>6186</v>
      </c>
      <c r="I148" s="42" t="s">
        <v>6234</v>
      </c>
      <c r="J148" s="40" t="s">
        <v>11</v>
      </c>
      <c r="K148" s="42" t="s">
        <v>6186</v>
      </c>
      <c r="L148" s="42" t="s">
        <v>6186</v>
      </c>
      <c r="M148" s="42" t="s">
        <v>6186</v>
      </c>
      <c r="N148" s="42" t="s">
        <v>6186</v>
      </c>
      <c r="O148" s="42" t="s">
        <v>6186</v>
      </c>
      <c r="P148" s="42" t="s">
        <v>6186</v>
      </c>
    </row>
    <row r="149" spans="1:16" x14ac:dyDescent="0.15">
      <c r="A149" s="42" t="s">
        <v>6235</v>
      </c>
      <c r="B149" s="40" t="s">
        <v>18</v>
      </c>
      <c r="C149" s="42" t="s">
        <v>6209</v>
      </c>
      <c r="D149" s="42" t="s">
        <v>6186</v>
      </c>
      <c r="E149" s="42" t="s">
        <v>6186</v>
      </c>
      <c r="F149" s="42" t="s">
        <v>6236</v>
      </c>
      <c r="G149" s="42" t="s">
        <v>6186</v>
      </c>
      <c r="H149" s="42" t="s">
        <v>6186</v>
      </c>
      <c r="I149" s="42" t="s">
        <v>12</v>
      </c>
      <c r="J149" s="42" t="s">
        <v>12</v>
      </c>
      <c r="K149" s="42" t="s">
        <v>12</v>
      </c>
      <c r="L149" s="42" t="s">
        <v>12</v>
      </c>
      <c r="M149" s="42" t="s">
        <v>12</v>
      </c>
      <c r="N149" s="42" t="s">
        <v>12</v>
      </c>
      <c r="O149" s="42" t="s">
        <v>12</v>
      </c>
      <c r="P149" s="42" t="s">
        <v>12</v>
      </c>
    </row>
    <row r="150" spans="1:16" x14ac:dyDescent="0.15">
      <c r="A150" s="35"/>
      <c r="C150" s="46"/>
      <c r="D150" s="46"/>
      <c r="E150" s="46"/>
      <c r="F150" s="46"/>
      <c r="G150" s="47"/>
      <c r="H150" s="47"/>
      <c r="I150" s="36"/>
      <c r="M150" s="131" t="s">
        <v>6237</v>
      </c>
      <c r="N150" s="131"/>
      <c r="O150" s="131"/>
      <c r="P150" s="131"/>
    </row>
    <row r="151" spans="1:16" x14ac:dyDescent="0.15">
      <c r="A151" s="34"/>
    </row>
    <row r="152" spans="1:16" x14ac:dyDescent="0.15">
      <c r="A152" s="34"/>
    </row>
    <row r="153" spans="1:16" x14ac:dyDescent="0.15">
      <c r="A153" s="35"/>
      <c r="B153" s="36"/>
    </row>
    <row r="154" spans="1:16" x14ac:dyDescent="0.15">
      <c r="A154" s="124" t="s">
        <v>6178</v>
      </c>
      <c r="B154" s="125"/>
      <c r="C154" s="125"/>
      <c r="D154" s="126"/>
      <c r="E154" s="124" t="s">
        <v>6269</v>
      </c>
      <c r="F154" s="125"/>
      <c r="G154" s="126"/>
      <c r="H154" s="124" t="s">
        <v>6270</v>
      </c>
      <c r="I154" s="126"/>
      <c r="J154" s="125" t="s">
        <v>6181</v>
      </c>
      <c r="K154" s="125"/>
      <c r="L154" s="126"/>
      <c r="M154" s="124" t="s">
        <v>6182</v>
      </c>
      <c r="N154" s="125"/>
      <c r="O154" s="125"/>
      <c r="P154" s="126"/>
    </row>
    <row r="155" spans="1:16" x14ac:dyDescent="0.15">
      <c r="A155" s="124" t="s">
        <v>6240</v>
      </c>
      <c r="B155" s="125"/>
      <c r="C155" s="125"/>
      <c r="D155" s="125"/>
      <c r="E155" s="125"/>
      <c r="F155" s="125"/>
      <c r="G155" s="125"/>
      <c r="H155" s="125"/>
      <c r="I155" s="125"/>
      <c r="J155" s="125"/>
      <c r="K155" s="125"/>
      <c r="L155" s="125"/>
      <c r="M155" s="125"/>
      <c r="N155" s="125"/>
      <c r="O155" s="125"/>
      <c r="P155" s="126"/>
    </row>
    <row r="156" spans="1:16" x14ac:dyDescent="0.15">
      <c r="A156" s="124" t="s">
        <v>6184</v>
      </c>
      <c r="B156" s="125"/>
      <c r="C156" s="125"/>
      <c r="D156" s="125"/>
      <c r="E156" s="125"/>
      <c r="F156" s="125"/>
      <c r="G156" s="125"/>
      <c r="H156" s="125"/>
      <c r="I156" s="125"/>
      <c r="J156" s="125"/>
      <c r="K156" s="125"/>
      <c r="L156" s="125"/>
      <c r="M156" s="125"/>
      <c r="N156" s="125"/>
      <c r="O156" s="125"/>
      <c r="P156" s="126"/>
    </row>
    <row r="157" spans="1:16" x14ac:dyDescent="0.15">
      <c r="A157" s="37"/>
      <c r="B157" s="38"/>
      <c r="C157" s="127" t="s">
        <v>4</v>
      </c>
      <c r="D157" s="128"/>
      <c r="E157" s="129" t="s">
        <v>5</v>
      </c>
      <c r="F157" s="130"/>
      <c r="G157" s="129" t="s">
        <v>6</v>
      </c>
      <c r="H157" s="130"/>
      <c r="I157" s="38"/>
      <c r="J157" s="38"/>
      <c r="K157" s="127" t="s">
        <v>4</v>
      </c>
      <c r="L157" s="128"/>
      <c r="M157" s="129" t="s">
        <v>5</v>
      </c>
      <c r="N157" s="130"/>
      <c r="O157" s="129" t="s">
        <v>6</v>
      </c>
      <c r="P157" s="130"/>
    </row>
    <row r="158" spans="1:16" ht="24" x14ac:dyDescent="0.15">
      <c r="A158" s="39" t="s">
        <v>7</v>
      </c>
      <c r="B158" s="40" t="s">
        <v>8</v>
      </c>
      <c r="C158" s="41" t="s">
        <v>9</v>
      </c>
      <c r="D158" s="41" t="s">
        <v>10</v>
      </c>
      <c r="E158" s="41" t="s">
        <v>9</v>
      </c>
      <c r="F158" s="41" t="s">
        <v>10</v>
      </c>
      <c r="G158" s="41" t="s">
        <v>9</v>
      </c>
      <c r="H158" s="41" t="s">
        <v>10</v>
      </c>
      <c r="I158" s="48" t="s">
        <v>7</v>
      </c>
      <c r="J158" s="40" t="s">
        <v>8</v>
      </c>
      <c r="K158" s="41" t="s">
        <v>9</v>
      </c>
      <c r="L158" s="41" t="s">
        <v>10</v>
      </c>
      <c r="M158" s="41" t="s">
        <v>9</v>
      </c>
      <c r="N158" s="41" t="s">
        <v>10</v>
      </c>
      <c r="O158" s="41" t="s">
        <v>9</v>
      </c>
      <c r="P158" s="41" t="s">
        <v>10</v>
      </c>
    </row>
    <row r="159" spans="1:16" x14ac:dyDescent="0.15">
      <c r="A159" s="42" t="s">
        <v>6185</v>
      </c>
      <c r="B159" s="40" t="s">
        <v>17</v>
      </c>
      <c r="C159" s="42" t="s">
        <v>6256</v>
      </c>
      <c r="D159" s="43"/>
      <c r="E159" s="43"/>
      <c r="F159" s="42" t="s">
        <v>6241</v>
      </c>
      <c r="G159" s="43"/>
      <c r="H159" s="43" t="s">
        <v>6186</v>
      </c>
      <c r="I159" s="42" t="s">
        <v>6187</v>
      </c>
      <c r="J159" s="40" t="s">
        <v>11</v>
      </c>
      <c r="K159" s="42" t="s">
        <v>6217</v>
      </c>
      <c r="L159" s="43" t="s">
        <v>6186</v>
      </c>
      <c r="M159" s="43" t="s">
        <v>6186</v>
      </c>
      <c r="N159" s="42" t="s">
        <v>6189</v>
      </c>
      <c r="O159" s="43" t="s">
        <v>6186</v>
      </c>
      <c r="P159" s="43" t="s">
        <v>6186</v>
      </c>
    </row>
    <row r="160" spans="1:16" x14ac:dyDescent="0.15">
      <c r="A160" s="42" t="s">
        <v>6190</v>
      </c>
      <c r="B160" s="40" t="s">
        <v>18</v>
      </c>
      <c r="C160" s="42" t="s">
        <v>6244</v>
      </c>
      <c r="D160" s="43"/>
      <c r="E160" s="43"/>
      <c r="F160" s="42" t="s">
        <v>6242</v>
      </c>
      <c r="G160" s="43"/>
      <c r="H160" s="43" t="s">
        <v>6186</v>
      </c>
      <c r="I160" s="42" t="s">
        <v>6191</v>
      </c>
      <c r="J160" s="40" t="s">
        <v>14</v>
      </c>
      <c r="K160" s="42" t="s">
        <v>6192</v>
      </c>
      <c r="L160" s="43" t="s">
        <v>6186</v>
      </c>
      <c r="M160" s="43" t="s">
        <v>6186</v>
      </c>
      <c r="N160" s="42" t="s">
        <v>6193</v>
      </c>
      <c r="O160" s="43" t="s">
        <v>6186</v>
      </c>
      <c r="P160" s="43" t="s">
        <v>6186</v>
      </c>
    </row>
    <row r="161" spans="1:16" x14ac:dyDescent="0.15">
      <c r="A161" s="42" t="s">
        <v>6194</v>
      </c>
      <c r="B161" s="40" t="s">
        <v>11</v>
      </c>
      <c r="C161" s="42" t="s">
        <v>6232</v>
      </c>
      <c r="D161" s="43"/>
      <c r="E161" s="43"/>
      <c r="F161" s="42" t="s">
        <v>6243</v>
      </c>
      <c r="G161" s="42"/>
      <c r="H161" s="42" t="s">
        <v>6186</v>
      </c>
      <c r="I161" s="42" t="s">
        <v>6195</v>
      </c>
      <c r="J161" s="40" t="s">
        <v>13</v>
      </c>
      <c r="K161" s="42" t="s">
        <v>6196</v>
      </c>
      <c r="L161" s="42" t="s">
        <v>6186</v>
      </c>
      <c r="M161" s="42" t="s">
        <v>6186</v>
      </c>
      <c r="N161" s="42" t="s">
        <v>6197</v>
      </c>
      <c r="O161" s="42" t="s">
        <v>6186</v>
      </c>
      <c r="P161" s="42" t="s">
        <v>6186</v>
      </c>
    </row>
    <row r="162" spans="1:16" x14ac:dyDescent="0.15">
      <c r="A162" s="42" t="s">
        <v>6198</v>
      </c>
      <c r="B162" s="40" t="s">
        <v>14</v>
      </c>
      <c r="C162" s="42" t="s">
        <v>6200</v>
      </c>
      <c r="D162" s="43"/>
      <c r="E162" s="43"/>
      <c r="F162" s="42" t="s">
        <v>6246</v>
      </c>
      <c r="G162" s="43"/>
      <c r="H162" s="43" t="s">
        <v>6186</v>
      </c>
      <c r="I162" s="42" t="s">
        <v>6199</v>
      </c>
      <c r="J162" s="40" t="s">
        <v>15</v>
      </c>
      <c r="K162" s="42" t="s">
        <v>6217</v>
      </c>
      <c r="L162" s="43" t="s">
        <v>6186</v>
      </c>
      <c r="M162" s="43" t="s">
        <v>6186</v>
      </c>
      <c r="N162" s="42" t="s">
        <v>6201</v>
      </c>
      <c r="O162" s="43" t="s">
        <v>6186</v>
      </c>
      <c r="P162" s="43" t="s">
        <v>6186</v>
      </c>
    </row>
    <row r="163" spans="1:16" x14ac:dyDescent="0.15">
      <c r="A163" s="42" t="s">
        <v>6202</v>
      </c>
      <c r="B163" s="40" t="s">
        <v>13</v>
      </c>
      <c r="C163" s="42" t="s">
        <v>6232</v>
      </c>
      <c r="D163" s="43"/>
      <c r="E163" s="43"/>
      <c r="F163" s="42" t="s">
        <v>6247</v>
      </c>
      <c r="G163" s="43"/>
      <c r="H163" s="43" t="s">
        <v>6186</v>
      </c>
      <c r="I163" s="42" t="s">
        <v>6203</v>
      </c>
      <c r="J163" s="40" t="s">
        <v>16</v>
      </c>
      <c r="K163" s="43" t="s">
        <v>6186</v>
      </c>
      <c r="L163" s="43" t="s">
        <v>6186</v>
      </c>
      <c r="M163" s="43" t="s">
        <v>6186</v>
      </c>
      <c r="N163" s="43" t="s">
        <v>6186</v>
      </c>
      <c r="O163" s="43" t="s">
        <v>6186</v>
      </c>
      <c r="P163" s="43" t="s">
        <v>6186</v>
      </c>
    </row>
    <row r="164" spans="1:16" x14ac:dyDescent="0.15">
      <c r="A164" s="42" t="s">
        <v>6204</v>
      </c>
      <c r="B164" s="40" t="s">
        <v>15</v>
      </c>
      <c r="C164" s="42" t="s">
        <v>6217</v>
      </c>
      <c r="D164" s="43"/>
      <c r="E164" s="43"/>
      <c r="F164" s="42" t="s">
        <v>6248</v>
      </c>
      <c r="G164" s="43"/>
      <c r="H164" s="43" t="s">
        <v>6186</v>
      </c>
      <c r="I164" s="42" t="s">
        <v>6205</v>
      </c>
      <c r="J164" s="40" t="s">
        <v>17</v>
      </c>
      <c r="K164" s="43" t="s">
        <v>6186</v>
      </c>
      <c r="L164" s="43" t="s">
        <v>6186</v>
      </c>
      <c r="M164" s="43" t="s">
        <v>6186</v>
      </c>
      <c r="N164" s="43" t="s">
        <v>6186</v>
      </c>
      <c r="O164" s="43" t="s">
        <v>6186</v>
      </c>
      <c r="P164" s="43" t="s">
        <v>6186</v>
      </c>
    </row>
    <row r="165" spans="1:16" x14ac:dyDescent="0.15">
      <c r="A165" s="42" t="s">
        <v>6206</v>
      </c>
      <c r="B165" s="40" t="s">
        <v>16</v>
      </c>
      <c r="C165" s="42" t="s">
        <v>6196</v>
      </c>
      <c r="D165" s="43"/>
      <c r="E165" s="43"/>
      <c r="F165" s="42" t="s">
        <v>6249</v>
      </c>
      <c r="G165" s="43"/>
      <c r="H165" s="43" t="s">
        <v>6186</v>
      </c>
      <c r="I165" s="42" t="s">
        <v>6207</v>
      </c>
      <c r="J165" s="40" t="s">
        <v>18</v>
      </c>
      <c r="K165" s="43" t="s">
        <v>6186</v>
      </c>
      <c r="L165" s="43" t="s">
        <v>6186</v>
      </c>
      <c r="M165" s="43" t="s">
        <v>6186</v>
      </c>
      <c r="N165" s="43" t="s">
        <v>6186</v>
      </c>
      <c r="O165" s="43" t="s">
        <v>6186</v>
      </c>
      <c r="P165" s="43" t="s">
        <v>6186</v>
      </c>
    </row>
    <row r="166" spans="1:16" x14ac:dyDescent="0.15">
      <c r="A166" s="42" t="s">
        <v>6208</v>
      </c>
      <c r="B166" s="40" t="s">
        <v>17</v>
      </c>
      <c r="C166" s="42" t="s">
        <v>6188</v>
      </c>
      <c r="D166" s="42"/>
      <c r="E166" s="42"/>
      <c r="F166" s="42" t="s">
        <v>6210</v>
      </c>
      <c r="G166" s="42"/>
      <c r="H166" s="42" t="s">
        <v>6186</v>
      </c>
      <c r="I166" s="42" t="s">
        <v>6211</v>
      </c>
      <c r="J166" s="40" t="s">
        <v>11</v>
      </c>
      <c r="K166" s="42" t="s">
        <v>6186</v>
      </c>
      <c r="L166" s="42" t="s">
        <v>6186</v>
      </c>
      <c r="M166" s="42" t="s">
        <v>6186</v>
      </c>
      <c r="N166" s="42" t="s">
        <v>6186</v>
      </c>
      <c r="O166" s="42" t="s">
        <v>6186</v>
      </c>
      <c r="P166" s="42" t="s">
        <v>6186</v>
      </c>
    </row>
    <row r="167" spans="1:16" x14ac:dyDescent="0.15">
      <c r="A167" s="42" t="s">
        <v>6212</v>
      </c>
      <c r="B167" s="40" t="s">
        <v>18</v>
      </c>
      <c r="C167" s="42" t="s">
        <v>6217</v>
      </c>
      <c r="D167" s="42"/>
      <c r="E167" s="42"/>
      <c r="F167" s="42" t="s">
        <v>6251</v>
      </c>
      <c r="G167" s="42"/>
      <c r="H167" s="42" t="s">
        <v>6186</v>
      </c>
      <c r="I167" s="42" t="s">
        <v>6215</v>
      </c>
      <c r="J167" s="40" t="s">
        <v>14</v>
      </c>
      <c r="K167" s="42" t="s">
        <v>6186</v>
      </c>
      <c r="L167" s="42" t="s">
        <v>6186</v>
      </c>
      <c r="M167" s="42" t="s">
        <v>6186</v>
      </c>
      <c r="N167" s="42" t="s">
        <v>6186</v>
      </c>
      <c r="O167" s="42" t="s">
        <v>6186</v>
      </c>
      <c r="P167" s="42" t="s">
        <v>6186</v>
      </c>
    </row>
    <row r="168" spans="1:16" x14ac:dyDescent="0.15">
      <c r="A168" s="42" t="s">
        <v>6216</v>
      </c>
      <c r="B168" s="40" t="s">
        <v>11</v>
      </c>
      <c r="C168" s="42" t="s">
        <v>6196</v>
      </c>
      <c r="D168" s="42"/>
      <c r="E168" s="42"/>
      <c r="F168" s="42" t="s">
        <v>6218</v>
      </c>
      <c r="G168" s="42"/>
      <c r="H168" s="42" t="s">
        <v>6186</v>
      </c>
      <c r="I168" s="42" t="s">
        <v>6219</v>
      </c>
      <c r="J168" s="40" t="s">
        <v>13</v>
      </c>
      <c r="K168" s="42" t="s">
        <v>6186</v>
      </c>
      <c r="L168" s="42" t="s">
        <v>6186</v>
      </c>
      <c r="M168" s="42" t="s">
        <v>6186</v>
      </c>
      <c r="N168" s="42" t="s">
        <v>6186</v>
      </c>
      <c r="O168" s="42" t="s">
        <v>6186</v>
      </c>
      <c r="P168" s="42" t="s">
        <v>6186</v>
      </c>
    </row>
    <row r="169" spans="1:16" x14ac:dyDescent="0.15">
      <c r="A169" s="42" t="s">
        <v>6220</v>
      </c>
      <c r="B169" s="40" t="s">
        <v>14</v>
      </c>
      <c r="C169" s="42" t="s">
        <v>6209</v>
      </c>
      <c r="D169" s="42"/>
      <c r="E169" s="42"/>
      <c r="F169" s="42" t="s">
        <v>6118</v>
      </c>
      <c r="G169" s="42"/>
      <c r="H169" s="42" t="s">
        <v>6186</v>
      </c>
      <c r="I169" s="42" t="s">
        <v>6221</v>
      </c>
      <c r="J169" s="40" t="s">
        <v>15</v>
      </c>
      <c r="K169" s="42" t="s">
        <v>6186</v>
      </c>
      <c r="L169" s="42" t="s">
        <v>6186</v>
      </c>
      <c r="M169" s="42" t="s">
        <v>6186</v>
      </c>
      <c r="N169" s="42" t="s">
        <v>6186</v>
      </c>
      <c r="O169" s="42" t="s">
        <v>6186</v>
      </c>
      <c r="P169" s="42" t="s">
        <v>6186</v>
      </c>
    </row>
    <row r="170" spans="1:16" x14ac:dyDescent="0.15">
      <c r="A170" s="42" t="s">
        <v>6222</v>
      </c>
      <c r="B170" s="40" t="s">
        <v>13</v>
      </c>
      <c r="C170" s="42" t="s">
        <v>6232</v>
      </c>
      <c r="D170" s="42" t="s">
        <v>6186</v>
      </c>
      <c r="E170" s="42" t="s">
        <v>6186</v>
      </c>
      <c r="F170" s="42" t="s">
        <v>6223</v>
      </c>
      <c r="G170" s="42" t="s">
        <v>6186</v>
      </c>
      <c r="H170" s="42" t="s">
        <v>6186</v>
      </c>
      <c r="I170" s="42" t="s">
        <v>6224</v>
      </c>
      <c r="J170" s="40" t="s">
        <v>16</v>
      </c>
      <c r="K170" s="42" t="s">
        <v>6186</v>
      </c>
      <c r="L170" s="42" t="s">
        <v>6186</v>
      </c>
      <c r="M170" s="42" t="s">
        <v>6186</v>
      </c>
      <c r="N170" s="42" t="s">
        <v>6186</v>
      </c>
      <c r="O170" s="42" t="s">
        <v>6186</v>
      </c>
      <c r="P170" s="42" t="s">
        <v>6186</v>
      </c>
    </row>
    <row r="171" spans="1:16" x14ac:dyDescent="0.15">
      <c r="A171" s="42" t="s">
        <v>6225</v>
      </c>
      <c r="B171" s="40" t="s">
        <v>15</v>
      </c>
      <c r="C171" s="42" t="s">
        <v>6250</v>
      </c>
      <c r="D171" s="42" t="s">
        <v>6186</v>
      </c>
      <c r="E171" s="42" t="s">
        <v>6186</v>
      </c>
      <c r="F171" s="42" t="s">
        <v>6252</v>
      </c>
      <c r="G171" s="42" t="s">
        <v>6186</v>
      </c>
      <c r="H171" s="42" t="s">
        <v>6186</v>
      </c>
      <c r="I171" s="42" t="s">
        <v>6227</v>
      </c>
      <c r="J171" s="40" t="s">
        <v>17</v>
      </c>
      <c r="K171" s="42" t="s">
        <v>6186</v>
      </c>
      <c r="L171" s="42" t="s">
        <v>6186</v>
      </c>
      <c r="M171" s="42" t="s">
        <v>6186</v>
      </c>
      <c r="N171" s="42" t="s">
        <v>6186</v>
      </c>
      <c r="O171" s="42" t="s">
        <v>6186</v>
      </c>
      <c r="P171" s="42" t="s">
        <v>6186</v>
      </c>
    </row>
    <row r="172" spans="1:16" x14ac:dyDescent="0.15">
      <c r="A172" s="42" t="s">
        <v>6228</v>
      </c>
      <c r="B172" s="40" t="s">
        <v>16</v>
      </c>
      <c r="C172" s="42" t="s">
        <v>6209</v>
      </c>
      <c r="D172" s="42" t="s">
        <v>6186</v>
      </c>
      <c r="E172" s="42" t="s">
        <v>6186</v>
      </c>
      <c r="F172" s="42" t="s">
        <v>6229</v>
      </c>
      <c r="G172" s="42" t="s">
        <v>6186</v>
      </c>
      <c r="H172" s="42" t="s">
        <v>6186</v>
      </c>
      <c r="I172" s="42" t="s">
        <v>6230</v>
      </c>
      <c r="J172" s="40" t="s">
        <v>18</v>
      </c>
      <c r="K172" s="42" t="s">
        <v>6186</v>
      </c>
      <c r="L172" s="42" t="s">
        <v>6186</v>
      </c>
      <c r="M172" s="42" t="s">
        <v>6186</v>
      </c>
      <c r="N172" s="42" t="s">
        <v>6186</v>
      </c>
      <c r="O172" s="42" t="s">
        <v>6186</v>
      </c>
      <c r="P172" s="42" t="s">
        <v>6186</v>
      </c>
    </row>
    <row r="173" spans="1:16" x14ac:dyDescent="0.15">
      <c r="A173" s="42" t="s">
        <v>6231</v>
      </c>
      <c r="B173" s="40" t="s">
        <v>17</v>
      </c>
      <c r="C173" s="42" t="s">
        <v>6213</v>
      </c>
      <c r="D173" s="42" t="s">
        <v>6186</v>
      </c>
      <c r="E173" s="42" t="s">
        <v>6186</v>
      </c>
      <c r="F173" s="42" t="s">
        <v>6233</v>
      </c>
      <c r="G173" s="42" t="s">
        <v>6186</v>
      </c>
      <c r="H173" s="42" t="s">
        <v>6186</v>
      </c>
      <c r="I173" s="42" t="s">
        <v>6234</v>
      </c>
      <c r="J173" s="40" t="s">
        <v>11</v>
      </c>
      <c r="K173" s="42" t="s">
        <v>6186</v>
      </c>
      <c r="L173" s="42" t="s">
        <v>6186</v>
      </c>
      <c r="M173" s="42" t="s">
        <v>6186</v>
      </c>
      <c r="N173" s="42" t="s">
        <v>6186</v>
      </c>
      <c r="O173" s="42" t="s">
        <v>6186</v>
      </c>
      <c r="P173" s="42" t="s">
        <v>6186</v>
      </c>
    </row>
    <row r="174" spans="1:16" x14ac:dyDescent="0.15">
      <c r="A174" s="42" t="s">
        <v>6235</v>
      </c>
      <c r="B174" s="40" t="s">
        <v>18</v>
      </c>
      <c r="C174" s="42" t="s">
        <v>6188</v>
      </c>
      <c r="D174" s="42" t="s">
        <v>6186</v>
      </c>
      <c r="E174" s="42" t="s">
        <v>6186</v>
      </c>
      <c r="F174" s="42" t="s">
        <v>6236</v>
      </c>
      <c r="G174" s="42" t="s">
        <v>6186</v>
      </c>
      <c r="H174" s="42" t="s">
        <v>6186</v>
      </c>
      <c r="I174" s="42" t="s">
        <v>12</v>
      </c>
      <c r="J174" s="42" t="s">
        <v>12</v>
      </c>
      <c r="K174" s="42" t="s">
        <v>12</v>
      </c>
      <c r="L174" s="42" t="s">
        <v>12</v>
      </c>
      <c r="M174" s="42" t="s">
        <v>12</v>
      </c>
      <c r="N174" s="42" t="s">
        <v>12</v>
      </c>
      <c r="O174" s="42" t="s">
        <v>12</v>
      </c>
      <c r="P174" s="42" t="s">
        <v>12</v>
      </c>
    </row>
    <row r="175" spans="1:16" x14ac:dyDescent="0.15">
      <c r="A175" s="35"/>
      <c r="C175" s="46"/>
      <c r="D175" s="46"/>
      <c r="E175" s="46"/>
      <c r="F175" s="46"/>
      <c r="G175" s="47"/>
      <c r="H175" s="47"/>
      <c r="I175" s="36"/>
      <c r="M175" s="131" t="s">
        <v>6237</v>
      </c>
      <c r="N175" s="131"/>
      <c r="O175" s="131"/>
      <c r="P175" s="131"/>
    </row>
    <row r="176" spans="1:16" x14ac:dyDescent="0.15">
      <c r="A176" s="34"/>
    </row>
    <row r="177" spans="1:16" x14ac:dyDescent="0.15">
      <c r="A177" s="34"/>
    </row>
    <row r="178" spans="1:16" x14ac:dyDescent="0.15">
      <c r="A178" s="35"/>
      <c r="B178" s="36"/>
    </row>
    <row r="179" spans="1:16" x14ac:dyDescent="0.15">
      <c r="A179" s="124" t="s">
        <v>6178</v>
      </c>
      <c r="B179" s="125"/>
      <c r="C179" s="125"/>
      <c r="D179" s="126"/>
      <c r="E179" s="124" t="s">
        <v>6271</v>
      </c>
      <c r="F179" s="125"/>
      <c r="G179" s="126"/>
      <c r="H179" s="124" t="s">
        <v>6272</v>
      </c>
      <c r="I179" s="126"/>
      <c r="J179" s="125" t="s">
        <v>6181</v>
      </c>
      <c r="K179" s="125"/>
      <c r="L179" s="126"/>
      <c r="M179" s="124" t="s">
        <v>6182</v>
      </c>
      <c r="N179" s="125"/>
      <c r="O179" s="125"/>
      <c r="P179" s="126"/>
    </row>
    <row r="180" spans="1:16" x14ac:dyDescent="0.15">
      <c r="A180" s="124" t="s">
        <v>6273</v>
      </c>
      <c r="B180" s="125"/>
      <c r="C180" s="125"/>
      <c r="D180" s="125"/>
      <c r="E180" s="125"/>
      <c r="F180" s="125"/>
      <c r="G180" s="125"/>
      <c r="H180" s="125"/>
      <c r="I180" s="125"/>
      <c r="J180" s="125"/>
      <c r="K180" s="125"/>
      <c r="L180" s="125"/>
      <c r="M180" s="125"/>
      <c r="N180" s="125"/>
      <c r="O180" s="125"/>
      <c r="P180" s="126"/>
    </row>
    <row r="181" spans="1:16" x14ac:dyDescent="0.15">
      <c r="A181" s="124" t="s">
        <v>6184</v>
      </c>
      <c r="B181" s="125"/>
      <c r="C181" s="125"/>
      <c r="D181" s="125"/>
      <c r="E181" s="125"/>
      <c r="F181" s="125"/>
      <c r="G181" s="125"/>
      <c r="H181" s="125"/>
      <c r="I181" s="125"/>
      <c r="J181" s="125"/>
      <c r="K181" s="125"/>
      <c r="L181" s="125"/>
      <c r="M181" s="125"/>
      <c r="N181" s="125"/>
      <c r="O181" s="125"/>
      <c r="P181" s="126"/>
    </row>
    <row r="182" spans="1:16" x14ac:dyDescent="0.15">
      <c r="A182" s="37"/>
      <c r="B182" s="38"/>
      <c r="C182" s="127" t="s">
        <v>4</v>
      </c>
      <c r="D182" s="128"/>
      <c r="E182" s="129" t="s">
        <v>5</v>
      </c>
      <c r="F182" s="130"/>
      <c r="G182" s="129" t="s">
        <v>6</v>
      </c>
      <c r="H182" s="130"/>
      <c r="I182" s="38"/>
      <c r="J182" s="38"/>
      <c r="K182" s="127" t="s">
        <v>4</v>
      </c>
      <c r="L182" s="128"/>
      <c r="M182" s="129" t="s">
        <v>5</v>
      </c>
      <c r="N182" s="130"/>
      <c r="O182" s="129" t="s">
        <v>6</v>
      </c>
      <c r="P182" s="130"/>
    </row>
    <row r="183" spans="1:16" ht="24" x14ac:dyDescent="0.15">
      <c r="A183" s="39" t="s">
        <v>7</v>
      </c>
      <c r="B183" s="40" t="s">
        <v>8</v>
      </c>
      <c r="C183" s="41" t="s">
        <v>9</v>
      </c>
      <c r="D183" s="41" t="s">
        <v>10</v>
      </c>
      <c r="E183" s="41" t="s">
        <v>9</v>
      </c>
      <c r="F183" s="41" t="s">
        <v>10</v>
      </c>
      <c r="G183" s="41" t="s">
        <v>9</v>
      </c>
      <c r="H183" s="41" t="s">
        <v>10</v>
      </c>
      <c r="I183" s="48" t="s">
        <v>7</v>
      </c>
      <c r="J183" s="40" t="s">
        <v>8</v>
      </c>
      <c r="K183" s="41" t="s">
        <v>9</v>
      </c>
      <c r="L183" s="41" t="s">
        <v>10</v>
      </c>
      <c r="M183" s="41" t="s">
        <v>9</v>
      </c>
      <c r="N183" s="41" t="s">
        <v>10</v>
      </c>
      <c r="O183" s="41" t="s">
        <v>9</v>
      </c>
      <c r="P183" s="41" t="s">
        <v>10</v>
      </c>
    </row>
    <row r="184" spans="1:16" x14ac:dyDescent="0.15">
      <c r="A184" s="42" t="s">
        <v>6185</v>
      </c>
      <c r="B184" s="40" t="s">
        <v>17</v>
      </c>
      <c r="C184" s="42" t="s">
        <v>6196</v>
      </c>
      <c r="D184" s="43"/>
      <c r="E184" s="43"/>
      <c r="F184" s="42" t="s">
        <v>6274</v>
      </c>
      <c r="G184" s="42"/>
      <c r="H184" s="42" t="s">
        <v>6186</v>
      </c>
      <c r="I184" s="42" t="s">
        <v>6187</v>
      </c>
      <c r="J184" s="40" t="s">
        <v>11</v>
      </c>
      <c r="K184" s="42" t="s">
        <v>6196</v>
      </c>
      <c r="L184" s="42" t="s">
        <v>6186</v>
      </c>
      <c r="M184" s="42" t="s">
        <v>6186</v>
      </c>
      <c r="N184" s="42" t="s">
        <v>6189</v>
      </c>
      <c r="O184" s="42" t="s">
        <v>6186</v>
      </c>
      <c r="P184" s="42" t="s">
        <v>6186</v>
      </c>
    </row>
    <row r="185" spans="1:16" x14ac:dyDescent="0.15">
      <c r="A185" s="42" t="s">
        <v>6190</v>
      </c>
      <c r="B185" s="40" t="s">
        <v>18</v>
      </c>
      <c r="C185" s="42" t="s">
        <v>6196</v>
      </c>
      <c r="D185" s="43"/>
      <c r="E185" s="43"/>
      <c r="F185" s="42" t="s">
        <v>6275</v>
      </c>
      <c r="G185" s="43"/>
      <c r="H185" s="43" t="s">
        <v>6186</v>
      </c>
      <c r="I185" s="42" t="s">
        <v>6191</v>
      </c>
      <c r="J185" s="40" t="s">
        <v>14</v>
      </c>
      <c r="K185" s="42"/>
      <c r="L185" s="43"/>
      <c r="M185" s="43"/>
      <c r="N185" s="42"/>
      <c r="O185" s="43" t="s">
        <v>6186</v>
      </c>
      <c r="P185" s="43" t="s">
        <v>6186</v>
      </c>
    </row>
    <row r="186" spans="1:16" x14ac:dyDescent="0.15">
      <c r="A186" s="42" t="s">
        <v>6194</v>
      </c>
      <c r="B186" s="40" t="s">
        <v>11</v>
      </c>
      <c r="C186" s="42" t="s">
        <v>6232</v>
      </c>
      <c r="D186" s="43"/>
      <c r="E186" s="43"/>
      <c r="F186" s="42" t="s">
        <v>6276</v>
      </c>
      <c r="G186" s="42"/>
      <c r="H186" s="42" t="s">
        <v>6186</v>
      </c>
      <c r="I186" s="42" t="s">
        <v>6195</v>
      </c>
      <c r="J186" s="40" t="s">
        <v>13</v>
      </c>
      <c r="K186" s="42" t="s">
        <v>6250</v>
      </c>
      <c r="L186" s="42" t="s">
        <v>6186</v>
      </c>
      <c r="M186" s="42" t="s">
        <v>6186</v>
      </c>
      <c r="N186" s="42" t="s">
        <v>6197</v>
      </c>
      <c r="O186" s="42" t="s">
        <v>6186</v>
      </c>
      <c r="P186" s="42" t="s">
        <v>6186</v>
      </c>
    </row>
    <row r="187" spans="1:16" x14ac:dyDescent="0.15">
      <c r="A187" s="42" t="s">
        <v>6198</v>
      </c>
      <c r="B187" s="40" t="s">
        <v>14</v>
      </c>
      <c r="C187" s="42"/>
      <c r="D187" s="42"/>
      <c r="E187" s="42"/>
      <c r="F187" s="42"/>
      <c r="G187" s="42"/>
      <c r="H187" s="42" t="s">
        <v>6186</v>
      </c>
      <c r="I187" s="42" t="s">
        <v>6199</v>
      </c>
      <c r="J187" s="40" t="s">
        <v>15</v>
      </c>
      <c r="K187" s="42" t="s">
        <v>6217</v>
      </c>
      <c r="L187" s="42" t="s">
        <v>6186</v>
      </c>
      <c r="M187" s="42" t="s">
        <v>6186</v>
      </c>
      <c r="N187" s="42" t="s">
        <v>6201</v>
      </c>
      <c r="O187" s="42" t="s">
        <v>6186</v>
      </c>
      <c r="P187" s="42" t="s">
        <v>6186</v>
      </c>
    </row>
    <row r="188" spans="1:16" x14ac:dyDescent="0.15">
      <c r="A188" s="42" t="s">
        <v>6202</v>
      </c>
      <c r="B188" s="40" t="s">
        <v>13</v>
      </c>
      <c r="C188" s="42"/>
      <c r="D188" s="42"/>
      <c r="E188" s="42"/>
      <c r="F188" s="42"/>
      <c r="G188" s="42"/>
      <c r="H188" s="42" t="s">
        <v>6186</v>
      </c>
      <c r="I188" s="42" t="s">
        <v>6203</v>
      </c>
      <c r="J188" s="40" t="s">
        <v>16</v>
      </c>
      <c r="K188" s="42" t="s">
        <v>6186</v>
      </c>
      <c r="L188" s="42" t="s">
        <v>6186</v>
      </c>
      <c r="M188" s="42" t="s">
        <v>6186</v>
      </c>
      <c r="N188" s="42" t="s">
        <v>6186</v>
      </c>
      <c r="O188" s="42" t="s">
        <v>6186</v>
      </c>
      <c r="P188" s="42" t="s">
        <v>6186</v>
      </c>
    </row>
    <row r="189" spans="1:16" x14ac:dyDescent="0.15">
      <c r="A189" s="42" t="s">
        <v>6204</v>
      </c>
      <c r="B189" s="40" t="s">
        <v>15</v>
      </c>
      <c r="C189" s="42"/>
      <c r="D189" s="42"/>
      <c r="E189" s="42"/>
      <c r="F189" s="42"/>
      <c r="G189" s="42"/>
      <c r="H189" s="42" t="s">
        <v>6186</v>
      </c>
      <c r="I189" s="42" t="s">
        <v>6205</v>
      </c>
      <c r="J189" s="40" t="s">
        <v>17</v>
      </c>
      <c r="K189" s="42" t="s">
        <v>6186</v>
      </c>
      <c r="L189" s="42" t="s">
        <v>6186</v>
      </c>
      <c r="M189" s="42" t="s">
        <v>6186</v>
      </c>
      <c r="N189" s="42" t="s">
        <v>6186</v>
      </c>
      <c r="O189" s="42" t="s">
        <v>6186</v>
      </c>
      <c r="P189" s="42" t="s">
        <v>6186</v>
      </c>
    </row>
    <row r="190" spans="1:16" x14ac:dyDescent="0.15">
      <c r="A190" s="42" t="s">
        <v>6206</v>
      </c>
      <c r="B190" s="40" t="s">
        <v>16</v>
      </c>
      <c r="C190" s="42" t="s">
        <v>6250</v>
      </c>
      <c r="D190" s="43"/>
      <c r="E190" s="43"/>
      <c r="F190" s="42" t="s">
        <v>6249</v>
      </c>
      <c r="G190" s="42"/>
      <c r="H190" s="42" t="s">
        <v>6186</v>
      </c>
      <c r="I190" s="42" t="s">
        <v>6207</v>
      </c>
      <c r="J190" s="40" t="s">
        <v>18</v>
      </c>
      <c r="K190" s="42" t="s">
        <v>6186</v>
      </c>
      <c r="L190" s="42" t="s">
        <v>6186</v>
      </c>
      <c r="M190" s="42" t="s">
        <v>6186</v>
      </c>
      <c r="N190" s="42" t="s">
        <v>6186</v>
      </c>
      <c r="O190" s="42" t="s">
        <v>6186</v>
      </c>
      <c r="P190" s="42" t="s">
        <v>6186</v>
      </c>
    </row>
    <row r="191" spans="1:16" x14ac:dyDescent="0.15">
      <c r="A191" s="42" t="s">
        <v>6208</v>
      </c>
      <c r="B191" s="40" t="s">
        <v>17</v>
      </c>
      <c r="C191" s="42" t="s">
        <v>6217</v>
      </c>
      <c r="D191" s="43"/>
      <c r="E191" s="43"/>
      <c r="F191" s="42" t="s">
        <v>6210</v>
      </c>
      <c r="G191" s="42"/>
      <c r="H191" s="42" t="s">
        <v>6186</v>
      </c>
      <c r="I191" s="42" t="s">
        <v>6211</v>
      </c>
      <c r="J191" s="40" t="s">
        <v>11</v>
      </c>
      <c r="K191" s="42" t="s">
        <v>6186</v>
      </c>
      <c r="L191" s="42" t="s">
        <v>6186</v>
      </c>
      <c r="M191" s="42" t="s">
        <v>6186</v>
      </c>
      <c r="N191" s="42" t="s">
        <v>6186</v>
      </c>
      <c r="O191" s="42" t="s">
        <v>6186</v>
      </c>
      <c r="P191" s="42" t="s">
        <v>6186</v>
      </c>
    </row>
    <row r="192" spans="1:16" x14ac:dyDescent="0.15">
      <c r="A192" s="42" t="s">
        <v>6212</v>
      </c>
      <c r="B192" s="40" t="s">
        <v>18</v>
      </c>
      <c r="C192" s="42" t="s">
        <v>6217</v>
      </c>
      <c r="D192" s="43"/>
      <c r="E192" s="43"/>
      <c r="F192" s="42" t="s">
        <v>6277</v>
      </c>
      <c r="G192" s="42"/>
      <c r="H192" s="42" t="s">
        <v>6186</v>
      </c>
      <c r="I192" s="42" t="s">
        <v>6215</v>
      </c>
      <c r="J192" s="40" t="s">
        <v>14</v>
      </c>
      <c r="K192" s="42" t="s">
        <v>6186</v>
      </c>
      <c r="L192" s="42" t="s">
        <v>6186</v>
      </c>
      <c r="M192" s="42" t="s">
        <v>6186</v>
      </c>
      <c r="N192" s="42" t="s">
        <v>6186</v>
      </c>
      <c r="O192" s="42" t="s">
        <v>6186</v>
      </c>
      <c r="P192" s="42" t="s">
        <v>6186</v>
      </c>
    </row>
    <row r="193" spans="1:16" x14ac:dyDescent="0.15">
      <c r="A193" s="42" t="s">
        <v>6216</v>
      </c>
      <c r="B193" s="40" t="s">
        <v>11</v>
      </c>
      <c r="C193" s="42" t="s">
        <v>6192</v>
      </c>
      <c r="D193" s="43"/>
      <c r="E193" s="43"/>
      <c r="F193" s="42" t="s">
        <v>6218</v>
      </c>
      <c r="G193" s="43"/>
      <c r="H193" s="43" t="s">
        <v>6186</v>
      </c>
      <c r="I193" s="42" t="s">
        <v>6219</v>
      </c>
      <c r="J193" s="40" t="s">
        <v>13</v>
      </c>
      <c r="K193" s="43" t="s">
        <v>6186</v>
      </c>
      <c r="L193" s="43" t="s">
        <v>6186</v>
      </c>
      <c r="M193" s="43" t="s">
        <v>6186</v>
      </c>
      <c r="N193" s="43" t="s">
        <v>6186</v>
      </c>
      <c r="O193" s="43" t="s">
        <v>6186</v>
      </c>
      <c r="P193" s="43" t="s">
        <v>6186</v>
      </c>
    </row>
    <row r="194" spans="1:16" x14ac:dyDescent="0.15">
      <c r="A194" s="42" t="s">
        <v>6220</v>
      </c>
      <c r="B194" s="40" t="s">
        <v>14</v>
      </c>
      <c r="C194" s="42" t="s">
        <v>6260</v>
      </c>
      <c r="D194" s="43"/>
      <c r="E194" s="43"/>
      <c r="F194" s="42" t="s">
        <v>6118</v>
      </c>
      <c r="G194" s="43"/>
      <c r="H194" s="43" t="s">
        <v>6186</v>
      </c>
      <c r="I194" s="42" t="s">
        <v>6221</v>
      </c>
      <c r="J194" s="40" t="s">
        <v>15</v>
      </c>
      <c r="K194" s="43" t="s">
        <v>6186</v>
      </c>
      <c r="L194" s="43" t="s">
        <v>6186</v>
      </c>
      <c r="M194" s="43" t="s">
        <v>6186</v>
      </c>
      <c r="N194" s="43" t="s">
        <v>6186</v>
      </c>
      <c r="O194" s="43" t="s">
        <v>6186</v>
      </c>
      <c r="P194" s="43" t="s">
        <v>6186</v>
      </c>
    </row>
    <row r="195" spans="1:16" x14ac:dyDescent="0.15">
      <c r="A195" s="42" t="s">
        <v>6222</v>
      </c>
      <c r="B195" s="40" t="s">
        <v>13</v>
      </c>
      <c r="C195" s="42" t="s">
        <v>6209</v>
      </c>
      <c r="D195" s="43" t="s">
        <v>6186</v>
      </c>
      <c r="E195" s="43" t="s">
        <v>6186</v>
      </c>
      <c r="F195" s="42" t="s">
        <v>6223</v>
      </c>
      <c r="G195" s="43" t="s">
        <v>6186</v>
      </c>
      <c r="H195" s="43" t="s">
        <v>6186</v>
      </c>
      <c r="I195" s="42" t="s">
        <v>6224</v>
      </c>
      <c r="J195" s="40" t="s">
        <v>16</v>
      </c>
      <c r="K195" s="43" t="s">
        <v>6186</v>
      </c>
      <c r="L195" s="43" t="s">
        <v>6186</v>
      </c>
      <c r="M195" s="43" t="s">
        <v>6186</v>
      </c>
      <c r="N195" s="43" t="s">
        <v>6186</v>
      </c>
      <c r="O195" s="43" t="s">
        <v>6186</v>
      </c>
      <c r="P195" s="43" t="s">
        <v>6186</v>
      </c>
    </row>
    <row r="196" spans="1:16" x14ac:dyDescent="0.15">
      <c r="A196" s="42" t="s">
        <v>6225</v>
      </c>
      <c r="B196" s="40" t="s">
        <v>15</v>
      </c>
      <c r="C196" s="42" t="s">
        <v>6244</v>
      </c>
      <c r="D196" s="43" t="s">
        <v>6186</v>
      </c>
      <c r="E196" s="43" t="s">
        <v>6186</v>
      </c>
      <c r="F196" s="42" t="s">
        <v>6278</v>
      </c>
      <c r="G196" s="43" t="s">
        <v>6186</v>
      </c>
      <c r="H196" s="43" t="s">
        <v>6186</v>
      </c>
      <c r="I196" s="42" t="s">
        <v>6227</v>
      </c>
      <c r="J196" s="40" t="s">
        <v>17</v>
      </c>
      <c r="K196" s="43" t="s">
        <v>6186</v>
      </c>
      <c r="L196" s="43" t="s">
        <v>6186</v>
      </c>
      <c r="M196" s="43" t="s">
        <v>6186</v>
      </c>
      <c r="N196" s="43" t="s">
        <v>6186</v>
      </c>
      <c r="O196" s="43" t="s">
        <v>6186</v>
      </c>
      <c r="P196" s="43" t="s">
        <v>6186</v>
      </c>
    </row>
    <row r="197" spans="1:16" x14ac:dyDescent="0.15">
      <c r="A197" s="42" t="s">
        <v>6228</v>
      </c>
      <c r="B197" s="40" t="s">
        <v>16</v>
      </c>
      <c r="C197" s="42" t="s">
        <v>6192</v>
      </c>
      <c r="D197" s="43" t="s">
        <v>6186</v>
      </c>
      <c r="E197" s="43" t="s">
        <v>6186</v>
      </c>
      <c r="F197" s="42" t="s">
        <v>6229</v>
      </c>
      <c r="G197" s="43" t="s">
        <v>6186</v>
      </c>
      <c r="H197" s="43" t="s">
        <v>6186</v>
      </c>
      <c r="I197" s="42" t="s">
        <v>6230</v>
      </c>
      <c r="J197" s="40" t="s">
        <v>18</v>
      </c>
      <c r="K197" s="43" t="s">
        <v>6186</v>
      </c>
      <c r="L197" s="43" t="s">
        <v>6186</v>
      </c>
      <c r="M197" s="43" t="s">
        <v>6186</v>
      </c>
      <c r="N197" s="43" t="s">
        <v>6186</v>
      </c>
      <c r="O197" s="43" t="s">
        <v>6186</v>
      </c>
      <c r="P197" s="43" t="s">
        <v>6186</v>
      </c>
    </row>
    <row r="198" spans="1:16" x14ac:dyDescent="0.15">
      <c r="A198" s="42" t="s">
        <v>6231</v>
      </c>
      <c r="B198" s="40" t="s">
        <v>17</v>
      </c>
      <c r="C198" s="42" t="s">
        <v>6232</v>
      </c>
      <c r="D198" s="43" t="s">
        <v>6186</v>
      </c>
      <c r="E198" s="43" t="s">
        <v>6186</v>
      </c>
      <c r="F198" s="42" t="s">
        <v>6233</v>
      </c>
      <c r="G198" s="43" t="s">
        <v>6186</v>
      </c>
      <c r="H198" s="43" t="s">
        <v>6186</v>
      </c>
      <c r="I198" s="42" t="s">
        <v>6234</v>
      </c>
      <c r="J198" s="40" t="s">
        <v>11</v>
      </c>
      <c r="K198" s="43" t="s">
        <v>6186</v>
      </c>
      <c r="L198" s="43" t="s">
        <v>6186</v>
      </c>
      <c r="M198" s="43" t="s">
        <v>6186</v>
      </c>
      <c r="N198" s="43" t="s">
        <v>6186</v>
      </c>
      <c r="O198" s="43" t="s">
        <v>6186</v>
      </c>
      <c r="P198" s="43" t="s">
        <v>6186</v>
      </c>
    </row>
    <row r="199" spans="1:16" x14ac:dyDescent="0.15">
      <c r="A199" s="42" t="s">
        <v>6235</v>
      </c>
      <c r="B199" s="40" t="s">
        <v>18</v>
      </c>
      <c r="C199" s="42" t="s">
        <v>6244</v>
      </c>
      <c r="D199" s="43" t="s">
        <v>6186</v>
      </c>
      <c r="E199" s="43" t="s">
        <v>6186</v>
      </c>
      <c r="F199" s="42" t="s">
        <v>6236</v>
      </c>
      <c r="G199" s="43" t="s">
        <v>6186</v>
      </c>
      <c r="H199" s="43" t="s">
        <v>6186</v>
      </c>
      <c r="I199" s="42" t="s">
        <v>12</v>
      </c>
      <c r="J199" s="42" t="s">
        <v>12</v>
      </c>
      <c r="K199" s="42" t="s">
        <v>12</v>
      </c>
      <c r="L199" s="42" t="s">
        <v>12</v>
      </c>
      <c r="M199" s="42" t="s">
        <v>12</v>
      </c>
      <c r="N199" s="42" t="s">
        <v>12</v>
      </c>
      <c r="O199" s="42" t="s">
        <v>12</v>
      </c>
      <c r="P199" s="42" t="s">
        <v>12</v>
      </c>
    </row>
    <row r="200" spans="1:16" x14ac:dyDescent="0.15">
      <c r="A200" s="56"/>
      <c r="B200" s="57"/>
      <c r="C200" s="58"/>
      <c r="D200" s="58"/>
      <c r="E200" s="58"/>
      <c r="F200" s="58"/>
      <c r="G200" s="59"/>
      <c r="H200" s="59"/>
      <c r="I200" s="60"/>
      <c r="J200" s="57"/>
      <c r="K200" s="61"/>
      <c r="L200" s="61"/>
      <c r="M200" s="131" t="s">
        <v>6237</v>
      </c>
      <c r="N200" s="131"/>
      <c r="O200" s="131"/>
      <c r="P200" s="131"/>
    </row>
    <row r="201" spans="1:16" x14ac:dyDescent="0.15">
      <c r="A201" s="34"/>
    </row>
    <row r="202" spans="1:16" x14ac:dyDescent="0.15">
      <c r="A202" s="34"/>
    </row>
    <row r="203" spans="1:16" x14ac:dyDescent="0.15">
      <c r="A203" s="35"/>
      <c r="B203" s="36"/>
    </row>
    <row r="204" spans="1:16" x14ac:dyDescent="0.15">
      <c r="A204" s="124" t="s">
        <v>6178</v>
      </c>
      <c r="B204" s="125"/>
      <c r="C204" s="125"/>
      <c r="D204" s="126"/>
      <c r="E204" s="124" t="s">
        <v>6279</v>
      </c>
      <c r="F204" s="125"/>
      <c r="G204" s="126"/>
      <c r="H204" s="124" t="s">
        <v>6280</v>
      </c>
      <c r="I204" s="126"/>
      <c r="J204" s="125" t="s">
        <v>6181</v>
      </c>
      <c r="K204" s="125"/>
      <c r="L204" s="126"/>
      <c r="M204" s="124" t="s">
        <v>6182</v>
      </c>
      <c r="N204" s="125"/>
      <c r="O204" s="125"/>
      <c r="P204" s="126"/>
    </row>
    <row r="205" spans="1:16" x14ac:dyDescent="0.15">
      <c r="A205" s="124" t="s">
        <v>6183</v>
      </c>
      <c r="B205" s="125"/>
      <c r="C205" s="125"/>
      <c r="D205" s="125"/>
      <c r="E205" s="125"/>
      <c r="F205" s="125"/>
      <c r="G205" s="125"/>
      <c r="H205" s="125"/>
      <c r="I205" s="125"/>
      <c r="J205" s="125"/>
      <c r="K205" s="125"/>
      <c r="L205" s="125"/>
      <c r="M205" s="125"/>
      <c r="N205" s="125"/>
      <c r="O205" s="125"/>
      <c r="P205" s="126"/>
    </row>
    <row r="206" spans="1:16" x14ac:dyDescent="0.15">
      <c r="A206" s="124" t="s">
        <v>6184</v>
      </c>
      <c r="B206" s="125"/>
      <c r="C206" s="125"/>
      <c r="D206" s="125"/>
      <c r="E206" s="125"/>
      <c r="F206" s="125"/>
      <c r="G206" s="125"/>
      <c r="H206" s="125"/>
      <c r="I206" s="125"/>
      <c r="J206" s="125"/>
      <c r="K206" s="125"/>
      <c r="L206" s="125"/>
      <c r="M206" s="125"/>
      <c r="N206" s="125"/>
      <c r="O206" s="125"/>
      <c r="P206" s="126"/>
    </row>
    <row r="207" spans="1:16" x14ac:dyDescent="0.15">
      <c r="A207" s="37"/>
      <c r="B207" s="38"/>
      <c r="C207" s="127" t="s">
        <v>4</v>
      </c>
      <c r="D207" s="128"/>
      <c r="E207" s="129" t="s">
        <v>5</v>
      </c>
      <c r="F207" s="130"/>
      <c r="G207" s="129" t="s">
        <v>6</v>
      </c>
      <c r="H207" s="130"/>
      <c r="I207" s="38"/>
      <c r="J207" s="38"/>
      <c r="K207" s="127" t="s">
        <v>4</v>
      </c>
      <c r="L207" s="128"/>
      <c r="M207" s="129" t="s">
        <v>5</v>
      </c>
      <c r="N207" s="130"/>
      <c r="O207" s="129" t="s">
        <v>6</v>
      </c>
      <c r="P207" s="130"/>
    </row>
    <row r="208" spans="1:16" ht="24" x14ac:dyDescent="0.15">
      <c r="A208" s="39" t="s">
        <v>7</v>
      </c>
      <c r="B208" s="40" t="s">
        <v>8</v>
      </c>
      <c r="C208" s="41" t="s">
        <v>9</v>
      </c>
      <c r="D208" s="41" t="s">
        <v>10</v>
      </c>
      <c r="E208" s="41" t="s">
        <v>9</v>
      </c>
      <c r="F208" s="41" t="s">
        <v>10</v>
      </c>
      <c r="G208" s="41" t="s">
        <v>9</v>
      </c>
      <c r="H208" s="41" t="s">
        <v>10</v>
      </c>
      <c r="I208" s="48" t="s">
        <v>7</v>
      </c>
      <c r="J208" s="40" t="s">
        <v>8</v>
      </c>
      <c r="K208" s="41" t="s">
        <v>9</v>
      </c>
      <c r="L208" s="41" t="s">
        <v>10</v>
      </c>
      <c r="M208" s="41" t="s">
        <v>9</v>
      </c>
      <c r="N208" s="41" t="s">
        <v>10</v>
      </c>
      <c r="O208" s="41" t="s">
        <v>9</v>
      </c>
      <c r="P208" s="41" t="s">
        <v>10</v>
      </c>
    </row>
    <row r="209" spans="1:16" x14ac:dyDescent="0.15">
      <c r="A209" s="42" t="s">
        <v>6185</v>
      </c>
      <c r="B209" s="40" t="s">
        <v>17</v>
      </c>
      <c r="C209" s="42" t="s">
        <v>6196</v>
      </c>
      <c r="D209" s="43"/>
      <c r="E209" s="43"/>
      <c r="F209" s="42" t="s">
        <v>6241</v>
      </c>
      <c r="G209" s="43" t="s">
        <v>6186</v>
      </c>
      <c r="H209" s="43" t="s">
        <v>6186</v>
      </c>
      <c r="I209" s="42" t="s">
        <v>6187</v>
      </c>
      <c r="J209" s="40" t="s">
        <v>11</v>
      </c>
      <c r="K209" s="42"/>
      <c r="L209" s="43"/>
      <c r="M209" s="43"/>
      <c r="N209" s="42"/>
      <c r="O209" s="43" t="s">
        <v>6186</v>
      </c>
      <c r="P209" s="43" t="s">
        <v>6186</v>
      </c>
    </row>
    <row r="210" spans="1:16" x14ac:dyDescent="0.15">
      <c r="A210" s="42" t="s">
        <v>6190</v>
      </c>
      <c r="B210" s="40" t="s">
        <v>18</v>
      </c>
      <c r="C210" s="42" t="s">
        <v>6232</v>
      </c>
      <c r="D210" s="43"/>
      <c r="E210" s="43"/>
      <c r="F210" s="42" t="s">
        <v>6242</v>
      </c>
      <c r="G210" s="43" t="s">
        <v>6186</v>
      </c>
      <c r="H210" s="43" t="s">
        <v>6186</v>
      </c>
      <c r="I210" s="42" t="s">
        <v>6191</v>
      </c>
      <c r="J210" s="40" t="s">
        <v>14</v>
      </c>
      <c r="K210" s="42" t="s">
        <v>6196</v>
      </c>
      <c r="L210" s="43" t="s">
        <v>6186</v>
      </c>
      <c r="M210" s="43" t="s">
        <v>6186</v>
      </c>
      <c r="N210" s="42" t="s">
        <v>6193</v>
      </c>
      <c r="O210" s="43" t="s">
        <v>6186</v>
      </c>
      <c r="P210" s="43" t="s">
        <v>6186</v>
      </c>
    </row>
    <row r="211" spans="1:16" x14ac:dyDescent="0.15">
      <c r="A211" s="42" t="s">
        <v>6194</v>
      </c>
      <c r="B211" s="40" t="s">
        <v>11</v>
      </c>
      <c r="C211" s="42" t="s">
        <v>6244</v>
      </c>
      <c r="D211" s="43"/>
      <c r="E211" s="43"/>
      <c r="F211" s="42" t="s">
        <v>6243</v>
      </c>
      <c r="G211" s="43" t="s">
        <v>6186</v>
      </c>
      <c r="H211" s="43" t="s">
        <v>6186</v>
      </c>
      <c r="I211" s="42" t="s">
        <v>6195</v>
      </c>
      <c r="J211" s="40" t="s">
        <v>13</v>
      </c>
      <c r="K211" s="42" t="s">
        <v>6232</v>
      </c>
      <c r="L211" s="43" t="s">
        <v>6186</v>
      </c>
      <c r="M211" s="43" t="s">
        <v>6186</v>
      </c>
      <c r="N211" s="42" t="s">
        <v>6197</v>
      </c>
      <c r="O211" s="43" t="s">
        <v>6186</v>
      </c>
      <c r="P211" s="43" t="s">
        <v>6186</v>
      </c>
    </row>
    <row r="212" spans="1:16" x14ac:dyDescent="0.15">
      <c r="A212" s="42" t="s">
        <v>6198</v>
      </c>
      <c r="B212" s="40" t="s">
        <v>14</v>
      </c>
      <c r="C212" s="42" t="s">
        <v>6196</v>
      </c>
      <c r="D212" s="43"/>
      <c r="E212" s="43"/>
      <c r="F212" s="42" t="s">
        <v>6246</v>
      </c>
      <c r="G212" s="43" t="s">
        <v>6186</v>
      </c>
      <c r="H212" s="43" t="s">
        <v>6186</v>
      </c>
      <c r="I212" s="42" t="s">
        <v>6199</v>
      </c>
      <c r="J212" s="40" t="s">
        <v>15</v>
      </c>
      <c r="K212" s="42"/>
      <c r="L212" s="43"/>
      <c r="M212" s="43"/>
      <c r="N212" s="42"/>
      <c r="O212" s="43"/>
      <c r="P212" s="43" t="s">
        <v>6186</v>
      </c>
    </row>
    <row r="213" spans="1:16" x14ac:dyDescent="0.15">
      <c r="A213" s="42" t="s">
        <v>6202</v>
      </c>
      <c r="B213" s="40" t="s">
        <v>13</v>
      </c>
      <c r="C213" s="42" t="s">
        <v>6244</v>
      </c>
      <c r="D213" s="43"/>
      <c r="E213" s="43"/>
      <c r="F213" s="42" t="s">
        <v>6247</v>
      </c>
      <c r="G213" s="43" t="s">
        <v>6186</v>
      </c>
      <c r="H213" s="43" t="s">
        <v>6186</v>
      </c>
      <c r="I213" s="42" t="s">
        <v>6203</v>
      </c>
      <c r="J213" s="40" t="s">
        <v>16</v>
      </c>
      <c r="K213" s="43" t="s">
        <v>6186</v>
      </c>
      <c r="L213" s="43" t="s">
        <v>6186</v>
      </c>
      <c r="M213" s="43" t="s">
        <v>6186</v>
      </c>
      <c r="N213" s="43" t="s">
        <v>6186</v>
      </c>
      <c r="O213" s="43" t="s">
        <v>6186</v>
      </c>
      <c r="P213" s="43" t="s">
        <v>6186</v>
      </c>
    </row>
    <row r="214" spans="1:16" x14ac:dyDescent="0.15">
      <c r="A214" s="42" t="s">
        <v>6204</v>
      </c>
      <c r="B214" s="40" t="s">
        <v>15</v>
      </c>
      <c r="C214" s="43" t="s">
        <v>6186</v>
      </c>
      <c r="D214" s="43" t="s">
        <v>6186</v>
      </c>
      <c r="E214" s="43" t="s">
        <v>6186</v>
      </c>
      <c r="F214" s="43" t="s">
        <v>6186</v>
      </c>
      <c r="G214" s="43" t="s">
        <v>6186</v>
      </c>
      <c r="H214" s="43" t="s">
        <v>6186</v>
      </c>
      <c r="I214" s="42" t="s">
        <v>6205</v>
      </c>
      <c r="J214" s="40" t="s">
        <v>17</v>
      </c>
      <c r="K214" s="43" t="s">
        <v>6186</v>
      </c>
      <c r="L214" s="43" t="s">
        <v>6186</v>
      </c>
      <c r="M214" s="43" t="s">
        <v>6186</v>
      </c>
      <c r="N214" s="43" t="s">
        <v>6186</v>
      </c>
      <c r="O214" s="43" t="s">
        <v>6186</v>
      </c>
      <c r="P214" s="43" t="s">
        <v>6186</v>
      </c>
    </row>
    <row r="215" spans="1:16" x14ac:dyDescent="0.15">
      <c r="A215" s="42" t="s">
        <v>6206</v>
      </c>
      <c r="B215" s="40" t="s">
        <v>16</v>
      </c>
      <c r="C215" s="43" t="s">
        <v>6186</v>
      </c>
      <c r="D215" s="43" t="s">
        <v>6186</v>
      </c>
      <c r="E215" s="43" t="s">
        <v>6186</v>
      </c>
      <c r="F215" s="43" t="s">
        <v>6186</v>
      </c>
      <c r="G215" s="43" t="s">
        <v>6186</v>
      </c>
      <c r="H215" s="43" t="s">
        <v>6186</v>
      </c>
      <c r="I215" s="42" t="s">
        <v>6207</v>
      </c>
      <c r="J215" s="40" t="s">
        <v>18</v>
      </c>
      <c r="K215" s="43" t="s">
        <v>6186</v>
      </c>
      <c r="L215" s="43" t="s">
        <v>6186</v>
      </c>
      <c r="M215" s="43" t="s">
        <v>6186</v>
      </c>
      <c r="N215" s="43" t="s">
        <v>6186</v>
      </c>
      <c r="O215" s="43" t="s">
        <v>6186</v>
      </c>
      <c r="P215" s="43" t="s">
        <v>6186</v>
      </c>
    </row>
    <row r="216" spans="1:16" x14ac:dyDescent="0.15">
      <c r="A216" s="42" t="s">
        <v>6208</v>
      </c>
      <c r="B216" s="40" t="s">
        <v>17</v>
      </c>
      <c r="C216" s="43" t="s">
        <v>6186</v>
      </c>
      <c r="D216" s="43" t="s">
        <v>6186</v>
      </c>
      <c r="E216" s="43" t="s">
        <v>6186</v>
      </c>
      <c r="F216" s="43" t="s">
        <v>6186</v>
      </c>
      <c r="G216" s="43" t="s">
        <v>6186</v>
      </c>
      <c r="H216" s="43" t="s">
        <v>6186</v>
      </c>
      <c r="I216" s="42" t="s">
        <v>6211</v>
      </c>
      <c r="J216" s="40" t="s">
        <v>11</v>
      </c>
      <c r="K216" s="43" t="s">
        <v>6186</v>
      </c>
      <c r="L216" s="43" t="s">
        <v>6186</v>
      </c>
      <c r="M216" s="43" t="s">
        <v>6186</v>
      </c>
      <c r="N216" s="43" t="s">
        <v>6186</v>
      </c>
      <c r="O216" s="43" t="s">
        <v>6186</v>
      </c>
      <c r="P216" s="43" t="s">
        <v>6186</v>
      </c>
    </row>
    <row r="217" spans="1:16" x14ac:dyDescent="0.15">
      <c r="A217" s="42" t="s">
        <v>6212</v>
      </c>
      <c r="B217" s="40" t="s">
        <v>18</v>
      </c>
      <c r="C217" s="43" t="s">
        <v>6186</v>
      </c>
      <c r="D217" s="43" t="s">
        <v>6186</v>
      </c>
      <c r="E217" s="43" t="s">
        <v>6186</v>
      </c>
      <c r="F217" s="43" t="s">
        <v>6186</v>
      </c>
      <c r="G217" s="43" t="s">
        <v>6186</v>
      </c>
      <c r="H217" s="43" t="s">
        <v>6186</v>
      </c>
      <c r="I217" s="42" t="s">
        <v>6215</v>
      </c>
      <c r="J217" s="40" t="s">
        <v>14</v>
      </c>
      <c r="K217" s="43" t="s">
        <v>6186</v>
      </c>
      <c r="L217" s="43" t="s">
        <v>6186</v>
      </c>
      <c r="M217" s="43" t="s">
        <v>6186</v>
      </c>
      <c r="N217" s="43" t="s">
        <v>6186</v>
      </c>
      <c r="O217" s="43" t="s">
        <v>6186</v>
      </c>
      <c r="P217" s="43" t="s">
        <v>6186</v>
      </c>
    </row>
    <row r="218" spans="1:16" x14ac:dyDescent="0.15">
      <c r="A218" s="42" t="s">
        <v>6216</v>
      </c>
      <c r="B218" s="40" t="s">
        <v>11</v>
      </c>
      <c r="C218" s="43" t="s">
        <v>6186</v>
      </c>
      <c r="D218" s="43" t="s">
        <v>6186</v>
      </c>
      <c r="E218" s="43" t="s">
        <v>6186</v>
      </c>
      <c r="F218" s="43" t="s">
        <v>6186</v>
      </c>
      <c r="G218" s="43" t="s">
        <v>6186</v>
      </c>
      <c r="H218" s="43" t="s">
        <v>6186</v>
      </c>
      <c r="I218" s="42" t="s">
        <v>6219</v>
      </c>
      <c r="J218" s="40" t="s">
        <v>13</v>
      </c>
      <c r="K218" s="43" t="s">
        <v>6186</v>
      </c>
      <c r="L218" s="43" t="s">
        <v>6186</v>
      </c>
      <c r="M218" s="43" t="s">
        <v>6186</v>
      </c>
      <c r="N218" s="43" t="s">
        <v>6186</v>
      </c>
      <c r="O218" s="43" t="s">
        <v>6186</v>
      </c>
      <c r="P218" s="43" t="s">
        <v>6186</v>
      </c>
    </row>
    <row r="219" spans="1:16" x14ac:dyDescent="0.15">
      <c r="A219" s="42" t="s">
        <v>6220</v>
      </c>
      <c r="B219" s="40" t="s">
        <v>14</v>
      </c>
      <c r="C219" s="43" t="s">
        <v>6186</v>
      </c>
      <c r="D219" s="43" t="s">
        <v>6186</v>
      </c>
      <c r="E219" s="43" t="s">
        <v>6186</v>
      </c>
      <c r="F219" s="43" t="s">
        <v>6186</v>
      </c>
      <c r="G219" s="43" t="s">
        <v>6186</v>
      </c>
      <c r="H219" s="43" t="s">
        <v>6186</v>
      </c>
      <c r="I219" s="42" t="s">
        <v>6221</v>
      </c>
      <c r="J219" s="40" t="s">
        <v>15</v>
      </c>
      <c r="K219" s="43" t="s">
        <v>6186</v>
      </c>
      <c r="L219" s="43" t="s">
        <v>6186</v>
      </c>
      <c r="M219" s="43" t="s">
        <v>6186</v>
      </c>
      <c r="N219" s="43" t="s">
        <v>6186</v>
      </c>
      <c r="O219" s="43" t="s">
        <v>6186</v>
      </c>
      <c r="P219" s="43" t="s">
        <v>6186</v>
      </c>
    </row>
    <row r="220" spans="1:16" x14ac:dyDescent="0.15">
      <c r="A220" s="42" t="s">
        <v>6222</v>
      </c>
      <c r="B220" s="40" t="s">
        <v>13</v>
      </c>
      <c r="C220" s="42" t="s">
        <v>6188</v>
      </c>
      <c r="D220" s="43" t="s">
        <v>6186</v>
      </c>
      <c r="E220" s="43" t="s">
        <v>6186</v>
      </c>
      <c r="F220" s="42" t="s">
        <v>6223</v>
      </c>
      <c r="G220" s="43" t="s">
        <v>6186</v>
      </c>
      <c r="H220" s="43" t="s">
        <v>6186</v>
      </c>
      <c r="I220" s="42" t="s">
        <v>6224</v>
      </c>
      <c r="J220" s="40" t="s">
        <v>16</v>
      </c>
      <c r="K220" s="43" t="s">
        <v>6186</v>
      </c>
      <c r="L220" s="43" t="s">
        <v>6186</v>
      </c>
      <c r="M220" s="43" t="s">
        <v>6186</v>
      </c>
      <c r="N220" s="43" t="s">
        <v>6186</v>
      </c>
      <c r="O220" s="43" t="s">
        <v>6186</v>
      </c>
      <c r="P220" s="43" t="s">
        <v>6186</v>
      </c>
    </row>
    <row r="221" spans="1:16" x14ac:dyDescent="0.15">
      <c r="A221" s="42" t="s">
        <v>6225</v>
      </c>
      <c r="B221" s="40" t="s">
        <v>15</v>
      </c>
      <c r="C221" s="42" t="s">
        <v>6232</v>
      </c>
      <c r="D221" s="43" t="s">
        <v>6186</v>
      </c>
      <c r="E221" s="43" t="s">
        <v>6186</v>
      </c>
      <c r="F221" s="42" t="s">
        <v>6252</v>
      </c>
      <c r="G221" s="43" t="s">
        <v>6186</v>
      </c>
      <c r="H221" s="43" t="s">
        <v>6186</v>
      </c>
      <c r="I221" s="42" t="s">
        <v>6227</v>
      </c>
      <c r="J221" s="40" t="s">
        <v>17</v>
      </c>
      <c r="K221" s="43" t="s">
        <v>6186</v>
      </c>
      <c r="L221" s="43" t="s">
        <v>6186</v>
      </c>
      <c r="M221" s="43" t="s">
        <v>6186</v>
      </c>
      <c r="N221" s="43" t="s">
        <v>6186</v>
      </c>
      <c r="O221" s="43" t="s">
        <v>6186</v>
      </c>
      <c r="P221" s="43" t="s">
        <v>6186</v>
      </c>
    </row>
    <row r="222" spans="1:16" x14ac:dyDescent="0.15">
      <c r="A222" s="42" t="s">
        <v>6228</v>
      </c>
      <c r="B222" s="40" t="s">
        <v>16</v>
      </c>
      <c r="C222" s="42" t="s">
        <v>6217</v>
      </c>
      <c r="D222" s="43" t="s">
        <v>6186</v>
      </c>
      <c r="E222" s="43" t="s">
        <v>6186</v>
      </c>
      <c r="F222" s="42" t="s">
        <v>6229</v>
      </c>
      <c r="G222" s="43" t="s">
        <v>6186</v>
      </c>
      <c r="H222" s="43" t="s">
        <v>6186</v>
      </c>
      <c r="I222" s="42" t="s">
        <v>6230</v>
      </c>
      <c r="J222" s="40" t="s">
        <v>18</v>
      </c>
      <c r="K222" s="43" t="s">
        <v>6186</v>
      </c>
      <c r="L222" s="43" t="s">
        <v>6186</v>
      </c>
      <c r="M222" s="43" t="s">
        <v>6186</v>
      </c>
      <c r="N222" s="43" t="s">
        <v>6186</v>
      </c>
      <c r="O222" s="43" t="s">
        <v>6186</v>
      </c>
      <c r="P222" s="43" t="s">
        <v>6186</v>
      </c>
    </row>
    <row r="223" spans="1:16" x14ac:dyDescent="0.15">
      <c r="A223" s="42" t="s">
        <v>6231</v>
      </c>
      <c r="B223" s="40" t="s">
        <v>17</v>
      </c>
      <c r="C223" s="42" t="s">
        <v>6245</v>
      </c>
      <c r="D223" s="43" t="s">
        <v>6186</v>
      </c>
      <c r="E223" s="43" t="s">
        <v>6186</v>
      </c>
      <c r="F223" s="42" t="s">
        <v>6233</v>
      </c>
      <c r="G223" s="43" t="s">
        <v>6186</v>
      </c>
      <c r="H223" s="43" t="s">
        <v>6186</v>
      </c>
      <c r="I223" s="42" t="s">
        <v>6234</v>
      </c>
      <c r="J223" s="40" t="s">
        <v>11</v>
      </c>
      <c r="K223" s="43" t="s">
        <v>6186</v>
      </c>
      <c r="L223" s="43" t="s">
        <v>6186</v>
      </c>
      <c r="M223" s="43" t="s">
        <v>6186</v>
      </c>
      <c r="N223" s="43" t="s">
        <v>6186</v>
      </c>
      <c r="O223" s="43" t="s">
        <v>6186</v>
      </c>
      <c r="P223" s="43" t="s">
        <v>6186</v>
      </c>
    </row>
    <row r="224" spans="1:16" x14ac:dyDescent="0.15">
      <c r="A224" s="42" t="s">
        <v>6235</v>
      </c>
      <c r="B224" s="40" t="s">
        <v>18</v>
      </c>
      <c r="C224" s="42" t="s">
        <v>6188</v>
      </c>
      <c r="D224" s="43" t="s">
        <v>6186</v>
      </c>
      <c r="E224" s="43" t="s">
        <v>6186</v>
      </c>
      <c r="F224" s="42" t="s">
        <v>6236</v>
      </c>
      <c r="G224" s="43" t="s">
        <v>6186</v>
      </c>
      <c r="H224" s="43" t="s">
        <v>6186</v>
      </c>
      <c r="I224" s="42" t="s">
        <v>12</v>
      </c>
      <c r="J224" s="42" t="s">
        <v>12</v>
      </c>
      <c r="K224" s="42" t="s">
        <v>12</v>
      </c>
      <c r="L224" s="42" t="s">
        <v>12</v>
      </c>
      <c r="M224" s="42" t="s">
        <v>12</v>
      </c>
      <c r="N224" s="42" t="s">
        <v>12</v>
      </c>
      <c r="O224" s="42" t="s">
        <v>12</v>
      </c>
      <c r="P224" s="42" t="s">
        <v>12</v>
      </c>
    </row>
    <row r="225" spans="1:16" x14ac:dyDescent="0.15">
      <c r="A225" s="35"/>
      <c r="C225" s="46"/>
      <c r="D225" s="46"/>
      <c r="E225" s="46"/>
      <c r="F225" s="46"/>
      <c r="G225" s="47"/>
      <c r="H225" s="47"/>
      <c r="I225" s="36"/>
      <c r="M225" s="131" t="s">
        <v>6237</v>
      </c>
      <c r="N225" s="131"/>
      <c r="O225" s="131"/>
      <c r="P225" s="131"/>
    </row>
    <row r="226" spans="1:16" x14ac:dyDescent="0.15">
      <c r="A226" s="34"/>
    </row>
    <row r="227" spans="1:16" x14ac:dyDescent="0.15">
      <c r="A227" s="34"/>
    </row>
    <row r="228" spans="1:16" x14ac:dyDescent="0.15">
      <c r="A228" s="35"/>
      <c r="B228" s="36"/>
    </row>
    <row r="229" spans="1:16" x14ac:dyDescent="0.15">
      <c r="A229" s="124" t="s">
        <v>6178</v>
      </c>
      <c r="B229" s="125"/>
      <c r="C229" s="125"/>
      <c r="D229" s="126"/>
      <c r="E229" s="124" t="s">
        <v>6281</v>
      </c>
      <c r="F229" s="125"/>
      <c r="G229" s="126"/>
      <c r="H229" s="124" t="s">
        <v>6282</v>
      </c>
      <c r="I229" s="126"/>
      <c r="J229" s="125" t="s">
        <v>6181</v>
      </c>
      <c r="K229" s="125"/>
      <c r="L229" s="126"/>
      <c r="M229" s="124" t="s">
        <v>6182</v>
      </c>
      <c r="N229" s="125"/>
      <c r="O229" s="125"/>
      <c r="P229" s="126"/>
    </row>
    <row r="230" spans="1:16" x14ac:dyDescent="0.15">
      <c r="A230" s="124" t="s">
        <v>6240</v>
      </c>
      <c r="B230" s="125"/>
      <c r="C230" s="125"/>
      <c r="D230" s="125"/>
      <c r="E230" s="125"/>
      <c r="F230" s="125"/>
      <c r="G230" s="125"/>
      <c r="H230" s="125"/>
      <c r="I230" s="125"/>
      <c r="J230" s="125"/>
      <c r="K230" s="125"/>
      <c r="L230" s="125"/>
      <c r="M230" s="125"/>
      <c r="N230" s="125"/>
      <c r="O230" s="125"/>
      <c r="P230" s="126"/>
    </row>
    <row r="231" spans="1:16" x14ac:dyDescent="0.15">
      <c r="A231" s="124" t="s">
        <v>6184</v>
      </c>
      <c r="B231" s="125"/>
      <c r="C231" s="125"/>
      <c r="D231" s="125"/>
      <c r="E231" s="125"/>
      <c r="F231" s="125"/>
      <c r="G231" s="125"/>
      <c r="H231" s="125"/>
      <c r="I231" s="125"/>
      <c r="J231" s="125"/>
      <c r="K231" s="125"/>
      <c r="L231" s="125"/>
      <c r="M231" s="125"/>
      <c r="N231" s="125"/>
      <c r="O231" s="125"/>
      <c r="P231" s="126"/>
    </row>
    <row r="232" spans="1:16" x14ac:dyDescent="0.15">
      <c r="A232" s="37"/>
      <c r="B232" s="38"/>
      <c r="C232" s="127" t="s">
        <v>4</v>
      </c>
      <c r="D232" s="128"/>
      <c r="E232" s="129" t="s">
        <v>5</v>
      </c>
      <c r="F232" s="130"/>
      <c r="G232" s="129" t="s">
        <v>6</v>
      </c>
      <c r="H232" s="130"/>
      <c r="I232" s="38"/>
      <c r="J232" s="38"/>
      <c r="K232" s="127" t="s">
        <v>4</v>
      </c>
      <c r="L232" s="128"/>
      <c r="M232" s="129" t="s">
        <v>5</v>
      </c>
      <c r="N232" s="130"/>
      <c r="O232" s="129" t="s">
        <v>6</v>
      </c>
      <c r="P232" s="130"/>
    </row>
    <row r="233" spans="1:16" ht="24" x14ac:dyDescent="0.15">
      <c r="A233" s="39" t="s">
        <v>7</v>
      </c>
      <c r="B233" s="40" t="s">
        <v>8</v>
      </c>
      <c r="C233" s="41" t="s">
        <v>9</v>
      </c>
      <c r="D233" s="41" t="s">
        <v>10</v>
      </c>
      <c r="E233" s="41" t="s">
        <v>9</v>
      </c>
      <c r="F233" s="41" t="s">
        <v>10</v>
      </c>
      <c r="G233" s="41" t="s">
        <v>9</v>
      </c>
      <c r="H233" s="41" t="s">
        <v>10</v>
      </c>
      <c r="I233" s="48" t="s">
        <v>7</v>
      </c>
      <c r="J233" s="40" t="s">
        <v>8</v>
      </c>
      <c r="K233" s="41" t="s">
        <v>9</v>
      </c>
      <c r="L233" s="41" t="s">
        <v>10</v>
      </c>
      <c r="M233" s="41" t="s">
        <v>9</v>
      </c>
      <c r="N233" s="41" t="s">
        <v>10</v>
      </c>
      <c r="O233" s="41" t="s">
        <v>9</v>
      </c>
      <c r="P233" s="41" t="s">
        <v>10</v>
      </c>
    </row>
    <row r="234" spans="1:16" x14ac:dyDescent="0.15">
      <c r="A234" s="42" t="s">
        <v>6185</v>
      </c>
      <c r="B234" s="40" t="s">
        <v>17</v>
      </c>
      <c r="C234" s="42" t="s">
        <v>6196</v>
      </c>
      <c r="D234" s="42"/>
      <c r="E234" s="43"/>
      <c r="F234" s="42" t="s">
        <v>6241</v>
      </c>
      <c r="G234" s="43"/>
      <c r="H234" s="43" t="s">
        <v>6186</v>
      </c>
      <c r="I234" s="42" t="s">
        <v>6187</v>
      </c>
      <c r="J234" s="40" t="s">
        <v>11</v>
      </c>
      <c r="K234" s="42" t="s">
        <v>6283</v>
      </c>
      <c r="L234" s="43" t="s">
        <v>6186</v>
      </c>
      <c r="M234" s="43" t="s">
        <v>6186</v>
      </c>
      <c r="N234" s="42" t="s">
        <v>6189</v>
      </c>
      <c r="O234" s="43" t="s">
        <v>6186</v>
      </c>
      <c r="P234" s="43" t="s">
        <v>6186</v>
      </c>
    </row>
    <row r="235" spans="1:16" x14ac:dyDescent="0.15">
      <c r="A235" s="42" t="s">
        <v>6190</v>
      </c>
      <c r="B235" s="40" t="s">
        <v>18</v>
      </c>
      <c r="C235" s="42" t="s">
        <v>6200</v>
      </c>
      <c r="D235" s="43"/>
      <c r="E235" s="43"/>
      <c r="F235" s="42" t="s">
        <v>6242</v>
      </c>
      <c r="G235" s="43"/>
      <c r="H235" s="43" t="s">
        <v>6186</v>
      </c>
      <c r="I235" s="42" t="s">
        <v>6191</v>
      </c>
      <c r="J235" s="40" t="s">
        <v>14</v>
      </c>
      <c r="K235" s="42" t="s">
        <v>6262</v>
      </c>
      <c r="L235" s="43" t="s">
        <v>6186</v>
      </c>
      <c r="M235" s="43" t="s">
        <v>6186</v>
      </c>
      <c r="N235" s="42" t="s">
        <v>6193</v>
      </c>
      <c r="O235" s="43" t="s">
        <v>6186</v>
      </c>
      <c r="P235" s="43" t="s">
        <v>6186</v>
      </c>
    </row>
    <row r="236" spans="1:16" x14ac:dyDescent="0.15">
      <c r="A236" s="42" t="s">
        <v>6194</v>
      </c>
      <c r="B236" s="40" t="s">
        <v>11</v>
      </c>
      <c r="C236" s="42" t="s">
        <v>6217</v>
      </c>
      <c r="D236" s="43"/>
      <c r="E236" s="43"/>
      <c r="F236" s="42" t="s">
        <v>6243</v>
      </c>
      <c r="G236" s="42"/>
      <c r="H236" s="42" t="s">
        <v>6186</v>
      </c>
      <c r="I236" s="42" t="s">
        <v>6195</v>
      </c>
      <c r="J236" s="40" t="s">
        <v>13</v>
      </c>
      <c r="K236" s="42" t="s">
        <v>6284</v>
      </c>
      <c r="L236" s="42" t="s">
        <v>6186</v>
      </c>
      <c r="M236" s="42" t="s">
        <v>6186</v>
      </c>
      <c r="N236" s="42" t="s">
        <v>6197</v>
      </c>
      <c r="O236" s="42" t="s">
        <v>6186</v>
      </c>
      <c r="P236" s="42" t="s">
        <v>6186</v>
      </c>
    </row>
    <row r="237" spans="1:16" x14ac:dyDescent="0.15">
      <c r="A237" s="42" t="s">
        <v>6198</v>
      </c>
      <c r="B237" s="40" t="s">
        <v>14</v>
      </c>
      <c r="C237" s="42" t="s">
        <v>6196</v>
      </c>
      <c r="D237" s="43"/>
      <c r="E237" s="43"/>
      <c r="F237" s="42" t="s">
        <v>6246</v>
      </c>
      <c r="G237" s="42"/>
      <c r="H237" s="42" t="s">
        <v>6186</v>
      </c>
      <c r="I237" s="42" t="s">
        <v>6199</v>
      </c>
      <c r="J237" s="40" t="s">
        <v>15</v>
      </c>
      <c r="K237" s="42" t="s">
        <v>6245</v>
      </c>
      <c r="L237" s="42" t="s">
        <v>6186</v>
      </c>
      <c r="M237" s="42" t="s">
        <v>6186</v>
      </c>
      <c r="N237" s="42" t="s">
        <v>6201</v>
      </c>
      <c r="O237" s="42" t="s">
        <v>6186</v>
      </c>
      <c r="P237" s="42" t="s">
        <v>6186</v>
      </c>
    </row>
    <row r="238" spans="1:16" x14ac:dyDescent="0.15">
      <c r="A238" s="42" t="s">
        <v>6202</v>
      </c>
      <c r="B238" s="40" t="s">
        <v>13</v>
      </c>
      <c r="C238" s="42" t="s">
        <v>6285</v>
      </c>
      <c r="D238" s="43"/>
      <c r="E238" s="43"/>
      <c r="F238" s="42" t="s">
        <v>6247</v>
      </c>
      <c r="G238" s="43"/>
      <c r="H238" s="43" t="s">
        <v>6186</v>
      </c>
      <c r="I238" s="42" t="s">
        <v>6203</v>
      </c>
      <c r="J238" s="40" t="s">
        <v>16</v>
      </c>
      <c r="K238" s="43" t="s">
        <v>6186</v>
      </c>
      <c r="L238" s="43" t="s">
        <v>6186</v>
      </c>
      <c r="M238" s="43" t="s">
        <v>6186</v>
      </c>
      <c r="N238" s="43" t="s">
        <v>6186</v>
      </c>
      <c r="O238" s="43" t="s">
        <v>6186</v>
      </c>
      <c r="P238" s="43" t="s">
        <v>6186</v>
      </c>
    </row>
    <row r="239" spans="1:16" x14ac:dyDescent="0.15">
      <c r="A239" s="42" t="s">
        <v>6204</v>
      </c>
      <c r="B239" s="40" t="s">
        <v>15</v>
      </c>
      <c r="C239" s="42" t="s">
        <v>6245</v>
      </c>
      <c r="D239" s="43"/>
      <c r="E239" s="43"/>
      <c r="F239" s="42" t="s">
        <v>6248</v>
      </c>
      <c r="G239" s="43"/>
      <c r="H239" s="43" t="s">
        <v>6186</v>
      </c>
      <c r="I239" s="42" t="s">
        <v>6205</v>
      </c>
      <c r="J239" s="40" t="s">
        <v>17</v>
      </c>
      <c r="K239" s="43" t="s">
        <v>6186</v>
      </c>
      <c r="L239" s="43" t="s">
        <v>6186</v>
      </c>
      <c r="M239" s="43" t="s">
        <v>6186</v>
      </c>
      <c r="N239" s="43" t="s">
        <v>6186</v>
      </c>
      <c r="O239" s="43" t="s">
        <v>6186</v>
      </c>
      <c r="P239" s="43" t="s">
        <v>6186</v>
      </c>
    </row>
    <row r="240" spans="1:16" x14ac:dyDescent="0.15">
      <c r="A240" s="42" t="s">
        <v>6206</v>
      </c>
      <c r="B240" s="40" t="s">
        <v>16</v>
      </c>
      <c r="C240" s="42" t="s">
        <v>6196</v>
      </c>
      <c r="D240" s="43"/>
      <c r="E240" s="43"/>
      <c r="F240" s="42" t="s">
        <v>6249</v>
      </c>
      <c r="G240" s="43"/>
      <c r="H240" s="43" t="s">
        <v>6186</v>
      </c>
      <c r="I240" s="42" t="s">
        <v>6207</v>
      </c>
      <c r="J240" s="40" t="s">
        <v>18</v>
      </c>
      <c r="K240" s="43" t="s">
        <v>6186</v>
      </c>
      <c r="L240" s="43" t="s">
        <v>6186</v>
      </c>
      <c r="M240" s="43" t="s">
        <v>6186</v>
      </c>
      <c r="N240" s="43" t="s">
        <v>6186</v>
      </c>
      <c r="O240" s="43" t="s">
        <v>6186</v>
      </c>
      <c r="P240" s="43" t="s">
        <v>6186</v>
      </c>
    </row>
    <row r="241" spans="1:16" x14ac:dyDescent="0.15">
      <c r="A241" s="42" t="s">
        <v>6208</v>
      </c>
      <c r="B241" s="40" t="s">
        <v>17</v>
      </c>
      <c r="C241" s="42" t="s">
        <v>6286</v>
      </c>
      <c r="D241" s="42"/>
      <c r="E241" s="42"/>
      <c r="F241" s="42" t="s">
        <v>6210</v>
      </c>
      <c r="G241" s="42"/>
      <c r="H241" s="42" t="s">
        <v>6186</v>
      </c>
      <c r="I241" s="42" t="s">
        <v>6211</v>
      </c>
      <c r="J241" s="40" t="s">
        <v>11</v>
      </c>
      <c r="K241" s="42" t="s">
        <v>6186</v>
      </c>
      <c r="L241" s="42" t="s">
        <v>6186</v>
      </c>
      <c r="M241" s="42" t="s">
        <v>6186</v>
      </c>
      <c r="N241" s="42" t="s">
        <v>6186</v>
      </c>
      <c r="O241" s="42" t="s">
        <v>6186</v>
      </c>
      <c r="P241" s="42" t="s">
        <v>6186</v>
      </c>
    </row>
    <row r="242" spans="1:16" x14ac:dyDescent="0.15">
      <c r="A242" s="42" t="s">
        <v>6212</v>
      </c>
      <c r="B242" s="40" t="s">
        <v>18</v>
      </c>
      <c r="C242" s="42" t="s">
        <v>6285</v>
      </c>
      <c r="D242" s="42"/>
      <c r="E242" s="42"/>
      <c r="F242" s="42" t="s">
        <v>6251</v>
      </c>
      <c r="G242" s="42"/>
      <c r="H242" s="42" t="s">
        <v>6186</v>
      </c>
      <c r="I242" s="42" t="s">
        <v>6215</v>
      </c>
      <c r="J242" s="40" t="s">
        <v>14</v>
      </c>
      <c r="K242" s="42" t="s">
        <v>6186</v>
      </c>
      <c r="L242" s="42" t="s">
        <v>6186</v>
      </c>
      <c r="M242" s="42" t="s">
        <v>6186</v>
      </c>
      <c r="N242" s="42" t="s">
        <v>6186</v>
      </c>
      <c r="O242" s="42" t="s">
        <v>6186</v>
      </c>
      <c r="P242" s="42" t="s">
        <v>6186</v>
      </c>
    </row>
    <row r="243" spans="1:16" x14ac:dyDescent="0.15">
      <c r="A243" s="42" t="s">
        <v>6216</v>
      </c>
      <c r="B243" s="40" t="s">
        <v>11</v>
      </c>
      <c r="C243" s="42" t="s">
        <v>6283</v>
      </c>
      <c r="D243" s="42"/>
      <c r="E243" s="42"/>
      <c r="F243" s="42" t="s">
        <v>6218</v>
      </c>
      <c r="G243" s="42"/>
      <c r="H243" s="42" t="s">
        <v>6186</v>
      </c>
      <c r="I243" s="42" t="s">
        <v>6219</v>
      </c>
      <c r="J243" s="40" t="s">
        <v>13</v>
      </c>
      <c r="K243" s="42" t="s">
        <v>6186</v>
      </c>
      <c r="L243" s="42" t="s">
        <v>6186</v>
      </c>
      <c r="M243" s="42" t="s">
        <v>6186</v>
      </c>
      <c r="N243" s="42" t="s">
        <v>6186</v>
      </c>
      <c r="O243" s="42" t="s">
        <v>6186</v>
      </c>
      <c r="P243" s="42" t="s">
        <v>6186</v>
      </c>
    </row>
    <row r="244" spans="1:16" x14ac:dyDescent="0.15">
      <c r="A244" s="42" t="s">
        <v>6220</v>
      </c>
      <c r="B244" s="40" t="s">
        <v>14</v>
      </c>
      <c r="C244" s="42" t="s">
        <v>6262</v>
      </c>
      <c r="D244" s="42" t="s">
        <v>6186</v>
      </c>
      <c r="E244" s="42" t="s">
        <v>6186</v>
      </c>
      <c r="F244" s="42" t="s">
        <v>6118</v>
      </c>
      <c r="G244" s="42" t="s">
        <v>6186</v>
      </c>
      <c r="H244" s="42" t="s">
        <v>6186</v>
      </c>
      <c r="I244" s="42" t="s">
        <v>6221</v>
      </c>
      <c r="J244" s="40" t="s">
        <v>15</v>
      </c>
      <c r="K244" s="42" t="s">
        <v>6186</v>
      </c>
      <c r="L244" s="42" t="s">
        <v>6186</v>
      </c>
      <c r="M244" s="42" t="s">
        <v>6186</v>
      </c>
      <c r="N244" s="42" t="s">
        <v>6186</v>
      </c>
      <c r="O244" s="42" t="s">
        <v>6186</v>
      </c>
      <c r="P244" s="42" t="s">
        <v>6186</v>
      </c>
    </row>
    <row r="245" spans="1:16" x14ac:dyDescent="0.15">
      <c r="A245" s="42" t="s">
        <v>6222</v>
      </c>
      <c r="B245" s="40" t="s">
        <v>13</v>
      </c>
      <c r="C245" s="42" t="s">
        <v>6284</v>
      </c>
      <c r="D245" s="42" t="s">
        <v>6186</v>
      </c>
      <c r="E245" s="42" t="s">
        <v>6186</v>
      </c>
      <c r="F245" s="42" t="s">
        <v>6223</v>
      </c>
      <c r="G245" s="42" t="s">
        <v>6186</v>
      </c>
      <c r="H245" s="42" t="s">
        <v>6186</v>
      </c>
      <c r="I245" s="42" t="s">
        <v>6224</v>
      </c>
      <c r="J245" s="40" t="s">
        <v>16</v>
      </c>
      <c r="K245" s="42" t="s">
        <v>6186</v>
      </c>
      <c r="L245" s="42" t="s">
        <v>6186</v>
      </c>
      <c r="M245" s="42" t="s">
        <v>6186</v>
      </c>
      <c r="N245" s="42" t="s">
        <v>6186</v>
      </c>
      <c r="O245" s="42" t="s">
        <v>6186</v>
      </c>
      <c r="P245" s="42" t="s">
        <v>6186</v>
      </c>
    </row>
    <row r="246" spans="1:16" x14ac:dyDescent="0.15">
      <c r="A246" s="42" t="s">
        <v>6225</v>
      </c>
      <c r="B246" s="40" t="s">
        <v>15</v>
      </c>
      <c r="C246" s="42" t="s">
        <v>6287</v>
      </c>
      <c r="D246" s="42" t="s">
        <v>6186</v>
      </c>
      <c r="E246" s="42" t="s">
        <v>6186</v>
      </c>
      <c r="F246" s="42" t="s">
        <v>6252</v>
      </c>
      <c r="G246" s="42" t="s">
        <v>6186</v>
      </c>
      <c r="H246" s="42" t="s">
        <v>6186</v>
      </c>
      <c r="I246" s="42" t="s">
        <v>6227</v>
      </c>
      <c r="J246" s="40" t="s">
        <v>17</v>
      </c>
      <c r="K246" s="42" t="s">
        <v>6186</v>
      </c>
      <c r="L246" s="42" t="s">
        <v>6186</v>
      </c>
      <c r="M246" s="42" t="s">
        <v>6186</v>
      </c>
      <c r="N246" s="42" t="s">
        <v>6186</v>
      </c>
      <c r="O246" s="42" t="s">
        <v>6186</v>
      </c>
      <c r="P246" s="42" t="s">
        <v>6186</v>
      </c>
    </row>
    <row r="247" spans="1:16" x14ac:dyDescent="0.15">
      <c r="A247" s="42" t="s">
        <v>6228</v>
      </c>
      <c r="B247" s="40" t="s">
        <v>16</v>
      </c>
      <c r="C247" s="42" t="s">
        <v>6196</v>
      </c>
      <c r="D247" s="42" t="s">
        <v>6186</v>
      </c>
      <c r="E247" s="42" t="s">
        <v>6186</v>
      </c>
      <c r="F247" s="42" t="s">
        <v>6229</v>
      </c>
      <c r="G247" s="42" t="s">
        <v>6186</v>
      </c>
      <c r="H247" s="42" t="s">
        <v>6186</v>
      </c>
      <c r="I247" s="42" t="s">
        <v>6230</v>
      </c>
      <c r="J247" s="40" t="s">
        <v>18</v>
      </c>
      <c r="K247" s="42" t="s">
        <v>6186</v>
      </c>
      <c r="L247" s="42" t="s">
        <v>6186</v>
      </c>
      <c r="M247" s="42" t="s">
        <v>6186</v>
      </c>
      <c r="N247" s="42" t="s">
        <v>6186</v>
      </c>
      <c r="O247" s="42" t="s">
        <v>6186</v>
      </c>
      <c r="P247" s="42" t="s">
        <v>6186</v>
      </c>
    </row>
    <row r="248" spans="1:16" x14ac:dyDescent="0.15">
      <c r="A248" s="42" t="s">
        <v>6231</v>
      </c>
      <c r="B248" s="40" t="s">
        <v>17</v>
      </c>
      <c r="C248" s="42" t="s">
        <v>6200</v>
      </c>
      <c r="D248" s="42" t="s">
        <v>6186</v>
      </c>
      <c r="E248" s="42" t="s">
        <v>6186</v>
      </c>
      <c r="F248" s="42" t="s">
        <v>6233</v>
      </c>
      <c r="G248" s="42" t="s">
        <v>6186</v>
      </c>
      <c r="H248" s="42" t="s">
        <v>6186</v>
      </c>
      <c r="I248" s="42" t="s">
        <v>6234</v>
      </c>
      <c r="J248" s="40" t="s">
        <v>11</v>
      </c>
      <c r="K248" s="42" t="s">
        <v>6186</v>
      </c>
      <c r="L248" s="42" t="s">
        <v>6186</v>
      </c>
      <c r="M248" s="42" t="s">
        <v>6186</v>
      </c>
      <c r="N248" s="42" t="s">
        <v>6186</v>
      </c>
      <c r="O248" s="42" t="s">
        <v>6186</v>
      </c>
      <c r="P248" s="42" t="s">
        <v>6186</v>
      </c>
    </row>
    <row r="249" spans="1:16" x14ac:dyDescent="0.15">
      <c r="A249" s="42" t="s">
        <v>6235</v>
      </c>
      <c r="B249" s="40" t="s">
        <v>18</v>
      </c>
      <c r="C249" s="42" t="s">
        <v>6285</v>
      </c>
      <c r="D249" s="42" t="s">
        <v>6186</v>
      </c>
      <c r="E249" s="42" t="s">
        <v>6186</v>
      </c>
      <c r="F249" s="42" t="s">
        <v>6236</v>
      </c>
      <c r="G249" s="42" t="s">
        <v>6186</v>
      </c>
      <c r="H249" s="42" t="s">
        <v>6186</v>
      </c>
      <c r="I249" s="42" t="s">
        <v>12</v>
      </c>
      <c r="J249" s="42" t="s">
        <v>12</v>
      </c>
      <c r="K249" s="42" t="s">
        <v>12</v>
      </c>
      <c r="L249" s="42" t="s">
        <v>12</v>
      </c>
      <c r="M249" s="42" t="s">
        <v>12</v>
      </c>
      <c r="N249" s="42" t="s">
        <v>12</v>
      </c>
      <c r="O249" s="42" t="s">
        <v>12</v>
      </c>
      <c r="P249" s="42" t="s">
        <v>12</v>
      </c>
    </row>
    <row r="250" spans="1:16" x14ac:dyDescent="0.15">
      <c r="A250" s="35"/>
      <c r="C250" s="46"/>
      <c r="D250" s="46"/>
      <c r="E250" s="46"/>
      <c r="F250" s="46"/>
      <c r="G250" s="47"/>
      <c r="H250" s="47"/>
      <c r="I250" s="36"/>
      <c r="M250" s="131" t="s">
        <v>6237</v>
      </c>
      <c r="N250" s="131"/>
      <c r="O250" s="131"/>
      <c r="P250" s="131"/>
    </row>
    <row r="251" spans="1:16" x14ac:dyDescent="0.15">
      <c r="A251" s="34"/>
    </row>
    <row r="252" spans="1:16" x14ac:dyDescent="0.15">
      <c r="A252" s="34"/>
    </row>
    <row r="253" spans="1:16" x14ac:dyDescent="0.15">
      <c r="A253" s="35"/>
      <c r="B253" s="36"/>
    </row>
    <row r="254" spans="1:16" x14ac:dyDescent="0.15">
      <c r="A254" s="124" t="s">
        <v>6178</v>
      </c>
      <c r="B254" s="125"/>
      <c r="C254" s="125"/>
      <c r="D254" s="126"/>
      <c r="E254" s="124" t="s">
        <v>6288</v>
      </c>
      <c r="F254" s="125"/>
      <c r="G254" s="126"/>
      <c r="H254" s="124" t="s">
        <v>6289</v>
      </c>
      <c r="I254" s="126"/>
      <c r="J254" s="125" t="s">
        <v>6181</v>
      </c>
      <c r="K254" s="125"/>
      <c r="L254" s="126"/>
      <c r="M254" s="124" t="s">
        <v>6182</v>
      </c>
      <c r="N254" s="125"/>
      <c r="O254" s="125"/>
      <c r="P254" s="126"/>
    </row>
    <row r="255" spans="1:16" x14ac:dyDescent="0.15">
      <c r="A255" s="124" t="s">
        <v>6290</v>
      </c>
      <c r="B255" s="125"/>
      <c r="C255" s="125"/>
      <c r="D255" s="125"/>
      <c r="E255" s="125"/>
      <c r="F255" s="125"/>
      <c r="G255" s="125"/>
      <c r="H255" s="125"/>
      <c r="I255" s="125"/>
      <c r="J255" s="125"/>
      <c r="K255" s="125"/>
      <c r="L255" s="125"/>
      <c r="M255" s="125"/>
      <c r="N255" s="125"/>
      <c r="O255" s="125"/>
      <c r="P255" s="126"/>
    </row>
    <row r="256" spans="1:16" x14ac:dyDescent="0.15">
      <c r="A256" s="124" t="s">
        <v>6184</v>
      </c>
      <c r="B256" s="125"/>
      <c r="C256" s="125"/>
      <c r="D256" s="125"/>
      <c r="E256" s="125"/>
      <c r="F256" s="125"/>
      <c r="G256" s="125"/>
      <c r="H256" s="125"/>
      <c r="I256" s="125"/>
      <c r="J256" s="125"/>
      <c r="K256" s="125"/>
      <c r="L256" s="125"/>
      <c r="M256" s="125"/>
      <c r="N256" s="125"/>
      <c r="O256" s="125"/>
      <c r="P256" s="126"/>
    </row>
    <row r="257" spans="1:16" x14ac:dyDescent="0.15">
      <c r="A257" s="37"/>
      <c r="B257" s="38"/>
      <c r="C257" s="127" t="s">
        <v>4</v>
      </c>
      <c r="D257" s="128"/>
      <c r="E257" s="129" t="s">
        <v>5</v>
      </c>
      <c r="F257" s="130"/>
      <c r="G257" s="129" t="s">
        <v>6</v>
      </c>
      <c r="H257" s="130"/>
      <c r="I257" s="38"/>
      <c r="J257" s="38"/>
      <c r="K257" s="127" t="s">
        <v>4</v>
      </c>
      <c r="L257" s="128"/>
      <c r="M257" s="129" t="s">
        <v>5</v>
      </c>
      <c r="N257" s="130"/>
      <c r="O257" s="129" t="s">
        <v>6</v>
      </c>
      <c r="P257" s="130"/>
    </row>
    <row r="258" spans="1:16" ht="24" x14ac:dyDescent="0.15">
      <c r="A258" s="39" t="s">
        <v>7</v>
      </c>
      <c r="B258" s="40" t="s">
        <v>8</v>
      </c>
      <c r="C258" s="41" t="s">
        <v>9</v>
      </c>
      <c r="D258" s="41" t="s">
        <v>10</v>
      </c>
      <c r="E258" s="41" t="s">
        <v>9</v>
      </c>
      <c r="F258" s="41" t="s">
        <v>10</v>
      </c>
      <c r="G258" s="41" t="s">
        <v>9</v>
      </c>
      <c r="H258" s="41" t="s">
        <v>10</v>
      </c>
      <c r="I258" s="48" t="s">
        <v>7</v>
      </c>
      <c r="J258" s="40" t="s">
        <v>8</v>
      </c>
      <c r="K258" s="41" t="s">
        <v>9</v>
      </c>
      <c r="L258" s="41" t="s">
        <v>10</v>
      </c>
      <c r="M258" s="41" t="s">
        <v>9</v>
      </c>
      <c r="N258" s="41" t="s">
        <v>10</v>
      </c>
      <c r="O258" s="41" t="s">
        <v>9</v>
      </c>
      <c r="P258" s="41" t="s">
        <v>10</v>
      </c>
    </row>
    <row r="259" spans="1:16" x14ac:dyDescent="0.15">
      <c r="A259" s="42" t="s">
        <v>6185</v>
      </c>
      <c r="B259" s="40" t="s">
        <v>17</v>
      </c>
      <c r="C259" s="42" t="s">
        <v>6188</v>
      </c>
      <c r="D259" s="43" t="s">
        <v>6186</v>
      </c>
      <c r="E259" s="43" t="s">
        <v>6186</v>
      </c>
      <c r="F259" s="42" t="s">
        <v>6274</v>
      </c>
      <c r="G259" s="43"/>
      <c r="H259" s="43" t="s">
        <v>6186</v>
      </c>
      <c r="I259" s="42" t="s">
        <v>6187</v>
      </c>
      <c r="J259" s="40" t="s">
        <v>11</v>
      </c>
      <c r="K259" s="42"/>
      <c r="L259" s="43"/>
      <c r="M259" s="43"/>
      <c r="N259" s="62"/>
      <c r="O259" s="43" t="s">
        <v>6186</v>
      </c>
      <c r="P259" s="43" t="s">
        <v>6186</v>
      </c>
    </row>
    <row r="260" spans="1:16" x14ac:dyDescent="0.15">
      <c r="A260" s="42" t="s">
        <v>6190</v>
      </c>
      <c r="B260" s="40" t="s">
        <v>18</v>
      </c>
      <c r="C260" s="42" t="s">
        <v>6250</v>
      </c>
      <c r="D260" s="43" t="s">
        <v>6186</v>
      </c>
      <c r="E260" s="43" t="s">
        <v>6186</v>
      </c>
      <c r="F260" s="42" t="s">
        <v>6275</v>
      </c>
      <c r="G260" s="43"/>
      <c r="H260" s="43" t="s">
        <v>6186</v>
      </c>
      <c r="I260" s="42" t="s">
        <v>6191</v>
      </c>
      <c r="J260" s="40" t="s">
        <v>14</v>
      </c>
      <c r="K260" s="42" t="s">
        <v>6213</v>
      </c>
      <c r="L260" s="43" t="s">
        <v>6186</v>
      </c>
      <c r="M260" s="43" t="s">
        <v>6186</v>
      </c>
      <c r="N260" s="62" t="s">
        <v>6193</v>
      </c>
      <c r="O260" s="43" t="s">
        <v>6186</v>
      </c>
      <c r="P260" s="43" t="s">
        <v>6186</v>
      </c>
    </row>
    <row r="261" spans="1:16" x14ac:dyDescent="0.15">
      <c r="A261" s="42" t="s">
        <v>6194</v>
      </c>
      <c r="B261" s="40" t="s">
        <v>11</v>
      </c>
      <c r="C261" s="42" t="s">
        <v>6232</v>
      </c>
      <c r="D261" s="43" t="s">
        <v>6186</v>
      </c>
      <c r="E261" s="43" t="s">
        <v>6186</v>
      </c>
      <c r="F261" s="42" t="s">
        <v>6276</v>
      </c>
      <c r="G261" s="43"/>
      <c r="H261" s="43" t="s">
        <v>6186</v>
      </c>
      <c r="I261" s="42" t="s">
        <v>6195</v>
      </c>
      <c r="J261" s="40" t="s">
        <v>13</v>
      </c>
      <c r="K261" s="42" t="s">
        <v>6250</v>
      </c>
      <c r="L261" s="43" t="s">
        <v>6186</v>
      </c>
      <c r="M261" s="43" t="s">
        <v>6186</v>
      </c>
      <c r="N261" s="62" t="s">
        <v>6197</v>
      </c>
      <c r="O261" s="43" t="s">
        <v>6186</v>
      </c>
      <c r="P261" s="43" t="s">
        <v>6186</v>
      </c>
    </row>
    <row r="262" spans="1:16" x14ac:dyDescent="0.15">
      <c r="A262" s="42" t="s">
        <v>6198</v>
      </c>
      <c r="B262" s="40" t="s">
        <v>14</v>
      </c>
      <c r="C262" s="43" t="s">
        <v>6186</v>
      </c>
      <c r="D262" s="43" t="s">
        <v>6186</v>
      </c>
      <c r="E262" s="43" t="s">
        <v>6186</v>
      </c>
      <c r="F262" s="43" t="s">
        <v>6186</v>
      </c>
      <c r="G262" s="43"/>
      <c r="H262" s="43" t="s">
        <v>6186</v>
      </c>
      <c r="I262" s="42" t="s">
        <v>6199</v>
      </c>
      <c r="J262" s="40" t="s">
        <v>15</v>
      </c>
      <c r="K262" s="42" t="s">
        <v>6217</v>
      </c>
      <c r="L262" s="43" t="s">
        <v>6186</v>
      </c>
      <c r="M262" s="43" t="s">
        <v>6186</v>
      </c>
      <c r="N262" s="62" t="s">
        <v>6201</v>
      </c>
      <c r="O262" s="43" t="s">
        <v>6186</v>
      </c>
      <c r="P262" s="43" t="s">
        <v>6186</v>
      </c>
    </row>
    <row r="263" spans="1:16" x14ac:dyDescent="0.15">
      <c r="A263" s="42" t="s">
        <v>6202</v>
      </c>
      <c r="B263" s="40" t="s">
        <v>13</v>
      </c>
      <c r="C263" s="43"/>
      <c r="D263" s="43"/>
      <c r="E263" s="43"/>
      <c r="F263" s="43"/>
      <c r="G263" s="43"/>
      <c r="H263" s="43" t="s">
        <v>6186</v>
      </c>
      <c r="I263" s="42" t="s">
        <v>6203</v>
      </c>
      <c r="J263" s="40" t="s">
        <v>16</v>
      </c>
      <c r="K263" s="43" t="s">
        <v>6186</v>
      </c>
      <c r="L263" s="43" t="s">
        <v>6186</v>
      </c>
      <c r="M263" s="43" t="s">
        <v>6186</v>
      </c>
      <c r="N263" s="43" t="s">
        <v>6186</v>
      </c>
      <c r="O263" s="43" t="s">
        <v>6186</v>
      </c>
      <c r="P263" s="43" t="s">
        <v>6186</v>
      </c>
    </row>
    <row r="264" spans="1:16" x14ac:dyDescent="0.15">
      <c r="A264" s="42" t="s">
        <v>6204</v>
      </c>
      <c r="B264" s="40" t="s">
        <v>15</v>
      </c>
      <c r="C264" s="42" t="s">
        <v>6232</v>
      </c>
      <c r="D264" s="43"/>
      <c r="E264" s="43"/>
      <c r="F264" s="42" t="s">
        <v>6248</v>
      </c>
      <c r="G264" s="43"/>
      <c r="H264" s="43" t="s">
        <v>6186</v>
      </c>
      <c r="I264" s="42" t="s">
        <v>6205</v>
      </c>
      <c r="J264" s="40" t="s">
        <v>17</v>
      </c>
      <c r="K264" s="43" t="s">
        <v>6186</v>
      </c>
      <c r="L264" s="43" t="s">
        <v>6186</v>
      </c>
      <c r="M264" s="43" t="s">
        <v>6186</v>
      </c>
      <c r="N264" s="43" t="s">
        <v>6186</v>
      </c>
      <c r="O264" s="43" t="s">
        <v>6186</v>
      </c>
      <c r="P264" s="43" t="s">
        <v>6186</v>
      </c>
    </row>
    <row r="265" spans="1:16" x14ac:dyDescent="0.15">
      <c r="A265" s="42" t="s">
        <v>6206</v>
      </c>
      <c r="B265" s="40" t="s">
        <v>16</v>
      </c>
      <c r="C265" s="42" t="s">
        <v>6250</v>
      </c>
      <c r="D265" s="43"/>
      <c r="E265" s="43"/>
      <c r="F265" s="42" t="s">
        <v>6249</v>
      </c>
      <c r="G265" s="42"/>
      <c r="H265" s="42" t="s">
        <v>6186</v>
      </c>
      <c r="I265" s="42" t="s">
        <v>6207</v>
      </c>
      <c r="J265" s="40" t="s">
        <v>18</v>
      </c>
      <c r="K265" s="42" t="s">
        <v>6186</v>
      </c>
      <c r="L265" s="42" t="s">
        <v>6186</v>
      </c>
      <c r="M265" s="42" t="s">
        <v>6186</v>
      </c>
      <c r="N265" s="42" t="s">
        <v>6186</v>
      </c>
      <c r="O265" s="42" t="s">
        <v>6186</v>
      </c>
      <c r="P265" s="42" t="s">
        <v>6186</v>
      </c>
    </row>
    <row r="266" spans="1:16" x14ac:dyDescent="0.15">
      <c r="A266" s="42" t="s">
        <v>6208</v>
      </c>
      <c r="B266" s="40" t="s">
        <v>17</v>
      </c>
      <c r="C266" s="42" t="s">
        <v>6217</v>
      </c>
      <c r="D266" s="42"/>
      <c r="E266" s="42"/>
      <c r="F266" s="42" t="s">
        <v>6210</v>
      </c>
      <c r="G266" s="42"/>
      <c r="H266" s="42" t="s">
        <v>6186</v>
      </c>
      <c r="I266" s="42" t="s">
        <v>6211</v>
      </c>
      <c r="J266" s="40" t="s">
        <v>11</v>
      </c>
      <c r="K266" s="42" t="s">
        <v>6186</v>
      </c>
      <c r="L266" s="42" t="s">
        <v>6186</v>
      </c>
      <c r="M266" s="42" t="s">
        <v>6186</v>
      </c>
      <c r="N266" s="42" t="s">
        <v>6186</v>
      </c>
      <c r="O266" s="42" t="s">
        <v>6186</v>
      </c>
      <c r="P266" s="42" t="s">
        <v>6186</v>
      </c>
    </row>
    <row r="267" spans="1:16" x14ac:dyDescent="0.15">
      <c r="A267" s="42" t="s">
        <v>6212</v>
      </c>
      <c r="B267" s="40" t="s">
        <v>18</v>
      </c>
      <c r="C267" s="42" t="s">
        <v>6217</v>
      </c>
      <c r="D267" s="43"/>
      <c r="E267" s="43"/>
      <c r="F267" s="42" t="s">
        <v>6291</v>
      </c>
      <c r="G267" s="42"/>
      <c r="H267" s="42" t="s">
        <v>6186</v>
      </c>
      <c r="I267" s="42" t="s">
        <v>6215</v>
      </c>
      <c r="J267" s="40" t="s">
        <v>14</v>
      </c>
      <c r="K267" s="42" t="s">
        <v>6186</v>
      </c>
      <c r="L267" s="42" t="s">
        <v>6186</v>
      </c>
      <c r="M267" s="42" t="s">
        <v>6186</v>
      </c>
      <c r="N267" s="42" t="s">
        <v>6186</v>
      </c>
      <c r="O267" s="42" t="s">
        <v>6186</v>
      </c>
      <c r="P267" s="42" t="s">
        <v>6186</v>
      </c>
    </row>
    <row r="268" spans="1:16" x14ac:dyDescent="0.15">
      <c r="A268" s="42" t="s">
        <v>6216</v>
      </c>
      <c r="B268" s="40" t="s">
        <v>11</v>
      </c>
      <c r="C268" s="42" t="s">
        <v>6192</v>
      </c>
      <c r="D268" s="43"/>
      <c r="E268" s="43"/>
      <c r="F268" s="42" t="s">
        <v>6218</v>
      </c>
      <c r="G268" s="43"/>
      <c r="H268" s="43" t="s">
        <v>6186</v>
      </c>
      <c r="I268" s="42" t="s">
        <v>6219</v>
      </c>
      <c r="J268" s="40" t="s">
        <v>13</v>
      </c>
      <c r="K268" s="43" t="s">
        <v>6186</v>
      </c>
      <c r="L268" s="43" t="s">
        <v>6186</v>
      </c>
      <c r="M268" s="43" t="s">
        <v>6186</v>
      </c>
      <c r="N268" s="43" t="s">
        <v>6186</v>
      </c>
      <c r="O268" s="43" t="s">
        <v>6186</v>
      </c>
      <c r="P268" s="43" t="s">
        <v>6186</v>
      </c>
    </row>
    <row r="269" spans="1:16" x14ac:dyDescent="0.15">
      <c r="A269" s="42" t="s">
        <v>6220</v>
      </c>
      <c r="B269" s="40" t="s">
        <v>14</v>
      </c>
      <c r="C269" s="42" t="s">
        <v>6260</v>
      </c>
      <c r="D269" s="43" t="s">
        <v>6186</v>
      </c>
      <c r="E269" s="43" t="s">
        <v>6186</v>
      </c>
      <c r="F269" s="42" t="s">
        <v>6118</v>
      </c>
      <c r="G269" s="43" t="s">
        <v>6186</v>
      </c>
      <c r="H269" s="43" t="s">
        <v>6186</v>
      </c>
      <c r="I269" s="42" t="s">
        <v>6221</v>
      </c>
      <c r="J269" s="40" t="s">
        <v>15</v>
      </c>
      <c r="K269" s="43" t="s">
        <v>6186</v>
      </c>
      <c r="L269" s="43" t="s">
        <v>6186</v>
      </c>
      <c r="M269" s="43" t="s">
        <v>6186</v>
      </c>
      <c r="N269" s="43" t="s">
        <v>6186</v>
      </c>
      <c r="O269" s="43" t="s">
        <v>6186</v>
      </c>
      <c r="P269" s="43" t="s">
        <v>6186</v>
      </c>
    </row>
    <row r="270" spans="1:16" x14ac:dyDescent="0.15">
      <c r="A270" s="42" t="s">
        <v>6222</v>
      </c>
      <c r="B270" s="40" t="s">
        <v>13</v>
      </c>
      <c r="C270" s="42" t="s">
        <v>6209</v>
      </c>
      <c r="D270" s="43" t="s">
        <v>6186</v>
      </c>
      <c r="E270" s="43" t="s">
        <v>6186</v>
      </c>
      <c r="F270" s="42" t="s">
        <v>6223</v>
      </c>
      <c r="G270" s="43" t="s">
        <v>6186</v>
      </c>
      <c r="H270" s="43" t="s">
        <v>6186</v>
      </c>
      <c r="I270" s="42" t="s">
        <v>6224</v>
      </c>
      <c r="J270" s="40" t="s">
        <v>16</v>
      </c>
      <c r="K270" s="43" t="s">
        <v>6186</v>
      </c>
      <c r="L270" s="43" t="s">
        <v>6186</v>
      </c>
      <c r="M270" s="43" t="s">
        <v>6186</v>
      </c>
      <c r="N270" s="43" t="s">
        <v>6186</v>
      </c>
      <c r="O270" s="43" t="s">
        <v>6186</v>
      </c>
      <c r="P270" s="43" t="s">
        <v>6186</v>
      </c>
    </row>
    <row r="271" spans="1:16" x14ac:dyDescent="0.15">
      <c r="A271" s="42" t="s">
        <v>6225</v>
      </c>
      <c r="B271" s="40" t="s">
        <v>15</v>
      </c>
      <c r="C271" s="42" t="s">
        <v>6244</v>
      </c>
      <c r="D271" s="43" t="s">
        <v>6186</v>
      </c>
      <c r="E271" s="43" t="s">
        <v>6186</v>
      </c>
      <c r="F271" s="42" t="s">
        <v>6252</v>
      </c>
      <c r="G271" s="43" t="s">
        <v>6186</v>
      </c>
      <c r="H271" s="43" t="s">
        <v>6186</v>
      </c>
      <c r="I271" s="42" t="s">
        <v>6227</v>
      </c>
      <c r="J271" s="40" t="s">
        <v>17</v>
      </c>
      <c r="K271" s="43" t="s">
        <v>6186</v>
      </c>
      <c r="L271" s="43" t="s">
        <v>6186</v>
      </c>
      <c r="M271" s="43" t="s">
        <v>6186</v>
      </c>
      <c r="N271" s="43" t="s">
        <v>6186</v>
      </c>
      <c r="O271" s="43" t="s">
        <v>6186</v>
      </c>
      <c r="P271" s="43" t="s">
        <v>6186</v>
      </c>
    </row>
    <row r="272" spans="1:16" x14ac:dyDescent="0.15">
      <c r="A272" s="42" t="s">
        <v>6228</v>
      </c>
      <c r="B272" s="40" t="s">
        <v>16</v>
      </c>
      <c r="C272" s="42" t="s">
        <v>6192</v>
      </c>
      <c r="D272" s="43" t="s">
        <v>6186</v>
      </c>
      <c r="E272" s="43" t="s">
        <v>6186</v>
      </c>
      <c r="F272" s="42" t="s">
        <v>6229</v>
      </c>
      <c r="G272" s="43" t="s">
        <v>6186</v>
      </c>
      <c r="H272" s="43" t="s">
        <v>6186</v>
      </c>
      <c r="I272" s="42" t="s">
        <v>6230</v>
      </c>
      <c r="J272" s="40" t="s">
        <v>18</v>
      </c>
      <c r="K272" s="43" t="s">
        <v>6186</v>
      </c>
      <c r="L272" s="43" t="s">
        <v>6186</v>
      </c>
      <c r="M272" s="43" t="s">
        <v>6186</v>
      </c>
      <c r="N272" s="43" t="s">
        <v>6186</v>
      </c>
      <c r="O272" s="43" t="s">
        <v>6186</v>
      </c>
      <c r="P272" s="43" t="s">
        <v>6186</v>
      </c>
    </row>
    <row r="273" spans="1:16" x14ac:dyDescent="0.15">
      <c r="A273" s="42" t="s">
        <v>6231</v>
      </c>
      <c r="B273" s="40" t="s">
        <v>17</v>
      </c>
      <c r="C273" s="42" t="s">
        <v>6232</v>
      </c>
      <c r="D273" s="43" t="s">
        <v>6186</v>
      </c>
      <c r="E273" s="43" t="s">
        <v>6186</v>
      </c>
      <c r="F273" s="42" t="s">
        <v>6233</v>
      </c>
      <c r="G273" s="43" t="s">
        <v>6186</v>
      </c>
      <c r="H273" s="43" t="s">
        <v>6186</v>
      </c>
      <c r="I273" s="42" t="s">
        <v>6234</v>
      </c>
      <c r="J273" s="40" t="s">
        <v>11</v>
      </c>
      <c r="K273" s="43" t="s">
        <v>6186</v>
      </c>
      <c r="L273" s="43" t="s">
        <v>6186</v>
      </c>
      <c r="M273" s="43" t="s">
        <v>6186</v>
      </c>
      <c r="N273" s="43" t="s">
        <v>6186</v>
      </c>
      <c r="O273" s="43" t="s">
        <v>6186</v>
      </c>
      <c r="P273" s="43" t="s">
        <v>6186</v>
      </c>
    </row>
    <row r="274" spans="1:16" x14ac:dyDescent="0.15">
      <c r="A274" s="42" t="s">
        <v>6235</v>
      </c>
      <c r="B274" s="40" t="s">
        <v>18</v>
      </c>
      <c r="C274" s="42" t="s">
        <v>6244</v>
      </c>
      <c r="D274" s="43" t="s">
        <v>6186</v>
      </c>
      <c r="E274" s="43" t="s">
        <v>6186</v>
      </c>
      <c r="F274" s="42" t="s">
        <v>6236</v>
      </c>
      <c r="G274" s="43" t="s">
        <v>6186</v>
      </c>
      <c r="H274" s="43" t="s">
        <v>6186</v>
      </c>
      <c r="I274" s="42" t="s">
        <v>12</v>
      </c>
      <c r="J274" s="42" t="s">
        <v>12</v>
      </c>
      <c r="K274" s="42" t="s">
        <v>12</v>
      </c>
      <c r="L274" s="42" t="s">
        <v>12</v>
      </c>
      <c r="M274" s="42" t="s">
        <v>12</v>
      </c>
      <c r="N274" s="42" t="s">
        <v>12</v>
      </c>
      <c r="O274" s="42" t="s">
        <v>12</v>
      </c>
      <c r="P274" s="42" t="s">
        <v>12</v>
      </c>
    </row>
    <row r="275" spans="1:16" x14ac:dyDescent="0.15">
      <c r="A275" s="35"/>
      <c r="C275" s="46"/>
      <c r="D275" s="46"/>
      <c r="E275" s="46"/>
      <c r="F275" s="46"/>
      <c r="G275" s="47"/>
      <c r="H275" s="47"/>
      <c r="I275" s="36"/>
      <c r="M275" s="131" t="s">
        <v>6237</v>
      </c>
      <c r="N275" s="131"/>
      <c r="O275" s="131"/>
      <c r="P275" s="131"/>
    </row>
    <row r="276" spans="1:16" x14ac:dyDescent="0.15">
      <c r="A276" s="34"/>
    </row>
    <row r="277" spans="1:16" x14ac:dyDescent="0.15">
      <c r="A277" s="34"/>
    </row>
    <row r="278" spans="1:16" x14ac:dyDescent="0.15">
      <c r="A278" s="35"/>
      <c r="B278" s="36"/>
    </row>
    <row r="279" spans="1:16" x14ac:dyDescent="0.15">
      <c r="A279" s="124" t="s">
        <v>6178</v>
      </c>
      <c r="B279" s="125"/>
      <c r="C279" s="125"/>
      <c r="D279" s="126"/>
      <c r="E279" s="124" t="s">
        <v>6292</v>
      </c>
      <c r="F279" s="125"/>
      <c r="G279" s="126"/>
      <c r="H279" s="124" t="s">
        <v>6293</v>
      </c>
      <c r="I279" s="126"/>
      <c r="J279" s="125" t="s">
        <v>6181</v>
      </c>
      <c r="K279" s="125"/>
      <c r="L279" s="126"/>
      <c r="M279" s="124" t="s">
        <v>6182</v>
      </c>
      <c r="N279" s="125"/>
      <c r="O279" s="125"/>
      <c r="P279" s="126"/>
    </row>
    <row r="280" spans="1:16" x14ac:dyDescent="0.15">
      <c r="A280" s="124" t="s">
        <v>6273</v>
      </c>
      <c r="B280" s="125"/>
      <c r="C280" s="125"/>
      <c r="D280" s="125"/>
      <c r="E280" s="125"/>
      <c r="F280" s="125"/>
      <c r="G280" s="125"/>
      <c r="H280" s="125"/>
      <c r="I280" s="125"/>
      <c r="J280" s="125"/>
      <c r="K280" s="125"/>
      <c r="L280" s="125"/>
      <c r="M280" s="125"/>
      <c r="N280" s="125"/>
      <c r="O280" s="125"/>
      <c r="P280" s="126"/>
    </row>
    <row r="281" spans="1:16" x14ac:dyDescent="0.15">
      <c r="A281" s="124" t="s">
        <v>6184</v>
      </c>
      <c r="B281" s="125"/>
      <c r="C281" s="125"/>
      <c r="D281" s="125"/>
      <c r="E281" s="125"/>
      <c r="F281" s="125"/>
      <c r="G281" s="125"/>
      <c r="H281" s="125"/>
      <c r="I281" s="125"/>
      <c r="J281" s="125"/>
      <c r="K281" s="125"/>
      <c r="L281" s="125"/>
      <c r="M281" s="125"/>
      <c r="N281" s="125"/>
      <c r="O281" s="125"/>
      <c r="P281" s="126"/>
    </row>
    <row r="282" spans="1:16" x14ac:dyDescent="0.15">
      <c r="A282" s="37"/>
      <c r="B282" s="38"/>
      <c r="C282" s="127" t="s">
        <v>4</v>
      </c>
      <c r="D282" s="128"/>
      <c r="E282" s="129" t="s">
        <v>5</v>
      </c>
      <c r="F282" s="130"/>
      <c r="G282" s="129" t="s">
        <v>6</v>
      </c>
      <c r="H282" s="130"/>
      <c r="I282" s="38"/>
      <c r="J282" s="38"/>
      <c r="K282" s="127" t="s">
        <v>4</v>
      </c>
      <c r="L282" s="128"/>
      <c r="M282" s="129" t="s">
        <v>5</v>
      </c>
      <c r="N282" s="130"/>
      <c r="O282" s="129" t="s">
        <v>6</v>
      </c>
      <c r="P282" s="130"/>
    </row>
    <row r="283" spans="1:16" ht="24" x14ac:dyDescent="0.15">
      <c r="A283" s="39" t="s">
        <v>7</v>
      </c>
      <c r="B283" s="40" t="s">
        <v>8</v>
      </c>
      <c r="C283" s="41" t="s">
        <v>9</v>
      </c>
      <c r="D283" s="41" t="s">
        <v>10</v>
      </c>
      <c r="E283" s="41" t="s">
        <v>9</v>
      </c>
      <c r="F283" s="41" t="s">
        <v>10</v>
      </c>
      <c r="G283" s="41" t="s">
        <v>9</v>
      </c>
      <c r="H283" s="41" t="s">
        <v>10</v>
      </c>
      <c r="I283" s="48" t="s">
        <v>7</v>
      </c>
      <c r="J283" s="40" t="s">
        <v>8</v>
      </c>
      <c r="K283" s="41" t="s">
        <v>9</v>
      </c>
      <c r="L283" s="41" t="s">
        <v>10</v>
      </c>
      <c r="M283" s="41" t="s">
        <v>9</v>
      </c>
      <c r="N283" s="41" t="s">
        <v>10</v>
      </c>
      <c r="O283" s="41" t="s">
        <v>9</v>
      </c>
      <c r="P283" s="41" t="s">
        <v>10</v>
      </c>
    </row>
    <row r="284" spans="1:16" x14ac:dyDescent="0.15">
      <c r="A284" s="42" t="s">
        <v>6185</v>
      </c>
      <c r="B284" s="40" t="s">
        <v>17</v>
      </c>
      <c r="C284" s="42" t="s">
        <v>6188</v>
      </c>
      <c r="D284" s="43"/>
      <c r="E284" s="43"/>
      <c r="F284" s="42" t="s">
        <v>6241</v>
      </c>
      <c r="G284" s="43"/>
      <c r="H284" s="43" t="s">
        <v>6186</v>
      </c>
      <c r="I284" s="42" t="s">
        <v>6187</v>
      </c>
      <c r="J284" s="40" t="s">
        <v>11</v>
      </c>
      <c r="K284" s="42" t="s">
        <v>6196</v>
      </c>
      <c r="L284" s="43" t="s">
        <v>6186</v>
      </c>
      <c r="M284" s="43" t="s">
        <v>6186</v>
      </c>
      <c r="N284" s="42" t="s">
        <v>6189</v>
      </c>
      <c r="O284" s="43" t="s">
        <v>6186</v>
      </c>
      <c r="P284" s="43" t="s">
        <v>6186</v>
      </c>
    </row>
    <row r="285" spans="1:16" x14ac:dyDescent="0.15">
      <c r="A285" s="42" t="s">
        <v>6190</v>
      </c>
      <c r="B285" s="40" t="s">
        <v>18</v>
      </c>
      <c r="C285" s="42" t="s">
        <v>6250</v>
      </c>
      <c r="D285" s="43"/>
      <c r="E285" s="43"/>
      <c r="F285" s="42" t="s">
        <v>6242</v>
      </c>
      <c r="G285" s="43"/>
      <c r="H285" s="43" t="s">
        <v>6186</v>
      </c>
      <c r="I285" s="42" t="s">
        <v>6191</v>
      </c>
      <c r="J285" s="40" t="s">
        <v>14</v>
      </c>
      <c r="K285" s="42"/>
      <c r="L285" s="43"/>
      <c r="M285" s="43"/>
      <c r="N285" s="42"/>
      <c r="O285" s="43" t="s">
        <v>6186</v>
      </c>
      <c r="P285" s="43" t="s">
        <v>6186</v>
      </c>
    </row>
    <row r="286" spans="1:16" x14ac:dyDescent="0.15">
      <c r="A286" s="42" t="s">
        <v>6194</v>
      </c>
      <c r="B286" s="40" t="s">
        <v>11</v>
      </c>
      <c r="C286" s="42" t="s">
        <v>6232</v>
      </c>
      <c r="D286" s="43"/>
      <c r="E286" s="43"/>
      <c r="F286" s="42" t="s">
        <v>6243</v>
      </c>
      <c r="G286" s="43"/>
      <c r="H286" s="43" t="s">
        <v>6186</v>
      </c>
      <c r="I286" s="42" t="s">
        <v>6195</v>
      </c>
      <c r="J286" s="40" t="s">
        <v>13</v>
      </c>
      <c r="K286" s="42" t="s">
        <v>6250</v>
      </c>
      <c r="L286" s="43" t="s">
        <v>6186</v>
      </c>
      <c r="M286" s="43" t="s">
        <v>6186</v>
      </c>
      <c r="N286" s="42" t="s">
        <v>6197</v>
      </c>
      <c r="O286" s="43" t="s">
        <v>6186</v>
      </c>
      <c r="P286" s="43" t="s">
        <v>6186</v>
      </c>
    </row>
    <row r="287" spans="1:16" x14ac:dyDescent="0.15">
      <c r="A287" s="42" t="s">
        <v>6198</v>
      </c>
      <c r="B287" s="40" t="s">
        <v>14</v>
      </c>
      <c r="C287" s="42" t="s">
        <v>6232</v>
      </c>
      <c r="D287" s="43"/>
      <c r="E287" s="43"/>
      <c r="F287" s="42" t="s">
        <v>6246</v>
      </c>
      <c r="G287" s="43"/>
      <c r="H287" s="43" t="s">
        <v>6186</v>
      </c>
      <c r="I287" s="42" t="s">
        <v>6199</v>
      </c>
      <c r="J287" s="40" t="s">
        <v>15</v>
      </c>
      <c r="K287" s="42" t="s">
        <v>6217</v>
      </c>
      <c r="L287" s="43" t="s">
        <v>6186</v>
      </c>
      <c r="M287" s="43" t="s">
        <v>6186</v>
      </c>
      <c r="N287" s="42" t="s">
        <v>6201</v>
      </c>
      <c r="O287" s="43" t="s">
        <v>6186</v>
      </c>
      <c r="P287" s="43" t="s">
        <v>6186</v>
      </c>
    </row>
    <row r="288" spans="1:16" x14ac:dyDescent="0.15">
      <c r="A288" s="42" t="s">
        <v>6202</v>
      </c>
      <c r="B288" s="40" t="s">
        <v>13</v>
      </c>
      <c r="C288" s="42" t="s">
        <v>6209</v>
      </c>
      <c r="D288" s="43"/>
      <c r="E288" s="43"/>
      <c r="F288" s="42" t="s">
        <v>6247</v>
      </c>
      <c r="G288" s="43"/>
      <c r="H288" s="43" t="s">
        <v>6186</v>
      </c>
      <c r="I288" s="42" t="s">
        <v>6203</v>
      </c>
      <c r="J288" s="40" t="s">
        <v>16</v>
      </c>
      <c r="K288" s="43" t="s">
        <v>6186</v>
      </c>
      <c r="L288" s="43" t="s">
        <v>6186</v>
      </c>
      <c r="M288" s="43" t="s">
        <v>6186</v>
      </c>
      <c r="N288" s="43" t="s">
        <v>6186</v>
      </c>
      <c r="O288" s="43" t="s">
        <v>6186</v>
      </c>
      <c r="P288" s="43" t="s">
        <v>6186</v>
      </c>
    </row>
    <row r="289" spans="1:16" x14ac:dyDescent="0.15">
      <c r="A289" s="42" t="s">
        <v>6204</v>
      </c>
      <c r="B289" s="40" t="s">
        <v>15</v>
      </c>
      <c r="C289" s="43"/>
      <c r="D289" s="43"/>
      <c r="E289" s="43"/>
      <c r="F289" s="43"/>
      <c r="G289" s="43"/>
      <c r="H289" s="43" t="s">
        <v>6186</v>
      </c>
      <c r="I289" s="42" t="s">
        <v>6205</v>
      </c>
      <c r="J289" s="40" t="s">
        <v>17</v>
      </c>
      <c r="K289" s="43" t="s">
        <v>6186</v>
      </c>
      <c r="L289" s="43" t="s">
        <v>6186</v>
      </c>
      <c r="M289" s="43" t="s">
        <v>6186</v>
      </c>
      <c r="N289" s="43" t="s">
        <v>6186</v>
      </c>
      <c r="O289" s="43" t="s">
        <v>6186</v>
      </c>
      <c r="P289" s="43" t="s">
        <v>6186</v>
      </c>
    </row>
    <row r="290" spans="1:16" x14ac:dyDescent="0.15">
      <c r="A290" s="42" t="s">
        <v>6206</v>
      </c>
      <c r="B290" s="40" t="s">
        <v>16</v>
      </c>
      <c r="C290" s="43"/>
      <c r="D290" s="43"/>
      <c r="E290" s="43"/>
      <c r="F290" s="43"/>
      <c r="G290" s="43"/>
      <c r="H290" s="43" t="s">
        <v>6186</v>
      </c>
      <c r="I290" s="42" t="s">
        <v>6207</v>
      </c>
      <c r="J290" s="40" t="s">
        <v>18</v>
      </c>
      <c r="K290" s="43" t="s">
        <v>6186</v>
      </c>
      <c r="L290" s="43" t="s">
        <v>6186</v>
      </c>
      <c r="M290" s="43" t="s">
        <v>6186</v>
      </c>
      <c r="N290" s="43" t="s">
        <v>6186</v>
      </c>
      <c r="O290" s="43" t="s">
        <v>6186</v>
      </c>
      <c r="P290" s="43" t="s">
        <v>6186</v>
      </c>
    </row>
    <row r="291" spans="1:16" x14ac:dyDescent="0.15">
      <c r="A291" s="42" t="s">
        <v>6208</v>
      </c>
      <c r="B291" s="40" t="s">
        <v>17</v>
      </c>
      <c r="C291" s="43"/>
      <c r="D291" s="43"/>
      <c r="E291" s="43"/>
      <c r="F291" s="43"/>
      <c r="G291" s="43"/>
      <c r="H291" s="43" t="s">
        <v>6186</v>
      </c>
      <c r="I291" s="42" t="s">
        <v>6211</v>
      </c>
      <c r="J291" s="40" t="s">
        <v>11</v>
      </c>
      <c r="K291" s="43" t="s">
        <v>6186</v>
      </c>
      <c r="L291" s="43" t="s">
        <v>6186</v>
      </c>
      <c r="M291" s="43" t="s">
        <v>6186</v>
      </c>
      <c r="N291" s="43" t="s">
        <v>6186</v>
      </c>
      <c r="O291" s="43" t="s">
        <v>6186</v>
      </c>
      <c r="P291" s="43" t="s">
        <v>6186</v>
      </c>
    </row>
    <row r="292" spans="1:16" x14ac:dyDescent="0.15">
      <c r="A292" s="42" t="s">
        <v>6212</v>
      </c>
      <c r="B292" s="40" t="s">
        <v>18</v>
      </c>
      <c r="C292" s="42" t="s">
        <v>6217</v>
      </c>
      <c r="D292" s="43"/>
      <c r="E292" s="43"/>
      <c r="F292" s="42" t="s">
        <v>6294</v>
      </c>
      <c r="G292" s="42"/>
      <c r="H292" s="42" t="s">
        <v>6186</v>
      </c>
      <c r="I292" s="42" t="s">
        <v>6215</v>
      </c>
      <c r="J292" s="40" t="s">
        <v>14</v>
      </c>
      <c r="K292" s="42" t="s">
        <v>6186</v>
      </c>
      <c r="L292" s="42" t="s">
        <v>6186</v>
      </c>
      <c r="M292" s="42" t="s">
        <v>6186</v>
      </c>
      <c r="N292" s="42" t="s">
        <v>6186</v>
      </c>
      <c r="O292" s="42" t="s">
        <v>6186</v>
      </c>
      <c r="P292" s="42" t="s">
        <v>6186</v>
      </c>
    </row>
    <row r="293" spans="1:16" x14ac:dyDescent="0.15">
      <c r="A293" s="42" t="s">
        <v>6216</v>
      </c>
      <c r="B293" s="40" t="s">
        <v>11</v>
      </c>
      <c r="C293" s="42" t="s">
        <v>6192</v>
      </c>
      <c r="D293" s="43"/>
      <c r="E293" s="43"/>
      <c r="F293" s="42" t="s">
        <v>6218</v>
      </c>
      <c r="G293" s="43"/>
      <c r="H293" s="43" t="s">
        <v>6186</v>
      </c>
      <c r="I293" s="42" t="s">
        <v>6219</v>
      </c>
      <c r="J293" s="40" t="s">
        <v>13</v>
      </c>
      <c r="K293" s="43" t="s">
        <v>6186</v>
      </c>
      <c r="L293" s="43" t="s">
        <v>6186</v>
      </c>
      <c r="M293" s="43" t="s">
        <v>6186</v>
      </c>
      <c r="N293" s="43" t="s">
        <v>6186</v>
      </c>
      <c r="O293" s="43" t="s">
        <v>6186</v>
      </c>
      <c r="P293" s="43" t="s">
        <v>6186</v>
      </c>
    </row>
    <row r="294" spans="1:16" x14ac:dyDescent="0.15">
      <c r="A294" s="42" t="s">
        <v>6220</v>
      </c>
      <c r="B294" s="40" t="s">
        <v>14</v>
      </c>
      <c r="C294" s="42" t="s">
        <v>6260</v>
      </c>
      <c r="D294" s="43"/>
      <c r="E294" s="43"/>
      <c r="F294" s="42" t="s">
        <v>6118</v>
      </c>
      <c r="G294" s="43"/>
      <c r="H294" s="43" t="s">
        <v>6186</v>
      </c>
      <c r="I294" s="42" t="s">
        <v>6221</v>
      </c>
      <c r="J294" s="40" t="s">
        <v>15</v>
      </c>
      <c r="K294" s="43" t="s">
        <v>6186</v>
      </c>
      <c r="L294" s="43" t="s">
        <v>6186</v>
      </c>
      <c r="M294" s="43" t="s">
        <v>6186</v>
      </c>
      <c r="N294" s="43" t="s">
        <v>6186</v>
      </c>
      <c r="O294" s="43" t="s">
        <v>6186</v>
      </c>
      <c r="P294" s="43" t="s">
        <v>6186</v>
      </c>
    </row>
    <row r="295" spans="1:16" x14ac:dyDescent="0.15">
      <c r="A295" s="42" t="s">
        <v>6222</v>
      </c>
      <c r="B295" s="40" t="s">
        <v>13</v>
      </c>
      <c r="C295" s="42" t="s">
        <v>6209</v>
      </c>
      <c r="D295" s="43"/>
      <c r="E295" s="43"/>
      <c r="F295" s="42" t="s">
        <v>6223</v>
      </c>
      <c r="G295" s="43"/>
      <c r="H295" s="43" t="s">
        <v>6186</v>
      </c>
      <c r="I295" s="42" t="s">
        <v>6224</v>
      </c>
      <c r="J295" s="40" t="s">
        <v>16</v>
      </c>
      <c r="K295" s="43" t="s">
        <v>6186</v>
      </c>
      <c r="L295" s="43" t="s">
        <v>6186</v>
      </c>
      <c r="M295" s="43" t="s">
        <v>6186</v>
      </c>
      <c r="N295" s="43" t="s">
        <v>6186</v>
      </c>
      <c r="O295" s="43" t="s">
        <v>6186</v>
      </c>
      <c r="P295" s="43" t="s">
        <v>6186</v>
      </c>
    </row>
    <row r="296" spans="1:16" x14ac:dyDescent="0.15">
      <c r="A296" s="42" t="s">
        <v>6225</v>
      </c>
      <c r="B296" s="40" t="s">
        <v>15</v>
      </c>
      <c r="C296" s="42" t="s">
        <v>6244</v>
      </c>
      <c r="D296" s="43" t="s">
        <v>6186</v>
      </c>
      <c r="E296" s="43" t="s">
        <v>6186</v>
      </c>
      <c r="F296" s="42" t="s">
        <v>6252</v>
      </c>
      <c r="G296" s="43" t="s">
        <v>6186</v>
      </c>
      <c r="H296" s="43" t="s">
        <v>6186</v>
      </c>
      <c r="I296" s="42" t="s">
        <v>6227</v>
      </c>
      <c r="J296" s="40" t="s">
        <v>17</v>
      </c>
      <c r="K296" s="43" t="s">
        <v>6186</v>
      </c>
      <c r="L296" s="43" t="s">
        <v>6186</v>
      </c>
      <c r="M296" s="43" t="s">
        <v>6186</v>
      </c>
      <c r="N296" s="43" t="s">
        <v>6186</v>
      </c>
      <c r="O296" s="43" t="s">
        <v>6186</v>
      </c>
      <c r="P296" s="43" t="s">
        <v>6186</v>
      </c>
    </row>
    <row r="297" spans="1:16" x14ac:dyDescent="0.15">
      <c r="A297" s="42" t="s">
        <v>6228</v>
      </c>
      <c r="B297" s="40" t="s">
        <v>16</v>
      </c>
      <c r="C297" s="42" t="s">
        <v>6192</v>
      </c>
      <c r="D297" s="43" t="s">
        <v>6186</v>
      </c>
      <c r="E297" s="43" t="s">
        <v>6186</v>
      </c>
      <c r="F297" s="42" t="s">
        <v>6229</v>
      </c>
      <c r="G297" s="43" t="s">
        <v>6186</v>
      </c>
      <c r="H297" s="43" t="s">
        <v>6186</v>
      </c>
      <c r="I297" s="42" t="s">
        <v>6230</v>
      </c>
      <c r="J297" s="40" t="s">
        <v>18</v>
      </c>
      <c r="K297" s="43" t="s">
        <v>6186</v>
      </c>
      <c r="L297" s="43" t="s">
        <v>6186</v>
      </c>
      <c r="M297" s="43" t="s">
        <v>6186</v>
      </c>
      <c r="N297" s="43" t="s">
        <v>6186</v>
      </c>
      <c r="O297" s="43" t="s">
        <v>6186</v>
      </c>
      <c r="P297" s="43" t="s">
        <v>6186</v>
      </c>
    </row>
    <row r="298" spans="1:16" x14ac:dyDescent="0.15">
      <c r="A298" s="42" t="s">
        <v>6231</v>
      </c>
      <c r="B298" s="40" t="s">
        <v>17</v>
      </c>
      <c r="C298" s="42" t="s">
        <v>6232</v>
      </c>
      <c r="D298" s="43" t="s">
        <v>6186</v>
      </c>
      <c r="E298" s="43" t="s">
        <v>6186</v>
      </c>
      <c r="F298" s="42" t="s">
        <v>6233</v>
      </c>
      <c r="G298" s="43" t="s">
        <v>6186</v>
      </c>
      <c r="H298" s="43" t="s">
        <v>6186</v>
      </c>
      <c r="I298" s="42" t="s">
        <v>6234</v>
      </c>
      <c r="J298" s="40" t="s">
        <v>11</v>
      </c>
      <c r="K298" s="43" t="s">
        <v>6186</v>
      </c>
      <c r="L298" s="43" t="s">
        <v>6186</v>
      </c>
      <c r="M298" s="43" t="s">
        <v>6186</v>
      </c>
      <c r="N298" s="43" t="s">
        <v>6186</v>
      </c>
      <c r="O298" s="43" t="s">
        <v>6186</v>
      </c>
      <c r="P298" s="43" t="s">
        <v>6186</v>
      </c>
    </row>
    <row r="299" spans="1:16" x14ac:dyDescent="0.15">
      <c r="A299" s="42" t="s">
        <v>6235</v>
      </c>
      <c r="B299" s="40" t="s">
        <v>18</v>
      </c>
      <c r="C299" s="42" t="s">
        <v>6244</v>
      </c>
      <c r="D299" s="43" t="s">
        <v>6186</v>
      </c>
      <c r="E299" s="43" t="s">
        <v>6186</v>
      </c>
      <c r="F299" s="42" t="s">
        <v>6236</v>
      </c>
      <c r="G299" s="43" t="s">
        <v>6186</v>
      </c>
      <c r="H299" s="43" t="s">
        <v>6186</v>
      </c>
      <c r="I299" s="42" t="s">
        <v>12</v>
      </c>
      <c r="J299" s="42" t="s">
        <v>12</v>
      </c>
      <c r="K299" s="42" t="s">
        <v>12</v>
      </c>
      <c r="L299" s="42" t="s">
        <v>12</v>
      </c>
      <c r="M299" s="42" t="s">
        <v>12</v>
      </c>
      <c r="N299" s="42" t="s">
        <v>12</v>
      </c>
      <c r="O299" s="42" t="s">
        <v>12</v>
      </c>
      <c r="P299" s="42" t="s">
        <v>12</v>
      </c>
    </row>
    <row r="300" spans="1:16" x14ac:dyDescent="0.15">
      <c r="A300" s="35"/>
      <c r="C300" s="46"/>
      <c r="D300" s="46"/>
      <c r="E300" s="46"/>
      <c r="F300" s="46"/>
      <c r="G300" s="47"/>
      <c r="H300" s="47"/>
      <c r="I300" s="36"/>
      <c r="M300" s="131" t="s">
        <v>6237</v>
      </c>
      <c r="N300" s="131"/>
      <c r="O300" s="131"/>
      <c r="P300" s="131"/>
    </row>
    <row r="301" spans="1:16" x14ac:dyDescent="0.15">
      <c r="A301" s="34"/>
    </row>
    <row r="302" spans="1:16" x14ac:dyDescent="0.15">
      <c r="A302" s="34"/>
    </row>
    <row r="303" spans="1:16" x14ac:dyDescent="0.15">
      <c r="A303" s="35"/>
      <c r="B303" s="36"/>
    </row>
    <row r="304" spans="1:16" x14ac:dyDescent="0.15">
      <c r="A304" s="124" t="s">
        <v>6178</v>
      </c>
      <c r="B304" s="125"/>
      <c r="C304" s="125"/>
      <c r="D304" s="126"/>
      <c r="E304" s="124" t="s">
        <v>6295</v>
      </c>
      <c r="F304" s="125"/>
      <c r="G304" s="126"/>
      <c r="H304" s="124" t="s">
        <v>6296</v>
      </c>
      <c r="I304" s="126"/>
      <c r="J304" s="125" t="s">
        <v>6181</v>
      </c>
      <c r="K304" s="125"/>
      <c r="L304" s="126"/>
      <c r="M304" s="124" t="s">
        <v>6182</v>
      </c>
      <c r="N304" s="125"/>
      <c r="O304" s="125"/>
      <c r="P304" s="126"/>
    </row>
    <row r="305" spans="1:16" x14ac:dyDescent="0.15">
      <c r="A305" s="124" t="s">
        <v>6297</v>
      </c>
      <c r="B305" s="125"/>
      <c r="C305" s="125"/>
      <c r="D305" s="125"/>
      <c r="E305" s="125"/>
      <c r="F305" s="125"/>
      <c r="G305" s="125"/>
      <c r="H305" s="125"/>
      <c r="I305" s="125"/>
      <c r="J305" s="125"/>
      <c r="K305" s="125"/>
      <c r="L305" s="125"/>
      <c r="M305" s="125"/>
      <c r="N305" s="125"/>
      <c r="O305" s="125"/>
      <c r="P305" s="126"/>
    </row>
    <row r="306" spans="1:16" x14ac:dyDescent="0.15">
      <c r="A306" s="124" t="s">
        <v>6184</v>
      </c>
      <c r="B306" s="125"/>
      <c r="C306" s="125"/>
      <c r="D306" s="125"/>
      <c r="E306" s="125"/>
      <c r="F306" s="125"/>
      <c r="G306" s="125"/>
      <c r="H306" s="125"/>
      <c r="I306" s="125"/>
      <c r="J306" s="125"/>
      <c r="K306" s="125"/>
      <c r="L306" s="125"/>
      <c r="M306" s="125"/>
      <c r="N306" s="125"/>
      <c r="O306" s="125"/>
      <c r="P306" s="126"/>
    </row>
    <row r="307" spans="1:16" x14ac:dyDescent="0.15">
      <c r="A307" s="37"/>
      <c r="B307" s="38"/>
      <c r="C307" s="127" t="s">
        <v>4</v>
      </c>
      <c r="D307" s="128"/>
      <c r="E307" s="129" t="s">
        <v>5</v>
      </c>
      <c r="F307" s="130"/>
      <c r="G307" s="129" t="s">
        <v>6</v>
      </c>
      <c r="H307" s="130"/>
      <c r="I307" s="38"/>
      <c r="J307" s="38"/>
      <c r="K307" s="127" t="s">
        <v>4</v>
      </c>
      <c r="L307" s="128"/>
      <c r="M307" s="129" t="s">
        <v>5</v>
      </c>
      <c r="N307" s="130"/>
      <c r="O307" s="129" t="s">
        <v>6</v>
      </c>
      <c r="P307" s="130"/>
    </row>
    <row r="308" spans="1:16" ht="24" x14ac:dyDescent="0.15">
      <c r="A308" s="39" t="s">
        <v>7</v>
      </c>
      <c r="B308" s="40" t="s">
        <v>8</v>
      </c>
      <c r="C308" s="41" t="s">
        <v>9</v>
      </c>
      <c r="D308" s="41" t="s">
        <v>10</v>
      </c>
      <c r="E308" s="41" t="s">
        <v>9</v>
      </c>
      <c r="F308" s="41" t="s">
        <v>10</v>
      </c>
      <c r="G308" s="41" t="s">
        <v>9</v>
      </c>
      <c r="H308" s="41" t="s">
        <v>10</v>
      </c>
      <c r="I308" s="48" t="s">
        <v>7</v>
      </c>
      <c r="J308" s="40" t="s">
        <v>8</v>
      </c>
      <c r="K308" s="41" t="s">
        <v>9</v>
      </c>
      <c r="L308" s="41" t="s">
        <v>10</v>
      </c>
      <c r="M308" s="41" t="s">
        <v>9</v>
      </c>
      <c r="N308" s="41" t="s">
        <v>10</v>
      </c>
      <c r="O308" s="41" t="s">
        <v>9</v>
      </c>
      <c r="P308" s="41" t="s">
        <v>10</v>
      </c>
    </row>
    <row r="309" spans="1:16" x14ac:dyDescent="0.15">
      <c r="A309" s="42" t="s">
        <v>6185</v>
      </c>
      <c r="B309" s="40" t="s">
        <v>17</v>
      </c>
      <c r="C309" s="42" t="s">
        <v>6196</v>
      </c>
      <c r="D309" s="43"/>
      <c r="E309" s="43"/>
      <c r="F309" s="42" t="s">
        <v>6241</v>
      </c>
      <c r="G309" s="43"/>
      <c r="H309" s="43" t="s">
        <v>6186</v>
      </c>
      <c r="I309" s="42" t="s">
        <v>6187</v>
      </c>
      <c r="J309" s="40" t="s">
        <v>11</v>
      </c>
      <c r="K309" s="42" t="s">
        <v>6250</v>
      </c>
      <c r="L309" s="43" t="s">
        <v>6186</v>
      </c>
      <c r="M309" s="43" t="s">
        <v>6186</v>
      </c>
      <c r="N309" s="42" t="s">
        <v>6189</v>
      </c>
      <c r="O309" s="43" t="s">
        <v>6186</v>
      </c>
      <c r="P309" s="43" t="s">
        <v>6186</v>
      </c>
    </row>
    <row r="310" spans="1:16" x14ac:dyDescent="0.15">
      <c r="A310" s="42" t="s">
        <v>6190</v>
      </c>
      <c r="B310" s="40" t="s">
        <v>18</v>
      </c>
      <c r="C310" s="42" t="s">
        <v>6232</v>
      </c>
      <c r="D310" s="43"/>
      <c r="E310" s="43"/>
      <c r="F310" s="42" t="s">
        <v>6242</v>
      </c>
      <c r="G310" s="43"/>
      <c r="H310" s="43" t="s">
        <v>6186</v>
      </c>
      <c r="I310" s="42" t="s">
        <v>6191</v>
      </c>
      <c r="J310" s="40" t="s">
        <v>14</v>
      </c>
      <c r="K310" s="42" t="s">
        <v>6217</v>
      </c>
      <c r="L310" s="43" t="s">
        <v>6186</v>
      </c>
      <c r="M310" s="43" t="s">
        <v>6186</v>
      </c>
      <c r="N310" s="42" t="s">
        <v>6193</v>
      </c>
      <c r="O310" s="43" t="s">
        <v>6186</v>
      </c>
      <c r="P310" s="43" t="s">
        <v>6186</v>
      </c>
    </row>
    <row r="311" spans="1:16" x14ac:dyDescent="0.15">
      <c r="A311" s="42" t="s">
        <v>6194</v>
      </c>
      <c r="B311" s="40" t="s">
        <v>11</v>
      </c>
      <c r="C311" s="42" t="s">
        <v>6209</v>
      </c>
      <c r="D311" s="43"/>
      <c r="E311" s="43"/>
      <c r="F311" s="42" t="s">
        <v>6243</v>
      </c>
      <c r="G311" s="42"/>
      <c r="H311" s="42" t="s">
        <v>6186</v>
      </c>
      <c r="I311" s="42" t="s">
        <v>6195</v>
      </c>
      <c r="J311" s="40" t="s">
        <v>13</v>
      </c>
      <c r="K311" s="42" t="s">
        <v>6192</v>
      </c>
      <c r="L311" s="42" t="s">
        <v>6186</v>
      </c>
      <c r="M311" s="42" t="s">
        <v>6186</v>
      </c>
      <c r="N311" s="42" t="s">
        <v>6197</v>
      </c>
      <c r="O311" s="42" t="s">
        <v>6186</v>
      </c>
      <c r="P311" s="42" t="s">
        <v>6186</v>
      </c>
    </row>
    <row r="312" spans="1:16" x14ac:dyDescent="0.15">
      <c r="A312" s="42" t="s">
        <v>6198</v>
      </c>
      <c r="B312" s="40" t="s">
        <v>14</v>
      </c>
      <c r="C312" s="42" t="s">
        <v>6298</v>
      </c>
      <c r="D312" s="43"/>
      <c r="E312" s="43"/>
      <c r="F312" s="42" t="s">
        <v>6246</v>
      </c>
      <c r="G312" s="42"/>
      <c r="H312" s="42" t="s">
        <v>6186</v>
      </c>
      <c r="I312" s="42" t="s">
        <v>6199</v>
      </c>
      <c r="J312" s="40" t="s">
        <v>15</v>
      </c>
      <c r="K312" s="42" t="s">
        <v>6260</v>
      </c>
      <c r="L312" s="42" t="s">
        <v>6186</v>
      </c>
      <c r="M312" s="42" t="s">
        <v>6186</v>
      </c>
      <c r="N312" s="42" t="s">
        <v>6201</v>
      </c>
      <c r="O312" s="42" t="s">
        <v>6186</v>
      </c>
      <c r="P312" s="42" t="s">
        <v>6186</v>
      </c>
    </row>
    <row r="313" spans="1:16" x14ac:dyDescent="0.15">
      <c r="A313" s="42" t="s">
        <v>6202</v>
      </c>
      <c r="B313" s="40" t="s">
        <v>13</v>
      </c>
      <c r="C313" s="42" t="s">
        <v>6217</v>
      </c>
      <c r="D313" s="43"/>
      <c r="E313" s="43"/>
      <c r="F313" s="42" t="s">
        <v>6247</v>
      </c>
      <c r="G313" s="43"/>
      <c r="H313" s="43" t="s">
        <v>6186</v>
      </c>
      <c r="I313" s="42" t="s">
        <v>6203</v>
      </c>
      <c r="J313" s="40" t="s">
        <v>16</v>
      </c>
      <c r="K313" s="43" t="s">
        <v>6186</v>
      </c>
      <c r="L313" s="43" t="s">
        <v>6186</v>
      </c>
      <c r="M313" s="43" t="s">
        <v>6186</v>
      </c>
      <c r="N313" s="43" t="s">
        <v>6186</v>
      </c>
      <c r="O313" s="43" t="s">
        <v>6186</v>
      </c>
      <c r="P313" s="43" t="s">
        <v>6186</v>
      </c>
    </row>
    <row r="314" spans="1:16" x14ac:dyDescent="0.15">
      <c r="A314" s="42" t="s">
        <v>6204</v>
      </c>
      <c r="B314" s="40" t="s">
        <v>15</v>
      </c>
      <c r="C314" s="42" t="s">
        <v>6217</v>
      </c>
      <c r="D314" s="43"/>
      <c r="E314" s="43"/>
      <c r="F314" s="42" t="s">
        <v>6248</v>
      </c>
      <c r="G314" s="43"/>
      <c r="H314" s="43" t="s">
        <v>6186</v>
      </c>
      <c r="I314" s="42" t="s">
        <v>6205</v>
      </c>
      <c r="J314" s="40" t="s">
        <v>17</v>
      </c>
      <c r="K314" s="43" t="s">
        <v>6186</v>
      </c>
      <c r="L314" s="43" t="s">
        <v>6186</v>
      </c>
      <c r="M314" s="43" t="s">
        <v>6186</v>
      </c>
      <c r="N314" s="43" t="s">
        <v>6186</v>
      </c>
      <c r="O314" s="43" t="s">
        <v>6186</v>
      </c>
      <c r="P314" s="43" t="s">
        <v>6186</v>
      </c>
    </row>
    <row r="315" spans="1:16" x14ac:dyDescent="0.15">
      <c r="A315" s="42" t="s">
        <v>6206</v>
      </c>
      <c r="B315" s="40" t="s">
        <v>16</v>
      </c>
      <c r="C315" s="42" t="s">
        <v>6260</v>
      </c>
      <c r="D315" s="43"/>
      <c r="E315" s="43"/>
      <c r="F315" s="42" t="s">
        <v>6249</v>
      </c>
      <c r="G315" s="43"/>
      <c r="H315" s="43" t="s">
        <v>6186</v>
      </c>
      <c r="I315" s="42" t="s">
        <v>6207</v>
      </c>
      <c r="J315" s="40" t="s">
        <v>18</v>
      </c>
      <c r="K315" s="43" t="s">
        <v>6186</v>
      </c>
      <c r="L315" s="43" t="s">
        <v>6186</v>
      </c>
      <c r="M315" s="43" t="s">
        <v>6186</v>
      </c>
      <c r="N315" s="43" t="s">
        <v>6186</v>
      </c>
      <c r="O315" s="43" t="s">
        <v>6186</v>
      </c>
      <c r="P315" s="43" t="s">
        <v>6186</v>
      </c>
    </row>
    <row r="316" spans="1:16" x14ac:dyDescent="0.15">
      <c r="A316" s="42" t="s">
        <v>6208</v>
      </c>
      <c r="B316" s="40" t="s">
        <v>17</v>
      </c>
      <c r="C316" s="42" t="s">
        <v>6250</v>
      </c>
      <c r="D316" s="43"/>
      <c r="E316" s="43"/>
      <c r="F316" s="42" t="s">
        <v>6210</v>
      </c>
      <c r="G316" s="42"/>
      <c r="H316" s="42" t="s">
        <v>6186</v>
      </c>
      <c r="I316" s="42" t="s">
        <v>6211</v>
      </c>
      <c r="J316" s="40" t="s">
        <v>11</v>
      </c>
      <c r="K316" s="42" t="s">
        <v>6186</v>
      </c>
      <c r="L316" s="42" t="s">
        <v>6186</v>
      </c>
      <c r="M316" s="42" t="s">
        <v>6186</v>
      </c>
      <c r="N316" s="42" t="s">
        <v>6186</v>
      </c>
      <c r="O316" s="42" t="s">
        <v>6186</v>
      </c>
      <c r="P316" s="42" t="s">
        <v>6186</v>
      </c>
    </row>
    <row r="317" spans="1:16" x14ac:dyDescent="0.15">
      <c r="A317" s="42" t="s">
        <v>6212</v>
      </c>
      <c r="B317" s="40" t="s">
        <v>18</v>
      </c>
      <c r="C317" s="42" t="s">
        <v>6196</v>
      </c>
      <c r="D317" s="42"/>
      <c r="E317" s="42"/>
      <c r="F317" s="42" t="s">
        <v>6251</v>
      </c>
      <c r="G317" s="42"/>
      <c r="H317" s="42" t="s">
        <v>6186</v>
      </c>
      <c r="I317" s="42" t="s">
        <v>6215</v>
      </c>
      <c r="J317" s="40" t="s">
        <v>14</v>
      </c>
      <c r="K317" s="42" t="s">
        <v>6186</v>
      </c>
      <c r="L317" s="42" t="s">
        <v>6186</v>
      </c>
      <c r="M317" s="42" t="s">
        <v>6186</v>
      </c>
      <c r="N317" s="42" t="s">
        <v>6186</v>
      </c>
      <c r="O317" s="42" t="s">
        <v>6186</v>
      </c>
      <c r="P317" s="42" t="s">
        <v>6186</v>
      </c>
    </row>
    <row r="318" spans="1:16" x14ac:dyDescent="0.15">
      <c r="A318" s="42" t="s">
        <v>6216</v>
      </c>
      <c r="B318" s="40" t="s">
        <v>11</v>
      </c>
      <c r="C318" s="42" t="s">
        <v>6196</v>
      </c>
      <c r="D318" s="43"/>
      <c r="E318" s="43"/>
      <c r="F318" s="42" t="s">
        <v>6218</v>
      </c>
      <c r="G318" s="43"/>
      <c r="H318" s="43" t="s">
        <v>6186</v>
      </c>
      <c r="I318" s="42" t="s">
        <v>6219</v>
      </c>
      <c r="J318" s="40" t="s">
        <v>13</v>
      </c>
      <c r="K318" s="43" t="s">
        <v>6186</v>
      </c>
      <c r="L318" s="43" t="s">
        <v>6186</v>
      </c>
      <c r="M318" s="43" t="s">
        <v>6186</v>
      </c>
      <c r="N318" s="43" t="s">
        <v>6186</v>
      </c>
      <c r="O318" s="43" t="s">
        <v>6186</v>
      </c>
      <c r="P318" s="43" t="s">
        <v>6186</v>
      </c>
    </row>
    <row r="319" spans="1:16" x14ac:dyDescent="0.15">
      <c r="A319" s="42" t="s">
        <v>6220</v>
      </c>
      <c r="B319" s="40" t="s">
        <v>14</v>
      </c>
      <c r="C319" s="42" t="s">
        <v>6245</v>
      </c>
      <c r="D319" s="43"/>
      <c r="E319" s="43"/>
      <c r="F319" s="42" t="s">
        <v>6118</v>
      </c>
      <c r="G319" s="43"/>
      <c r="H319" s="43" t="s">
        <v>6186</v>
      </c>
      <c r="I319" s="42" t="s">
        <v>6221</v>
      </c>
      <c r="J319" s="40" t="s">
        <v>15</v>
      </c>
      <c r="K319" s="43" t="s">
        <v>6186</v>
      </c>
      <c r="L319" s="43" t="s">
        <v>6186</v>
      </c>
      <c r="M319" s="43" t="s">
        <v>6186</v>
      </c>
      <c r="N319" s="43" t="s">
        <v>6186</v>
      </c>
      <c r="O319" s="43" t="s">
        <v>6186</v>
      </c>
      <c r="P319" s="43" t="s">
        <v>6186</v>
      </c>
    </row>
    <row r="320" spans="1:16" x14ac:dyDescent="0.15">
      <c r="A320" s="42" t="s">
        <v>6222</v>
      </c>
      <c r="B320" s="40" t="s">
        <v>13</v>
      </c>
      <c r="C320" s="42" t="s">
        <v>6188</v>
      </c>
      <c r="D320" s="43"/>
      <c r="E320" s="43"/>
      <c r="F320" s="42" t="s">
        <v>6223</v>
      </c>
      <c r="G320" s="43"/>
      <c r="H320" s="43" t="s">
        <v>6186</v>
      </c>
      <c r="I320" s="42" t="s">
        <v>6224</v>
      </c>
      <c r="J320" s="40" t="s">
        <v>16</v>
      </c>
      <c r="K320" s="43" t="s">
        <v>6186</v>
      </c>
      <c r="L320" s="43" t="s">
        <v>6186</v>
      </c>
      <c r="M320" s="43" t="s">
        <v>6186</v>
      </c>
      <c r="N320" s="43" t="s">
        <v>6186</v>
      </c>
      <c r="O320" s="43" t="s">
        <v>6186</v>
      </c>
      <c r="P320" s="43" t="s">
        <v>6186</v>
      </c>
    </row>
    <row r="321" spans="1:16" x14ac:dyDescent="0.15">
      <c r="A321" s="42" t="s">
        <v>6225</v>
      </c>
      <c r="B321" s="40" t="s">
        <v>15</v>
      </c>
      <c r="C321" s="42" t="s">
        <v>6209</v>
      </c>
      <c r="D321" s="43" t="s">
        <v>6186</v>
      </c>
      <c r="E321" s="43" t="s">
        <v>6186</v>
      </c>
      <c r="F321" s="42" t="s">
        <v>6252</v>
      </c>
      <c r="G321" s="43" t="s">
        <v>6186</v>
      </c>
      <c r="H321" s="43" t="s">
        <v>6186</v>
      </c>
      <c r="I321" s="42" t="s">
        <v>6227</v>
      </c>
      <c r="J321" s="40" t="s">
        <v>17</v>
      </c>
      <c r="K321" s="43" t="s">
        <v>6186</v>
      </c>
      <c r="L321" s="43" t="s">
        <v>6186</v>
      </c>
      <c r="M321" s="43" t="s">
        <v>6186</v>
      </c>
      <c r="N321" s="43" t="s">
        <v>6186</v>
      </c>
      <c r="O321" s="43" t="s">
        <v>6186</v>
      </c>
      <c r="P321" s="43" t="s">
        <v>6186</v>
      </c>
    </row>
    <row r="322" spans="1:16" x14ac:dyDescent="0.15">
      <c r="A322" s="42" t="s">
        <v>6228</v>
      </c>
      <c r="B322" s="40" t="s">
        <v>16</v>
      </c>
      <c r="C322" s="42" t="s">
        <v>6196</v>
      </c>
      <c r="D322" s="43" t="s">
        <v>6186</v>
      </c>
      <c r="E322" s="43" t="s">
        <v>6186</v>
      </c>
      <c r="F322" s="42" t="s">
        <v>6229</v>
      </c>
      <c r="G322" s="43" t="s">
        <v>6186</v>
      </c>
      <c r="H322" s="43" t="s">
        <v>6186</v>
      </c>
      <c r="I322" s="42" t="s">
        <v>6230</v>
      </c>
      <c r="J322" s="40" t="s">
        <v>18</v>
      </c>
      <c r="K322" s="43" t="s">
        <v>6186</v>
      </c>
      <c r="L322" s="43" t="s">
        <v>6186</v>
      </c>
      <c r="M322" s="43" t="s">
        <v>6186</v>
      </c>
      <c r="N322" s="43" t="s">
        <v>6186</v>
      </c>
      <c r="O322" s="43" t="s">
        <v>6186</v>
      </c>
      <c r="P322" s="43" t="s">
        <v>6186</v>
      </c>
    </row>
    <row r="323" spans="1:16" x14ac:dyDescent="0.15">
      <c r="A323" s="42" t="s">
        <v>6231</v>
      </c>
      <c r="B323" s="40" t="s">
        <v>17</v>
      </c>
      <c r="C323" s="42" t="s">
        <v>6232</v>
      </c>
      <c r="D323" s="43" t="s">
        <v>6186</v>
      </c>
      <c r="E323" s="43" t="s">
        <v>6186</v>
      </c>
      <c r="F323" s="42" t="s">
        <v>6233</v>
      </c>
      <c r="G323" s="43" t="s">
        <v>6186</v>
      </c>
      <c r="H323" s="43" t="s">
        <v>6186</v>
      </c>
      <c r="I323" s="42" t="s">
        <v>6234</v>
      </c>
      <c r="J323" s="40" t="s">
        <v>11</v>
      </c>
      <c r="K323" s="43" t="s">
        <v>6186</v>
      </c>
      <c r="L323" s="43" t="s">
        <v>6186</v>
      </c>
      <c r="M323" s="43" t="s">
        <v>6186</v>
      </c>
      <c r="N323" s="43" t="s">
        <v>6186</v>
      </c>
      <c r="O323" s="43" t="s">
        <v>6186</v>
      </c>
      <c r="P323" s="43" t="s">
        <v>6186</v>
      </c>
    </row>
    <row r="324" spans="1:16" x14ac:dyDescent="0.15">
      <c r="A324" s="42" t="s">
        <v>6235</v>
      </c>
      <c r="B324" s="40" t="s">
        <v>18</v>
      </c>
      <c r="C324" s="42" t="s">
        <v>6244</v>
      </c>
      <c r="D324" s="43" t="s">
        <v>6186</v>
      </c>
      <c r="E324" s="43" t="s">
        <v>6186</v>
      </c>
      <c r="F324" s="42" t="s">
        <v>6236</v>
      </c>
      <c r="G324" s="43" t="s">
        <v>6186</v>
      </c>
      <c r="H324" s="43" t="s">
        <v>6186</v>
      </c>
      <c r="I324" s="42" t="s">
        <v>12</v>
      </c>
      <c r="J324" s="42" t="s">
        <v>12</v>
      </c>
      <c r="K324" s="42" t="s">
        <v>12</v>
      </c>
      <c r="L324" s="42" t="s">
        <v>12</v>
      </c>
      <c r="M324" s="42" t="s">
        <v>12</v>
      </c>
      <c r="N324" s="42" t="s">
        <v>12</v>
      </c>
      <c r="O324" s="42" t="s">
        <v>12</v>
      </c>
      <c r="P324" s="42" t="s">
        <v>12</v>
      </c>
    </row>
    <row r="325" spans="1:16" x14ac:dyDescent="0.15">
      <c r="A325" s="35"/>
      <c r="C325" s="46"/>
      <c r="D325" s="46"/>
      <c r="E325" s="46"/>
      <c r="F325" s="46"/>
      <c r="G325" s="47"/>
      <c r="H325" s="47"/>
      <c r="I325" s="36"/>
      <c r="M325" s="131" t="s">
        <v>6237</v>
      </c>
      <c r="N325" s="131"/>
      <c r="O325" s="131"/>
      <c r="P325" s="131"/>
    </row>
    <row r="326" spans="1:16" x14ac:dyDescent="0.15">
      <c r="A326" s="34"/>
    </row>
    <row r="327" spans="1:16" x14ac:dyDescent="0.15">
      <c r="A327" s="34"/>
    </row>
    <row r="328" spans="1:16" x14ac:dyDescent="0.15">
      <c r="A328" s="35"/>
      <c r="B328" s="36"/>
    </row>
    <row r="329" spans="1:16" x14ac:dyDescent="0.15">
      <c r="A329" s="124" t="s">
        <v>6178</v>
      </c>
      <c r="B329" s="125"/>
      <c r="C329" s="125"/>
      <c r="D329" s="126"/>
      <c r="E329" s="124" t="s">
        <v>6299</v>
      </c>
      <c r="F329" s="125"/>
      <c r="G329" s="126"/>
      <c r="H329" s="124" t="s">
        <v>6300</v>
      </c>
      <c r="I329" s="126"/>
      <c r="J329" s="125" t="s">
        <v>6181</v>
      </c>
      <c r="K329" s="125"/>
      <c r="L329" s="126"/>
      <c r="M329" s="124" t="s">
        <v>6182</v>
      </c>
      <c r="N329" s="125"/>
      <c r="O329" s="125"/>
      <c r="P329" s="126"/>
    </row>
    <row r="330" spans="1:16" x14ac:dyDescent="0.15">
      <c r="A330" s="124" t="s">
        <v>6273</v>
      </c>
      <c r="B330" s="125"/>
      <c r="C330" s="125"/>
      <c r="D330" s="125"/>
      <c r="E330" s="125"/>
      <c r="F330" s="125"/>
      <c r="G330" s="125"/>
      <c r="H330" s="125"/>
      <c r="I330" s="125"/>
      <c r="J330" s="125"/>
      <c r="K330" s="125"/>
      <c r="L330" s="125"/>
      <c r="M330" s="125"/>
      <c r="N330" s="125"/>
      <c r="O330" s="125"/>
      <c r="P330" s="126"/>
    </row>
    <row r="331" spans="1:16" x14ac:dyDescent="0.15">
      <c r="A331" s="124" t="s">
        <v>6184</v>
      </c>
      <c r="B331" s="125"/>
      <c r="C331" s="125"/>
      <c r="D331" s="125"/>
      <c r="E331" s="125"/>
      <c r="F331" s="125"/>
      <c r="G331" s="125"/>
      <c r="H331" s="125"/>
      <c r="I331" s="125"/>
      <c r="J331" s="125"/>
      <c r="K331" s="125"/>
      <c r="L331" s="125"/>
      <c r="M331" s="125"/>
      <c r="N331" s="125"/>
      <c r="O331" s="125"/>
      <c r="P331" s="126"/>
    </row>
    <row r="332" spans="1:16" x14ac:dyDescent="0.15">
      <c r="A332" s="37"/>
      <c r="B332" s="38"/>
      <c r="C332" s="127" t="s">
        <v>4</v>
      </c>
      <c r="D332" s="128"/>
      <c r="E332" s="129" t="s">
        <v>5</v>
      </c>
      <c r="F332" s="130"/>
      <c r="G332" s="129" t="s">
        <v>6</v>
      </c>
      <c r="H332" s="130"/>
      <c r="I332" s="38"/>
      <c r="J332" s="38"/>
      <c r="K332" s="127" t="s">
        <v>4</v>
      </c>
      <c r="L332" s="128"/>
      <c r="M332" s="129" t="s">
        <v>5</v>
      </c>
      <c r="N332" s="130"/>
      <c r="O332" s="129" t="s">
        <v>6</v>
      </c>
      <c r="P332" s="130"/>
    </row>
    <row r="333" spans="1:16" ht="24" x14ac:dyDescent="0.15">
      <c r="A333" s="39" t="s">
        <v>7</v>
      </c>
      <c r="B333" s="40" t="s">
        <v>8</v>
      </c>
      <c r="C333" s="41" t="s">
        <v>9</v>
      </c>
      <c r="D333" s="41" t="s">
        <v>10</v>
      </c>
      <c r="E333" s="41" t="s">
        <v>9</v>
      </c>
      <c r="F333" s="41" t="s">
        <v>10</v>
      </c>
      <c r="G333" s="41" t="s">
        <v>9</v>
      </c>
      <c r="H333" s="41" t="s">
        <v>10</v>
      </c>
      <c r="I333" s="48" t="s">
        <v>7</v>
      </c>
      <c r="J333" s="40" t="s">
        <v>8</v>
      </c>
      <c r="K333" s="41" t="s">
        <v>9</v>
      </c>
      <c r="L333" s="41" t="s">
        <v>10</v>
      </c>
      <c r="M333" s="41" t="s">
        <v>9</v>
      </c>
      <c r="N333" s="41" t="s">
        <v>10</v>
      </c>
      <c r="O333" s="41" t="s">
        <v>9</v>
      </c>
      <c r="P333" s="41" t="s">
        <v>10</v>
      </c>
    </row>
    <row r="334" spans="1:16" x14ac:dyDescent="0.15">
      <c r="A334" s="42" t="s">
        <v>6185</v>
      </c>
      <c r="B334" s="40" t="s">
        <v>17</v>
      </c>
      <c r="C334" s="42" t="s">
        <v>6192</v>
      </c>
      <c r="D334" s="43"/>
      <c r="E334" s="43"/>
      <c r="F334" s="42" t="s">
        <v>6274</v>
      </c>
      <c r="G334" s="42"/>
      <c r="H334" s="42" t="s">
        <v>6186</v>
      </c>
      <c r="I334" s="42" t="s">
        <v>6187</v>
      </c>
      <c r="J334" s="40" t="s">
        <v>11</v>
      </c>
      <c r="K334" s="42"/>
      <c r="L334" s="42"/>
      <c r="M334" s="42"/>
      <c r="N334" s="42"/>
      <c r="O334" s="42" t="s">
        <v>6186</v>
      </c>
      <c r="P334" s="42" t="s">
        <v>6186</v>
      </c>
    </row>
    <row r="335" spans="1:16" x14ac:dyDescent="0.15">
      <c r="A335" s="42" t="s">
        <v>6190</v>
      </c>
      <c r="B335" s="40" t="s">
        <v>18</v>
      </c>
      <c r="C335" s="42" t="s">
        <v>6250</v>
      </c>
      <c r="D335" s="43"/>
      <c r="E335" s="43"/>
      <c r="F335" s="42" t="s">
        <v>6275</v>
      </c>
      <c r="G335" s="43"/>
      <c r="H335" s="43" t="s">
        <v>6186</v>
      </c>
      <c r="I335" s="42" t="s">
        <v>6191</v>
      </c>
      <c r="J335" s="40" t="s">
        <v>14</v>
      </c>
      <c r="K335" s="42" t="s">
        <v>6213</v>
      </c>
      <c r="L335" s="43" t="s">
        <v>6186</v>
      </c>
      <c r="M335" s="43" t="s">
        <v>6186</v>
      </c>
      <c r="N335" s="42" t="s">
        <v>6193</v>
      </c>
      <c r="O335" s="43" t="s">
        <v>6186</v>
      </c>
      <c r="P335" s="43" t="s">
        <v>6186</v>
      </c>
    </row>
    <row r="336" spans="1:16" x14ac:dyDescent="0.15">
      <c r="A336" s="42" t="s">
        <v>6194</v>
      </c>
      <c r="B336" s="40" t="s">
        <v>11</v>
      </c>
      <c r="C336" s="42" t="s">
        <v>6213</v>
      </c>
      <c r="D336" s="43"/>
      <c r="E336" s="43"/>
      <c r="F336" s="42" t="s">
        <v>6276</v>
      </c>
      <c r="G336" s="43"/>
      <c r="H336" s="43" t="s">
        <v>6186</v>
      </c>
      <c r="I336" s="42" t="s">
        <v>6195</v>
      </c>
      <c r="J336" s="40" t="s">
        <v>13</v>
      </c>
      <c r="K336" s="42" t="s">
        <v>6250</v>
      </c>
      <c r="L336" s="43" t="s">
        <v>6186</v>
      </c>
      <c r="M336" s="43" t="s">
        <v>6186</v>
      </c>
      <c r="N336" s="42" t="s">
        <v>6197</v>
      </c>
      <c r="O336" s="43" t="s">
        <v>6186</v>
      </c>
      <c r="P336" s="43" t="s">
        <v>6186</v>
      </c>
    </row>
    <row r="337" spans="1:16" x14ac:dyDescent="0.15">
      <c r="A337" s="42" t="s">
        <v>6198</v>
      </c>
      <c r="B337" s="40" t="s">
        <v>14</v>
      </c>
      <c r="C337" s="43"/>
      <c r="D337" s="43"/>
      <c r="E337" s="43"/>
      <c r="F337" s="43"/>
      <c r="G337" s="43"/>
      <c r="H337" s="43" t="s">
        <v>6186</v>
      </c>
      <c r="I337" s="42" t="s">
        <v>6199</v>
      </c>
      <c r="J337" s="40" t="s">
        <v>15</v>
      </c>
      <c r="K337" s="42" t="s">
        <v>6217</v>
      </c>
      <c r="L337" s="43" t="s">
        <v>6186</v>
      </c>
      <c r="M337" s="43" t="s">
        <v>6186</v>
      </c>
      <c r="N337" s="42" t="s">
        <v>6201</v>
      </c>
      <c r="O337" s="43" t="s">
        <v>6186</v>
      </c>
      <c r="P337" s="43" t="s">
        <v>6186</v>
      </c>
    </row>
    <row r="338" spans="1:16" x14ac:dyDescent="0.15">
      <c r="A338" s="42" t="s">
        <v>6202</v>
      </c>
      <c r="B338" s="40" t="s">
        <v>13</v>
      </c>
      <c r="C338" s="43"/>
      <c r="D338" s="43"/>
      <c r="E338" s="43"/>
      <c r="F338" s="43"/>
      <c r="G338" s="43"/>
      <c r="H338" s="43" t="s">
        <v>6186</v>
      </c>
      <c r="I338" s="42" t="s">
        <v>6203</v>
      </c>
      <c r="J338" s="40" t="s">
        <v>16</v>
      </c>
      <c r="K338" s="43" t="s">
        <v>6186</v>
      </c>
      <c r="L338" s="43" t="s">
        <v>6186</v>
      </c>
      <c r="M338" s="43" t="s">
        <v>6186</v>
      </c>
      <c r="N338" s="43" t="s">
        <v>6186</v>
      </c>
      <c r="O338" s="43" t="s">
        <v>6186</v>
      </c>
      <c r="P338" s="43" t="s">
        <v>6186</v>
      </c>
    </row>
    <row r="339" spans="1:16" x14ac:dyDescent="0.15">
      <c r="A339" s="42" t="s">
        <v>6204</v>
      </c>
      <c r="B339" s="40" t="s">
        <v>15</v>
      </c>
      <c r="C339" s="42" t="s">
        <v>6232</v>
      </c>
      <c r="D339" s="43"/>
      <c r="E339" s="43"/>
      <c r="F339" s="42" t="s">
        <v>6248</v>
      </c>
      <c r="G339" s="43"/>
      <c r="H339" s="43" t="s">
        <v>6186</v>
      </c>
      <c r="I339" s="42" t="s">
        <v>6205</v>
      </c>
      <c r="J339" s="40" t="s">
        <v>17</v>
      </c>
      <c r="K339" s="43" t="s">
        <v>6186</v>
      </c>
      <c r="L339" s="43" t="s">
        <v>6186</v>
      </c>
      <c r="M339" s="43" t="s">
        <v>6186</v>
      </c>
      <c r="N339" s="43" t="s">
        <v>6186</v>
      </c>
      <c r="O339" s="43" t="s">
        <v>6186</v>
      </c>
      <c r="P339" s="43" t="s">
        <v>6186</v>
      </c>
    </row>
    <row r="340" spans="1:16" x14ac:dyDescent="0.15">
      <c r="A340" s="42" t="s">
        <v>6206</v>
      </c>
      <c r="B340" s="40" t="s">
        <v>16</v>
      </c>
      <c r="C340" s="42" t="s">
        <v>6250</v>
      </c>
      <c r="D340" s="43"/>
      <c r="E340" s="43"/>
      <c r="F340" s="42" t="s">
        <v>6249</v>
      </c>
      <c r="G340" s="42"/>
      <c r="H340" s="42" t="s">
        <v>6186</v>
      </c>
      <c r="I340" s="42" t="s">
        <v>6207</v>
      </c>
      <c r="J340" s="40" t="s">
        <v>18</v>
      </c>
      <c r="K340" s="42" t="s">
        <v>6186</v>
      </c>
      <c r="L340" s="42" t="s">
        <v>6186</v>
      </c>
      <c r="M340" s="42" t="s">
        <v>6186</v>
      </c>
      <c r="N340" s="42" t="s">
        <v>6186</v>
      </c>
      <c r="O340" s="42" t="s">
        <v>6186</v>
      </c>
      <c r="P340" s="42" t="s">
        <v>6186</v>
      </c>
    </row>
    <row r="341" spans="1:16" x14ac:dyDescent="0.15">
      <c r="A341" s="42" t="s">
        <v>6208</v>
      </c>
      <c r="B341" s="40" t="s">
        <v>17</v>
      </c>
      <c r="C341" s="42" t="s">
        <v>6217</v>
      </c>
      <c r="D341" s="43"/>
      <c r="E341" s="43"/>
      <c r="F341" s="42" t="s">
        <v>6210</v>
      </c>
      <c r="G341" s="42"/>
      <c r="H341" s="42" t="s">
        <v>6186</v>
      </c>
      <c r="I341" s="42" t="s">
        <v>6211</v>
      </c>
      <c r="J341" s="40" t="s">
        <v>11</v>
      </c>
      <c r="K341" s="42" t="s">
        <v>6186</v>
      </c>
      <c r="L341" s="42" t="s">
        <v>6186</v>
      </c>
      <c r="M341" s="42" t="s">
        <v>6186</v>
      </c>
      <c r="N341" s="42" t="s">
        <v>6186</v>
      </c>
      <c r="O341" s="42" t="s">
        <v>6186</v>
      </c>
      <c r="P341" s="42" t="s">
        <v>6186</v>
      </c>
    </row>
    <row r="342" spans="1:16" x14ac:dyDescent="0.15">
      <c r="A342" s="42" t="s">
        <v>6212</v>
      </c>
      <c r="B342" s="40" t="s">
        <v>18</v>
      </c>
      <c r="C342" s="42" t="s">
        <v>6213</v>
      </c>
      <c r="D342" s="43"/>
      <c r="E342" s="43"/>
      <c r="F342" s="42" t="s">
        <v>6201</v>
      </c>
      <c r="G342" s="42"/>
      <c r="H342" s="42" t="s">
        <v>6186</v>
      </c>
      <c r="I342" s="42" t="s">
        <v>6215</v>
      </c>
      <c r="J342" s="40" t="s">
        <v>14</v>
      </c>
      <c r="K342" s="42" t="s">
        <v>6186</v>
      </c>
      <c r="L342" s="42" t="s">
        <v>6186</v>
      </c>
      <c r="M342" s="42" t="s">
        <v>6186</v>
      </c>
      <c r="N342" s="42" t="s">
        <v>6186</v>
      </c>
      <c r="O342" s="42" t="s">
        <v>6186</v>
      </c>
      <c r="P342" s="42" t="s">
        <v>6186</v>
      </c>
    </row>
    <row r="343" spans="1:16" x14ac:dyDescent="0.15">
      <c r="A343" s="42" t="s">
        <v>6216</v>
      </c>
      <c r="B343" s="40" t="s">
        <v>11</v>
      </c>
      <c r="C343" s="42" t="s">
        <v>6209</v>
      </c>
      <c r="D343" s="43"/>
      <c r="E343" s="43"/>
      <c r="F343" s="42" t="s">
        <v>6218</v>
      </c>
      <c r="G343" s="43"/>
      <c r="H343" s="43" t="s">
        <v>6186</v>
      </c>
      <c r="I343" s="42" t="s">
        <v>6219</v>
      </c>
      <c r="J343" s="40" t="s">
        <v>13</v>
      </c>
      <c r="K343" s="43" t="s">
        <v>6186</v>
      </c>
      <c r="L343" s="43" t="s">
        <v>6186</v>
      </c>
      <c r="M343" s="43" t="s">
        <v>6186</v>
      </c>
      <c r="N343" s="43" t="s">
        <v>6186</v>
      </c>
      <c r="O343" s="43" t="s">
        <v>6186</v>
      </c>
      <c r="P343" s="43" t="s">
        <v>6186</v>
      </c>
    </row>
    <row r="344" spans="1:16" x14ac:dyDescent="0.15">
      <c r="A344" s="42" t="s">
        <v>6220</v>
      </c>
      <c r="B344" s="40" t="s">
        <v>14</v>
      </c>
      <c r="C344" s="42"/>
      <c r="D344" s="43"/>
      <c r="E344" s="43"/>
      <c r="F344" s="42"/>
      <c r="G344" s="43"/>
      <c r="H344" s="43" t="s">
        <v>6186</v>
      </c>
      <c r="I344" s="42" t="s">
        <v>6221</v>
      </c>
      <c r="J344" s="40" t="s">
        <v>15</v>
      </c>
      <c r="K344" s="43" t="s">
        <v>6186</v>
      </c>
      <c r="L344" s="43" t="s">
        <v>6186</v>
      </c>
      <c r="M344" s="43" t="s">
        <v>6186</v>
      </c>
      <c r="N344" s="43" t="s">
        <v>6186</v>
      </c>
      <c r="O344" s="43" t="s">
        <v>6186</v>
      </c>
      <c r="P344" s="43" t="s">
        <v>6186</v>
      </c>
    </row>
    <row r="345" spans="1:16" x14ac:dyDescent="0.15">
      <c r="A345" s="42" t="s">
        <v>6222</v>
      </c>
      <c r="B345" s="40" t="s">
        <v>13</v>
      </c>
      <c r="C345" s="42" t="s">
        <v>6209</v>
      </c>
      <c r="D345" s="43"/>
      <c r="E345" s="43"/>
      <c r="F345" s="42" t="s">
        <v>6223</v>
      </c>
      <c r="G345" s="43"/>
      <c r="H345" s="43" t="s">
        <v>6186</v>
      </c>
      <c r="I345" s="42" t="s">
        <v>6224</v>
      </c>
      <c r="J345" s="40" t="s">
        <v>16</v>
      </c>
      <c r="K345" s="43" t="s">
        <v>6186</v>
      </c>
      <c r="L345" s="43" t="s">
        <v>6186</v>
      </c>
      <c r="M345" s="43" t="s">
        <v>6186</v>
      </c>
      <c r="N345" s="43" t="s">
        <v>6186</v>
      </c>
      <c r="O345" s="43" t="s">
        <v>6186</v>
      </c>
      <c r="P345" s="43" t="s">
        <v>6186</v>
      </c>
    </row>
    <row r="346" spans="1:16" x14ac:dyDescent="0.15">
      <c r="A346" s="42" t="s">
        <v>6225</v>
      </c>
      <c r="B346" s="40" t="s">
        <v>15</v>
      </c>
      <c r="C346" s="42" t="s">
        <v>6244</v>
      </c>
      <c r="D346" s="43" t="s">
        <v>6186</v>
      </c>
      <c r="E346" s="43" t="s">
        <v>6186</v>
      </c>
      <c r="F346" s="42" t="s">
        <v>6252</v>
      </c>
      <c r="G346" s="43" t="s">
        <v>6186</v>
      </c>
      <c r="H346" s="43" t="s">
        <v>6186</v>
      </c>
      <c r="I346" s="42" t="s">
        <v>6227</v>
      </c>
      <c r="J346" s="40" t="s">
        <v>17</v>
      </c>
      <c r="K346" s="43" t="s">
        <v>6186</v>
      </c>
      <c r="L346" s="43" t="s">
        <v>6186</v>
      </c>
      <c r="M346" s="43" t="s">
        <v>6186</v>
      </c>
      <c r="N346" s="43" t="s">
        <v>6186</v>
      </c>
      <c r="O346" s="43" t="s">
        <v>6186</v>
      </c>
      <c r="P346" s="43" t="s">
        <v>6186</v>
      </c>
    </row>
    <row r="347" spans="1:16" x14ac:dyDescent="0.15">
      <c r="A347" s="42" t="s">
        <v>6228</v>
      </c>
      <c r="B347" s="40" t="s">
        <v>16</v>
      </c>
      <c r="C347" s="42" t="s">
        <v>6192</v>
      </c>
      <c r="D347" s="43" t="s">
        <v>6186</v>
      </c>
      <c r="E347" s="43" t="s">
        <v>6186</v>
      </c>
      <c r="F347" s="42" t="s">
        <v>6229</v>
      </c>
      <c r="G347" s="43" t="s">
        <v>6186</v>
      </c>
      <c r="H347" s="43" t="s">
        <v>6186</v>
      </c>
      <c r="I347" s="42" t="s">
        <v>6230</v>
      </c>
      <c r="J347" s="40" t="s">
        <v>18</v>
      </c>
      <c r="K347" s="43" t="s">
        <v>6186</v>
      </c>
      <c r="L347" s="43" t="s">
        <v>6186</v>
      </c>
      <c r="M347" s="43" t="s">
        <v>6186</v>
      </c>
      <c r="N347" s="43" t="s">
        <v>6186</v>
      </c>
      <c r="O347" s="43" t="s">
        <v>6186</v>
      </c>
      <c r="P347" s="43" t="s">
        <v>6186</v>
      </c>
    </row>
    <row r="348" spans="1:16" x14ac:dyDescent="0.15">
      <c r="A348" s="42" t="s">
        <v>6231</v>
      </c>
      <c r="B348" s="40" t="s">
        <v>17</v>
      </c>
      <c r="C348" s="42" t="s">
        <v>6232</v>
      </c>
      <c r="D348" s="43" t="s">
        <v>6186</v>
      </c>
      <c r="E348" s="43" t="s">
        <v>6186</v>
      </c>
      <c r="F348" s="42" t="s">
        <v>6233</v>
      </c>
      <c r="G348" s="43" t="s">
        <v>6186</v>
      </c>
      <c r="H348" s="43" t="s">
        <v>6186</v>
      </c>
      <c r="I348" s="42" t="s">
        <v>6234</v>
      </c>
      <c r="J348" s="40" t="s">
        <v>11</v>
      </c>
      <c r="K348" s="43" t="s">
        <v>6186</v>
      </c>
      <c r="L348" s="43" t="s">
        <v>6186</v>
      </c>
      <c r="M348" s="43" t="s">
        <v>6186</v>
      </c>
      <c r="N348" s="43" t="s">
        <v>6186</v>
      </c>
      <c r="O348" s="43" t="s">
        <v>6186</v>
      </c>
      <c r="P348" s="43" t="s">
        <v>6186</v>
      </c>
    </row>
    <row r="349" spans="1:16" x14ac:dyDescent="0.15">
      <c r="A349" s="42" t="s">
        <v>6235</v>
      </c>
      <c r="B349" s="40" t="s">
        <v>18</v>
      </c>
      <c r="C349" s="42" t="s">
        <v>6244</v>
      </c>
      <c r="D349" s="43" t="s">
        <v>6186</v>
      </c>
      <c r="E349" s="43" t="s">
        <v>6186</v>
      </c>
      <c r="F349" s="42" t="s">
        <v>6236</v>
      </c>
      <c r="G349" s="43" t="s">
        <v>6186</v>
      </c>
      <c r="H349" s="43" t="s">
        <v>6186</v>
      </c>
      <c r="I349" s="42" t="s">
        <v>12</v>
      </c>
      <c r="J349" s="42" t="s">
        <v>12</v>
      </c>
      <c r="K349" s="42" t="s">
        <v>12</v>
      </c>
      <c r="L349" s="42" t="s">
        <v>12</v>
      </c>
      <c r="M349" s="42" t="s">
        <v>12</v>
      </c>
      <c r="N349" s="42" t="s">
        <v>12</v>
      </c>
      <c r="O349" s="42" t="s">
        <v>12</v>
      </c>
      <c r="P349" s="42" t="s">
        <v>12</v>
      </c>
    </row>
    <row r="350" spans="1:16" x14ac:dyDescent="0.15">
      <c r="A350" s="35"/>
      <c r="C350" s="58"/>
      <c r="D350" s="58"/>
      <c r="E350" s="58"/>
      <c r="F350" s="58"/>
      <c r="G350" s="47"/>
      <c r="H350" s="47"/>
      <c r="I350" s="36"/>
      <c r="M350" s="131" t="s">
        <v>6237</v>
      </c>
      <c r="N350" s="131"/>
      <c r="O350" s="131"/>
      <c r="P350" s="131"/>
    </row>
    <row r="351" spans="1:16" x14ac:dyDescent="0.15">
      <c r="A351" s="34"/>
    </row>
    <row r="352" spans="1:16" x14ac:dyDescent="0.15">
      <c r="A352" s="34"/>
    </row>
    <row r="353" spans="1:16" x14ac:dyDescent="0.15">
      <c r="A353" s="35"/>
      <c r="B353" s="36"/>
    </row>
    <row r="354" spans="1:16" x14ac:dyDescent="0.15">
      <c r="A354" s="124" t="s">
        <v>6178</v>
      </c>
      <c r="B354" s="125"/>
      <c r="C354" s="125"/>
      <c r="D354" s="126"/>
      <c r="E354" s="124" t="s">
        <v>6301</v>
      </c>
      <c r="F354" s="125"/>
      <c r="G354" s="126"/>
      <c r="H354" s="124" t="s">
        <v>6302</v>
      </c>
      <c r="I354" s="126"/>
      <c r="J354" s="125" t="s">
        <v>6181</v>
      </c>
      <c r="K354" s="125"/>
      <c r="L354" s="126"/>
      <c r="M354" s="124" t="s">
        <v>6182</v>
      </c>
      <c r="N354" s="125"/>
      <c r="O354" s="125"/>
      <c r="P354" s="126"/>
    </row>
    <row r="355" spans="1:16" x14ac:dyDescent="0.15">
      <c r="A355" s="124" t="s">
        <v>6303</v>
      </c>
      <c r="B355" s="125"/>
      <c r="C355" s="125"/>
      <c r="D355" s="125"/>
      <c r="E355" s="125"/>
      <c r="F355" s="125"/>
      <c r="G355" s="125"/>
      <c r="H355" s="125"/>
      <c r="I355" s="125"/>
      <c r="J355" s="125"/>
      <c r="K355" s="125"/>
      <c r="L355" s="125"/>
      <c r="M355" s="125"/>
      <c r="N355" s="125"/>
      <c r="O355" s="125"/>
      <c r="P355" s="126"/>
    </row>
    <row r="356" spans="1:16" x14ac:dyDescent="0.15">
      <c r="A356" s="124" t="s">
        <v>6184</v>
      </c>
      <c r="B356" s="125"/>
      <c r="C356" s="125"/>
      <c r="D356" s="125"/>
      <c r="E356" s="125"/>
      <c r="F356" s="125"/>
      <c r="G356" s="125"/>
      <c r="H356" s="125"/>
      <c r="I356" s="125"/>
      <c r="J356" s="125"/>
      <c r="K356" s="125"/>
      <c r="L356" s="125"/>
      <c r="M356" s="125"/>
      <c r="N356" s="125"/>
      <c r="O356" s="125"/>
      <c r="P356" s="126"/>
    </row>
    <row r="357" spans="1:16" x14ac:dyDescent="0.15">
      <c r="A357" s="37"/>
      <c r="B357" s="38"/>
      <c r="C357" s="127" t="s">
        <v>4</v>
      </c>
      <c r="D357" s="128"/>
      <c r="E357" s="129" t="s">
        <v>5</v>
      </c>
      <c r="F357" s="130"/>
      <c r="G357" s="129" t="s">
        <v>6</v>
      </c>
      <c r="H357" s="130"/>
      <c r="I357" s="38"/>
      <c r="J357" s="38"/>
      <c r="K357" s="127" t="s">
        <v>4</v>
      </c>
      <c r="L357" s="128"/>
      <c r="M357" s="129" t="s">
        <v>5</v>
      </c>
      <c r="N357" s="130"/>
      <c r="O357" s="129" t="s">
        <v>6</v>
      </c>
      <c r="P357" s="130"/>
    </row>
    <row r="358" spans="1:16" ht="24" x14ac:dyDescent="0.15">
      <c r="A358" s="39" t="s">
        <v>7</v>
      </c>
      <c r="B358" s="40" t="s">
        <v>8</v>
      </c>
      <c r="C358" s="41" t="s">
        <v>9</v>
      </c>
      <c r="D358" s="41" t="s">
        <v>10</v>
      </c>
      <c r="E358" s="41" t="s">
        <v>9</v>
      </c>
      <c r="F358" s="41" t="s">
        <v>10</v>
      </c>
      <c r="G358" s="41" t="s">
        <v>9</v>
      </c>
      <c r="H358" s="41" t="s">
        <v>10</v>
      </c>
      <c r="I358" s="48" t="s">
        <v>7</v>
      </c>
      <c r="J358" s="40" t="s">
        <v>8</v>
      </c>
      <c r="K358" s="41" t="s">
        <v>9</v>
      </c>
      <c r="L358" s="41" t="s">
        <v>10</v>
      </c>
      <c r="M358" s="41" t="s">
        <v>9</v>
      </c>
      <c r="N358" s="41" t="s">
        <v>10</v>
      </c>
      <c r="O358" s="41" t="s">
        <v>9</v>
      </c>
      <c r="P358" s="41" t="s">
        <v>10</v>
      </c>
    </row>
    <row r="359" spans="1:16" x14ac:dyDescent="0.15">
      <c r="A359" s="42" t="s">
        <v>6185</v>
      </c>
      <c r="B359" s="40" t="s">
        <v>17</v>
      </c>
      <c r="C359" s="42" t="s">
        <v>6196</v>
      </c>
      <c r="D359" s="43"/>
      <c r="E359" s="43"/>
      <c r="F359" s="42" t="s">
        <v>6274</v>
      </c>
      <c r="G359" s="42"/>
      <c r="H359" s="42" t="s">
        <v>6186</v>
      </c>
      <c r="I359" s="42" t="s">
        <v>6187</v>
      </c>
      <c r="J359" s="40" t="s">
        <v>11</v>
      </c>
      <c r="K359" s="42"/>
      <c r="L359" s="42"/>
      <c r="M359" s="42"/>
      <c r="N359" s="42"/>
      <c r="O359" s="42" t="s">
        <v>6186</v>
      </c>
      <c r="P359" s="42" t="s">
        <v>6186</v>
      </c>
    </row>
    <row r="360" spans="1:16" x14ac:dyDescent="0.15">
      <c r="A360" s="42" t="s">
        <v>6190</v>
      </c>
      <c r="B360" s="40" t="s">
        <v>18</v>
      </c>
      <c r="C360" s="42"/>
      <c r="D360" s="42"/>
      <c r="E360" s="42"/>
      <c r="F360" s="42"/>
      <c r="G360" s="42"/>
      <c r="H360" s="42" t="s">
        <v>6186</v>
      </c>
      <c r="I360" s="42" t="s">
        <v>6191</v>
      </c>
      <c r="J360" s="40" t="s">
        <v>14</v>
      </c>
      <c r="K360" s="42" t="s">
        <v>6213</v>
      </c>
      <c r="L360" s="42" t="s">
        <v>6186</v>
      </c>
      <c r="M360" s="42" t="s">
        <v>6186</v>
      </c>
      <c r="N360" s="42" t="s">
        <v>6193</v>
      </c>
      <c r="O360" s="42" t="s">
        <v>6186</v>
      </c>
      <c r="P360" s="42" t="s">
        <v>6186</v>
      </c>
    </row>
    <row r="361" spans="1:16" x14ac:dyDescent="0.15">
      <c r="A361" s="42" t="s">
        <v>6194</v>
      </c>
      <c r="B361" s="40" t="s">
        <v>11</v>
      </c>
      <c r="C361" s="42"/>
      <c r="D361" s="42"/>
      <c r="E361" s="42"/>
      <c r="F361" s="42"/>
      <c r="G361" s="42"/>
      <c r="H361" s="42" t="s">
        <v>6186</v>
      </c>
      <c r="I361" s="42" t="s">
        <v>6195</v>
      </c>
      <c r="J361" s="40" t="s">
        <v>13</v>
      </c>
      <c r="K361" s="42" t="s">
        <v>6250</v>
      </c>
      <c r="L361" s="42" t="s">
        <v>6186</v>
      </c>
      <c r="M361" s="42" t="s">
        <v>6186</v>
      </c>
      <c r="N361" s="42" t="s">
        <v>6197</v>
      </c>
      <c r="O361" s="42" t="s">
        <v>6186</v>
      </c>
      <c r="P361" s="42" t="s">
        <v>6186</v>
      </c>
    </row>
    <row r="362" spans="1:16" x14ac:dyDescent="0.15">
      <c r="A362" s="42" t="s">
        <v>6198</v>
      </c>
      <c r="B362" s="40" t="s">
        <v>14</v>
      </c>
      <c r="C362" s="42" t="s">
        <v>6188</v>
      </c>
      <c r="D362" s="43"/>
      <c r="E362" s="43"/>
      <c r="F362" s="42" t="s">
        <v>6246</v>
      </c>
      <c r="G362" s="43"/>
      <c r="H362" s="43" t="s">
        <v>6186</v>
      </c>
      <c r="I362" s="42" t="s">
        <v>6199</v>
      </c>
      <c r="J362" s="40" t="s">
        <v>15</v>
      </c>
      <c r="K362" s="42" t="s">
        <v>6217</v>
      </c>
      <c r="L362" s="43" t="s">
        <v>6186</v>
      </c>
      <c r="M362" s="43" t="s">
        <v>6186</v>
      </c>
      <c r="N362" s="42" t="s">
        <v>6201</v>
      </c>
      <c r="O362" s="43" t="s">
        <v>6186</v>
      </c>
      <c r="P362" s="43" t="s">
        <v>6186</v>
      </c>
    </row>
    <row r="363" spans="1:16" x14ac:dyDescent="0.15">
      <c r="A363" s="42" t="s">
        <v>6202</v>
      </c>
      <c r="B363" s="40" t="s">
        <v>13</v>
      </c>
      <c r="C363" s="42" t="s">
        <v>6250</v>
      </c>
      <c r="D363" s="43"/>
      <c r="E363" s="43"/>
      <c r="F363" s="42" t="s">
        <v>6247</v>
      </c>
      <c r="G363" s="43"/>
      <c r="H363" s="43" t="s">
        <v>6186</v>
      </c>
      <c r="I363" s="42" t="s">
        <v>6203</v>
      </c>
      <c r="J363" s="40" t="s">
        <v>16</v>
      </c>
      <c r="K363" s="43" t="s">
        <v>6186</v>
      </c>
      <c r="L363" s="43" t="s">
        <v>6186</v>
      </c>
      <c r="M363" s="43" t="s">
        <v>6186</v>
      </c>
      <c r="N363" s="43" t="s">
        <v>6186</v>
      </c>
      <c r="O363" s="43" t="s">
        <v>6186</v>
      </c>
      <c r="P363" s="43" t="s">
        <v>6186</v>
      </c>
    </row>
    <row r="364" spans="1:16" x14ac:dyDescent="0.15">
      <c r="A364" s="42" t="s">
        <v>6204</v>
      </c>
      <c r="B364" s="40" t="s">
        <v>15</v>
      </c>
      <c r="C364" s="42" t="s">
        <v>6232</v>
      </c>
      <c r="D364" s="43"/>
      <c r="E364" s="43"/>
      <c r="F364" s="42" t="s">
        <v>6248</v>
      </c>
      <c r="G364" s="43"/>
      <c r="H364" s="43" t="s">
        <v>6186</v>
      </c>
      <c r="I364" s="42" t="s">
        <v>6205</v>
      </c>
      <c r="J364" s="40" t="s">
        <v>17</v>
      </c>
      <c r="K364" s="43" t="s">
        <v>6186</v>
      </c>
      <c r="L364" s="43" t="s">
        <v>6186</v>
      </c>
      <c r="M364" s="43" t="s">
        <v>6186</v>
      </c>
      <c r="N364" s="43" t="s">
        <v>6186</v>
      </c>
      <c r="O364" s="43" t="s">
        <v>6186</v>
      </c>
      <c r="P364" s="43" t="s">
        <v>6186</v>
      </c>
    </row>
    <row r="365" spans="1:16" x14ac:dyDescent="0.15">
      <c r="A365" s="42" t="s">
        <v>6206</v>
      </c>
      <c r="B365" s="40" t="s">
        <v>16</v>
      </c>
      <c r="C365" s="43"/>
      <c r="D365" s="43"/>
      <c r="E365" s="43"/>
      <c r="F365" s="43"/>
      <c r="G365" s="43"/>
      <c r="H365" s="43" t="s">
        <v>6186</v>
      </c>
      <c r="I365" s="42" t="s">
        <v>6207</v>
      </c>
      <c r="J365" s="40" t="s">
        <v>18</v>
      </c>
      <c r="K365" s="43" t="s">
        <v>6186</v>
      </c>
      <c r="L365" s="43" t="s">
        <v>6186</v>
      </c>
      <c r="M365" s="43" t="s">
        <v>6186</v>
      </c>
      <c r="N365" s="43" t="s">
        <v>6186</v>
      </c>
      <c r="O365" s="43" t="s">
        <v>6186</v>
      </c>
      <c r="P365" s="43" t="s">
        <v>6186</v>
      </c>
    </row>
    <row r="366" spans="1:16" x14ac:dyDescent="0.15">
      <c r="A366" s="42" t="s">
        <v>6208</v>
      </c>
      <c r="B366" s="40" t="s">
        <v>17</v>
      </c>
      <c r="C366" s="42" t="s">
        <v>6217</v>
      </c>
      <c r="D366" s="43"/>
      <c r="E366" s="43"/>
      <c r="F366" s="42" t="s">
        <v>6304</v>
      </c>
      <c r="G366" s="42"/>
      <c r="H366" s="42" t="s">
        <v>6186</v>
      </c>
      <c r="I366" s="42" t="s">
        <v>6211</v>
      </c>
      <c r="J366" s="40" t="s">
        <v>11</v>
      </c>
      <c r="K366" s="42" t="s">
        <v>6186</v>
      </c>
      <c r="L366" s="42" t="s">
        <v>6186</v>
      </c>
      <c r="M366" s="42" t="s">
        <v>6186</v>
      </c>
      <c r="N366" s="42" t="s">
        <v>6186</v>
      </c>
      <c r="O366" s="42" t="s">
        <v>6186</v>
      </c>
      <c r="P366" s="42" t="s">
        <v>6186</v>
      </c>
    </row>
    <row r="367" spans="1:16" x14ac:dyDescent="0.15">
      <c r="A367" s="42" t="s">
        <v>6212</v>
      </c>
      <c r="B367" s="40" t="s">
        <v>18</v>
      </c>
      <c r="C367" s="42" t="s">
        <v>6250</v>
      </c>
      <c r="D367" s="43"/>
      <c r="E367" s="43"/>
      <c r="F367" s="42" t="s">
        <v>6305</v>
      </c>
      <c r="G367" s="42"/>
      <c r="H367" s="42" t="s">
        <v>6186</v>
      </c>
      <c r="I367" s="42" t="s">
        <v>6215</v>
      </c>
      <c r="J367" s="40" t="s">
        <v>14</v>
      </c>
      <c r="K367" s="42" t="s">
        <v>6186</v>
      </c>
      <c r="L367" s="42" t="s">
        <v>6186</v>
      </c>
      <c r="M367" s="42" t="s">
        <v>6186</v>
      </c>
      <c r="N367" s="42" t="s">
        <v>6186</v>
      </c>
      <c r="O367" s="42" t="s">
        <v>6186</v>
      </c>
      <c r="P367" s="42" t="s">
        <v>6186</v>
      </c>
    </row>
    <row r="368" spans="1:16" x14ac:dyDescent="0.15">
      <c r="A368" s="42" t="s">
        <v>6216</v>
      </c>
      <c r="B368" s="40" t="s">
        <v>11</v>
      </c>
      <c r="C368" s="42" t="s">
        <v>6209</v>
      </c>
      <c r="D368" s="43"/>
      <c r="E368" s="43"/>
      <c r="F368" s="42" t="s">
        <v>6218</v>
      </c>
      <c r="G368" s="43"/>
      <c r="H368" s="43" t="s">
        <v>6186</v>
      </c>
      <c r="I368" s="42" t="s">
        <v>6219</v>
      </c>
      <c r="J368" s="40" t="s">
        <v>13</v>
      </c>
      <c r="K368" s="43" t="s">
        <v>6186</v>
      </c>
      <c r="L368" s="43" t="s">
        <v>6186</v>
      </c>
      <c r="M368" s="43" t="s">
        <v>6186</v>
      </c>
      <c r="N368" s="43" t="s">
        <v>6186</v>
      </c>
      <c r="O368" s="43" t="s">
        <v>6186</v>
      </c>
      <c r="P368" s="43" t="s">
        <v>6186</v>
      </c>
    </row>
    <row r="369" spans="1:16" x14ac:dyDescent="0.15">
      <c r="A369" s="42" t="s">
        <v>6220</v>
      </c>
      <c r="B369" s="40" t="s">
        <v>14</v>
      </c>
      <c r="C369" s="42"/>
      <c r="D369" s="43"/>
      <c r="E369" s="43"/>
      <c r="F369" s="42"/>
      <c r="G369" s="43"/>
      <c r="H369" s="43" t="s">
        <v>6186</v>
      </c>
      <c r="I369" s="42" t="s">
        <v>6221</v>
      </c>
      <c r="J369" s="40" t="s">
        <v>15</v>
      </c>
      <c r="K369" s="43" t="s">
        <v>6186</v>
      </c>
      <c r="L369" s="43" t="s">
        <v>6186</v>
      </c>
      <c r="M369" s="43" t="s">
        <v>6186</v>
      </c>
      <c r="N369" s="43" t="s">
        <v>6186</v>
      </c>
      <c r="O369" s="43" t="s">
        <v>6186</v>
      </c>
      <c r="P369" s="43" t="s">
        <v>6186</v>
      </c>
    </row>
    <row r="370" spans="1:16" x14ac:dyDescent="0.15">
      <c r="A370" s="42" t="s">
        <v>6222</v>
      </c>
      <c r="B370" s="40" t="s">
        <v>13</v>
      </c>
      <c r="C370" s="42" t="s">
        <v>6209</v>
      </c>
      <c r="D370" s="43" t="s">
        <v>6186</v>
      </c>
      <c r="E370" s="43" t="s">
        <v>6186</v>
      </c>
      <c r="F370" s="42" t="s">
        <v>6223</v>
      </c>
      <c r="G370" s="43" t="s">
        <v>6186</v>
      </c>
      <c r="H370" s="43" t="s">
        <v>6186</v>
      </c>
      <c r="I370" s="42" t="s">
        <v>6224</v>
      </c>
      <c r="J370" s="40" t="s">
        <v>16</v>
      </c>
      <c r="K370" s="43" t="s">
        <v>6186</v>
      </c>
      <c r="L370" s="43" t="s">
        <v>6186</v>
      </c>
      <c r="M370" s="43" t="s">
        <v>6186</v>
      </c>
      <c r="N370" s="43" t="s">
        <v>6186</v>
      </c>
      <c r="O370" s="43" t="s">
        <v>6186</v>
      </c>
      <c r="P370" s="43" t="s">
        <v>6186</v>
      </c>
    </row>
    <row r="371" spans="1:16" x14ac:dyDescent="0.15">
      <c r="A371" s="42" t="s">
        <v>6225</v>
      </c>
      <c r="B371" s="40" t="s">
        <v>15</v>
      </c>
      <c r="C371" s="42" t="s">
        <v>6244</v>
      </c>
      <c r="D371" s="43" t="s">
        <v>6186</v>
      </c>
      <c r="E371" s="43" t="s">
        <v>6186</v>
      </c>
      <c r="F371" s="42" t="s">
        <v>6252</v>
      </c>
      <c r="G371" s="43" t="s">
        <v>6186</v>
      </c>
      <c r="H371" s="43" t="s">
        <v>6186</v>
      </c>
      <c r="I371" s="42" t="s">
        <v>6227</v>
      </c>
      <c r="J371" s="40" t="s">
        <v>17</v>
      </c>
      <c r="K371" s="43" t="s">
        <v>6186</v>
      </c>
      <c r="L371" s="43" t="s">
        <v>6186</v>
      </c>
      <c r="M371" s="43" t="s">
        <v>6186</v>
      </c>
      <c r="N371" s="43" t="s">
        <v>6186</v>
      </c>
      <c r="O371" s="43" t="s">
        <v>6186</v>
      </c>
      <c r="P371" s="43" t="s">
        <v>6186</v>
      </c>
    </row>
    <row r="372" spans="1:16" x14ac:dyDescent="0.15">
      <c r="A372" s="42" t="s">
        <v>6228</v>
      </c>
      <c r="B372" s="40" t="s">
        <v>16</v>
      </c>
      <c r="C372" s="42" t="s">
        <v>6192</v>
      </c>
      <c r="D372" s="43" t="s">
        <v>6186</v>
      </c>
      <c r="E372" s="43" t="s">
        <v>6186</v>
      </c>
      <c r="F372" s="42" t="s">
        <v>6229</v>
      </c>
      <c r="G372" s="43" t="s">
        <v>6186</v>
      </c>
      <c r="H372" s="43" t="s">
        <v>6186</v>
      </c>
      <c r="I372" s="42" t="s">
        <v>6230</v>
      </c>
      <c r="J372" s="40" t="s">
        <v>18</v>
      </c>
      <c r="K372" s="43" t="s">
        <v>6186</v>
      </c>
      <c r="L372" s="43" t="s">
        <v>6186</v>
      </c>
      <c r="M372" s="43" t="s">
        <v>6186</v>
      </c>
      <c r="N372" s="43" t="s">
        <v>6186</v>
      </c>
      <c r="O372" s="43" t="s">
        <v>6186</v>
      </c>
      <c r="P372" s="43" t="s">
        <v>6186</v>
      </c>
    </row>
    <row r="373" spans="1:16" x14ac:dyDescent="0.15">
      <c r="A373" s="42" t="s">
        <v>6231</v>
      </c>
      <c r="B373" s="40" t="s">
        <v>17</v>
      </c>
      <c r="C373" s="42" t="s">
        <v>6232</v>
      </c>
      <c r="D373" s="43" t="s">
        <v>6186</v>
      </c>
      <c r="E373" s="43" t="s">
        <v>6186</v>
      </c>
      <c r="F373" s="42" t="s">
        <v>6233</v>
      </c>
      <c r="G373" s="43" t="s">
        <v>6186</v>
      </c>
      <c r="H373" s="43" t="s">
        <v>6186</v>
      </c>
      <c r="I373" s="42" t="s">
        <v>6234</v>
      </c>
      <c r="J373" s="40" t="s">
        <v>11</v>
      </c>
      <c r="K373" s="43" t="s">
        <v>6186</v>
      </c>
      <c r="L373" s="43" t="s">
        <v>6186</v>
      </c>
      <c r="M373" s="43" t="s">
        <v>6186</v>
      </c>
      <c r="N373" s="43" t="s">
        <v>6186</v>
      </c>
      <c r="O373" s="43" t="s">
        <v>6186</v>
      </c>
      <c r="P373" s="43" t="s">
        <v>6186</v>
      </c>
    </row>
    <row r="374" spans="1:16" x14ac:dyDescent="0.15">
      <c r="A374" s="42" t="s">
        <v>6235</v>
      </c>
      <c r="B374" s="40" t="s">
        <v>18</v>
      </c>
      <c r="C374" s="42" t="s">
        <v>6244</v>
      </c>
      <c r="D374" s="43" t="s">
        <v>6186</v>
      </c>
      <c r="E374" s="43" t="s">
        <v>6186</v>
      </c>
      <c r="F374" s="42" t="s">
        <v>6236</v>
      </c>
      <c r="G374" s="43" t="s">
        <v>6186</v>
      </c>
      <c r="H374" s="43" t="s">
        <v>6186</v>
      </c>
      <c r="I374" s="42" t="s">
        <v>12</v>
      </c>
      <c r="J374" s="42" t="s">
        <v>12</v>
      </c>
      <c r="K374" s="42" t="s">
        <v>12</v>
      </c>
      <c r="L374" s="42" t="s">
        <v>12</v>
      </c>
      <c r="M374" s="42" t="s">
        <v>12</v>
      </c>
      <c r="N374" s="42" t="s">
        <v>12</v>
      </c>
      <c r="O374" s="42" t="s">
        <v>12</v>
      </c>
      <c r="P374" s="42" t="s">
        <v>12</v>
      </c>
    </row>
    <row r="375" spans="1:16" x14ac:dyDescent="0.15">
      <c r="A375" s="35"/>
      <c r="C375" s="46"/>
      <c r="D375" s="46"/>
      <c r="E375" s="46"/>
      <c r="F375" s="46"/>
      <c r="G375" s="47"/>
      <c r="H375" s="47"/>
      <c r="I375" s="36"/>
      <c r="M375" s="131" t="s">
        <v>6237</v>
      </c>
      <c r="N375" s="131"/>
      <c r="O375" s="131"/>
      <c r="P375" s="131"/>
    </row>
    <row r="376" spans="1:16" x14ac:dyDescent="0.15">
      <c r="A376" s="34"/>
    </row>
    <row r="377" spans="1:16" x14ac:dyDescent="0.15">
      <c r="A377" s="34"/>
    </row>
    <row r="378" spans="1:16" x14ac:dyDescent="0.15">
      <c r="A378" s="35"/>
      <c r="B378" s="36"/>
    </row>
    <row r="379" spans="1:16" x14ac:dyDescent="0.15">
      <c r="A379" s="124" t="s">
        <v>6178</v>
      </c>
      <c r="B379" s="125"/>
      <c r="C379" s="125"/>
      <c r="D379" s="126"/>
      <c r="E379" s="124" t="s">
        <v>6306</v>
      </c>
      <c r="F379" s="125"/>
      <c r="G379" s="126"/>
      <c r="H379" s="124" t="s">
        <v>6307</v>
      </c>
      <c r="I379" s="126"/>
      <c r="J379" s="125" t="s">
        <v>6181</v>
      </c>
      <c r="K379" s="125"/>
      <c r="L379" s="126"/>
      <c r="M379" s="124" t="s">
        <v>6182</v>
      </c>
      <c r="N379" s="125"/>
      <c r="O379" s="125"/>
      <c r="P379" s="126"/>
    </row>
    <row r="380" spans="1:16" x14ac:dyDescent="0.15">
      <c r="A380" s="124" t="s">
        <v>6308</v>
      </c>
      <c r="B380" s="125"/>
      <c r="C380" s="125"/>
      <c r="D380" s="125"/>
      <c r="E380" s="125"/>
      <c r="F380" s="125"/>
      <c r="G380" s="125"/>
      <c r="H380" s="125"/>
      <c r="I380" s="125"/>
      <c r="J380" s="125"/>
      <c r="K380" s="125"/>
      <c r="L380" s="125"/>
      <c r="M380" s="125"/>
      <c r="N380" s="125"/>
      <c r="O380" s="125"/>
      <c r="P380" s="126"/>
    </row>
    <row r="381" spans="1:16" x14ac:dyDescent="0.15">
      <c r="A381" s="124" t="s">
        <v>6184</v>
      </c>
      <c r="B381" s="125"/>
      <c r="C381" s="125"/>
      <c r="D381" s="125"/>
      <c r="E381" s="125"/>
      <c r="F381" s="125"/>
      <c r="G381" s="125"/>
      <c r="H381" s="125"/>
      <c r="I381" s="125"/>
      <c r="J381" s="125"/>
      <c r="K381" s="125"/>
      <c r="L381" s="125"/>
      <c r="M381" s="125"/>
      <c r="N381" s="125"/>
      <c r="O381" s="125"/>
      <c r="P381" s="126"/>
    </row>
    <row r="382" spans="1:16" x14ac:dyDescent="0.15">
      <c r="A382" s="37"/>
      <c r="B382" s="38"/>
      <c r="C382" s="127" t="s">
        <v>4</v>
      </c>
      <c r="D382" s="128"/>
      <c r="E382" s="129" t="s">
        <v>5</v>
      </c>
      <c r="F382" s="130"/>
      <c r="G382" s="129" t="s">
        <v>6</v>
      </c>
      <c r="H382" s="130"/>
      <c r="I382" s="38"/>
      <c r="J382" s="38"/>
      <c r="K382" s="127" t="s">
        <v>4</v>
      </c>
      <c r="L382" s="128"/>
      <c r="M382" s="129" t="s">
        <v>5</v>
      </c>
      <c r="N382" s="130"/>
      <c r="O382" s="129" t="s">
        <v>6</v>
      </c>
      <c r="P382" s="130"/>
    </row>
    <row r="383" spans="1:16" ht="24" x14ac:dyDescent="0.15">
      <c r="A383" s="39" t="s">
        <v>7</v>
      </c>
      <c r="B383" s="40" t="s">
        <v>8</v>
      </c>
      <c r="C383" s="41" t="s">
        <v>9</v>
      </c>
      <c r="D383" s="41" t="s">
        <v>10</v>
      </c>
      <c r="E383" s="41" t="s">
        <v>9</v>
      </c>
      <c r="F383" s="41" t="s">
        <v>10</v>
      </c>
      <c r="G383" s="41" t="s">
        <v>9</v>
      </c>
      <c r="H383" s="41" t="s">
        <v>10</v>
      </c>
      <c r="I383" s="48" t="s">
        <v>7</v>
      </c>
      <c r="J383" s="40" t="s">
        <v>8</v>
      </c>
      <c r="K383" s="41" t="s">
        <v>9</v>
      </c>
      <c r="L383" s="41" t="s">
        <v>10</v>
      </c>
      <c r="M383" s="41" t="s">
        <v>9</v>
      </c>
      <c r="N383" s="41" t="s">
        <v>10</v>
      </c>
      <c r="O383" s="41" t="s">
        <v>9</v>
      </c>
      <c r="P383" s="41" t="s">
        <v>10</v>
      </c>
    </row>
    <row r="384" spans="1:16" x14ac:dyDescent="0.15">
      <c r="A384" s="42" t="s">
        <v>6185</v>
      </c>
      <c r="B384" s="40" t="s">
        <v>17</v>
      </c>
      <c r="C384" s="42" t="s">
        <v>6232</v>
      </c>
      <c r="D384" s="43"/>
      <c r="E384" s="43"/>
      <c r="F384" s="42" t="s">
        <v>6241</v>
      </c>
      <c r="G384" s="43" t="s">
        <v>6186</v>
      </c>
      <c r="H384" s="43" t="s">
        <v>6186</v>
      </c>
      <c r="I384" s="42" t="s">
        <v>6187</v>
      </c>
      <c r="J384" s="40" t="s">
        <v>11</v>
      </c>
      <c r="K384" s="43" t="s">
        <v>6186</v>
      </c>
      <c r="L384" s="43" t="s">
        <v>6186</v>
      </c>
      <c r="M384" s="43" t="s">
        <v>6186</v>
      </c>
      <c r="N384" s="43" t="s">
        <v>6186</v>
      </c>
      <c r="O384" s="43" t="s">
        <v>6186</v>
      </c>
      <c r="P384" s="43" t="s">
        <v>6186</v>
      </c>
    </row>
    <row r="385" spans="1:16" x14ac:dyDescent="0.15">
      <c r="A385" s="42" t="s">
        <v>6190</v>
      </c>
      <c r="B385" s="40" t="s">
        <v>18</v>
      </c>
      <c r="C385" s="42" t="s">
        <v>6250</v>
      </c>
      <c r="D385" s="43"/>
      <c r="E385" s="43"/>
      <c r="F385" s="42" t="s">
        <v>6242</v>
      </c>
      <c r="G385" s="43" t="s">
        <v>6186</v>
      </c>
      <c r="H385" s="43" t="s">
        <v>6186</v>
      </c>
      <c r="I385" s="42" t="s">
        <v>6191</v>
      </c>
      <c r="J385" s="40" t="s">
        <v>14</v>
      </c>
      <c r="K385" s="43" t="s">
        <v>6186</v>
      </c>
      <c r="L385" s="43" t="s">
        <v>6186</v>
      </c>
      <c r="M385" s="43" t="s">
        <v>6186</v>
      </c>
      <c r="N385" s="43" t="s">
        <v>6186</v>
      </c>
      <c r="O385" s="43" t="s">
        <v>6186</v>
      </c>
      <c r="P385" s="43" t="s">
        <v>6186</v>
      </c>
    </row>
    <row r="386" spans="1:16" x14ac:dyDescent="0.15">
      <c r="A386" s="42" t="s">
        <v>6194</v>
      </c>
      <c r="B386" s="40" t="s">
        <v>11</v>
      </c>
      <c r="C386" s="42" t="s">
        <v>6217</v>
      </c>
      <c r="D386" s="43"/>
      <c r="E386" s="43"/>
      <c r="F386" s="42" t="s">
        <v>6243</v>
      </c>
      <c r="G386" s="43" t="s">
        <v>6186</v>
      </c>
      <c r="H386" s="43" t="s">
        <v>6186</v>
      </c>
      <c r="I386" s="42" t="s">
        <v>6195</v>
      </c>
      <c r="J386" s="40" t="s">
        <v>13</v>
      </c>
      <c r="K386" s="43" t="s">
        <v>6186</v>
      </c>
      <c r="L386" s="43" t="s">
        <v>6186</v>
      </c>
      <c r="M386" s="43" t="s">
        <v>6186</v>
      </c>
      <c r="N386" s="43" t="s">
        <v>6186</v>
      </c>
      <c r="O386" s="43" t="s">
        <v>6186</v>
      </c>
      <c r="P386" s="43" t="s">
        <v>6186</v>
      </c>
    </row>
    <row r="387" spans="1:16" x14ac:dyDescent="0.15">
      <c r="A387" s="42" t="s">
        <v>6198</v>
      </c>
      <c r="B387" s="40" t="s">
        <v>14</v>
      </c>
      <c r="C387" s="42" t="s">
        <v>6213</v>
      </c>
      <c r="D387" s="43"/>
      <c r="E387" s="43"/>
      <c r="F387" s="42" t="s">
        <v>6246</v>
      </c>
      <c r="G387" s="42" t="s">
        <v>6186</v>
      </c>
      <c r="H387" s="42" t="s">
        <v>6186</v>
      </c>
      <c r="I387" s="42" t="s">
        <v>6199</v>
      </c>
      <c r="J387" s="40" t="s">
        <v>15</v>
      </c>
      <c r="K387" s="42" t="s">
        <v>6186</v>
      </c>
      <c r="L387" s="42" t="s">
        <v>6186</v>
      </c>
      <c r="M387" s="42" t="s">
        <v>6186</v>
      </c>
      <c r="N387" s="42" t="s">
        <v>6186</v>
      </c>
      <c r="O387" s="42" t="s">
        <v>6186</v>
      </c>
      <c r="P387" s="42" t="s">
        <v>6186</v>
      </c>
    </row>
    <row r="388" spans="1:16" x14ac:dyDescent="0.15">
      <c r="A388" s="42" t="s">
        <v>6202</v>
      </c>
      <c r="B388" s="40" t="s">
        <v>13</v>
      </c>
      <c r="C388" s="42" t="s">
        <v>6186</v>
      </c>
      <c r="D388" s="42" t="s">
        <v>6186</v>
      </c>
      <c r="E388" s="42" t="s">
        <v>6186</v>
      </c>
      <c r="F388" s="42" t="s">
        <v>6186</v>
      </c>
      <c r="G388" s="42" t="s">
        <v>6186</v>
      </c>
      <c r="H388" s="42" t="s">
        <v>6186</v>
      </c>
      <c r="I388" s="42" t="s">
        <v>6203</v>
      </c>
      <c r="J388" s="40" t="s">
        <v>16</v>
      </c>
      <c r="K388" s="42" t="s">
        <v>6186</v>
      </c>
      <c r="L388" s="42" t="s">
        <v>6186</v>
      </c>
      <c r="M388" s="42" t="s">
        <v>6186</v>
      </c>
      <c r="N388" s="42" t="s">
        <v>6186</v>
      </c>
      <c r="O388" s="42" t="s">
        <v>6186</v>
      </c>
      <c r="P388" s="42" t="s">
        <v>6186</v>
      </c>
    </row>
    <row r="389" spans="1:16" x14ac:dyDescent="0.15">
      <c r="A389" s="42" t="s">
        <v>6204</v>
      </c>
      <c r="B389" s="40" t="s">
        <v>15</v>
      </c>
      <c r="C389" s="42" t="s">
        <v>6186</v>
      </c>
      <c r="D389" s="42" t="s">
        <v>6186</v>
      </c>
      <c r="E389" s="42" t="s">
        <v>6186</v>
      </c>
      <c r="F389" s="42" t="s">
        <v>6186</v>
      </c>
      <c r="G389" s="42" t="s">
        <v>6186</v>
      </c>
      <c r="H389" s="42" t="s">
        <v>6186</v>
      </c>
      <c r="I389" s="42" t="s">
        <v>6205</v>
      </c>
      <c r="J389" s="40" t="s">
        <v>17</v>
      </c>
      <c r="K389" s="42" t="s">
        <v>6186</v>
      </c>
      <c r="L389" s="42" t="s">
        <v>6186</v>
      </c>
      <c r="M389" s="42" t="s">
        <v>6186</v>
      </c>
      <c r="N389" s="42" t="s">
        <v>6186</v>
      </c>
      <c r="O389" s="42" t="s">
        <v>6186</v>
      </c>
      <c r="P389" s="42" t="s">
        <v>6186</v>
      </c>
    </row>
    <row r="390" spans="1:16" x14ac:dyDescent="0.15">
      <c r="A390" s="42" t="s">
        <v>6206</v>
      </c>
      <c r="B390" s="40" t="s">
        <v>16</v>
      </c>
      <c r="C390" s="42" t="s">
        <v>6186</v>
      </c>
      <c r="D390" s="42" t="s">
        <v>6186</v>
      </c>
      <c r="E390" s="42" t="s">
        <v>6186</v>
      </c>
      <c r="F390" s="42" t="s">
        <v>6186</v>
      </c>
      <c r="G390" s="42" t="s">
        <v>6186</v>
      </c>
      <c r="H390" s="42" t="s">
        <v>6186</v>
      </c>
      <c r="I390" s="42" t="s">
        <v>6207</v>
      </c>
      <c r="J390" s="40" t="s">
        <v>18</v>
      </c>
      <c r="K390" s="42" t="s">
        <v>6186</v>
      </c>
      <c r="L390" s="42" t="s">
        <v>6186</v>
      </c>
      <c r="M390" s="42" t="s">
        <v>6186</v>
      </c>
      <c r="N390" s="42" t="s">
        <v>6186</v>
      </c>
      <c r="O390" s="42" t="s">
        <v>6186</v>
      </c>
      <c r="P390" s="42" t="s">
        <v>6186</v>
      </c>
    </row>
    <row r="391" spans="1:16" x14ac:dyDescent="0.15">
      <c r="A391" s="42" t="s">
        <v>6208</v>
      </c>
      <c r="B391" s="40" t="s">
        <v>17</v>
      </c>
      <c r="C391" s="42" t="s">
        <v>6186</v>
      </c>
      <c r="D391" s="42" t="s">
        <v>6186</v>
      </c>
      <c r="E391" s="42" t="s">
        <v>6186</v>
      </c>
      <c r="F391" s="42" t="s">
        <v>6186</v>
      </c>
      <c r="G391" s="42" t="s">
        <v>6186</v>
      </c>
      <c r="H391" s="42" t="s">
        <v>6186</v>
      </c>
      <c r="I391" s="42" t="s">
        <v>6211</v>
      </c>
      <c r="J391" s="40" t="s">
        <v>11</v>
      </c>
      <c r="K391" s="42" t="s">
        <v>6186</v>
      </c>
      <c r="L391" s="42" t="s">
        <v>6186</v>
      </c>
      <c r="M391" s="42" t="s">
        <v>6186</v>
      </c>
      <c r="N391" s="42" t="s">
        <v>6186</v>
      </c>
      <c r="O391" s="42" t="s">
        <v>6186</v>
      </c>
      <c r="P391" s="42" t="s">
        <v>6186</v>
      </c>
    </row>
    <row r="392" spans="1:16" x14ac:dyDescent="0.15">
      <c r="A392" s="42" t="s">
        <v>6212</v>
      </c>
      <c r="B392" s="40" t="s">
        <v>18</v>
      </c>
      <c r="C392" s="42" t="s">
        <v>6186</v>
      </c>
      <c r="D392" s="42" t="s">
        <v>6186</v>
      </c>
      <c r="E392" s="42" t="s">
        <v>6186</v>
      </c>
      <c r="F392" s="42" t="s">
        <v>6186</v>
      </c>
      <c r="G392" s="42" t="s">
        <v>6186</v>
      </c>
      <c r="H392" s="42" t="s">
        <v>6186</v>
      </c>
      <c r="I392" s="42" t="s">
        <v>6215</v>
      </c>
      <c r="J392" s="40" t="s">
        <v>14</v>
      </c>
      <c r="K392" s="42" t="s">
        <v>6186</v>
      </c>
      <c r="L392" s="42" t="s">
        <v>6186</v>
      </c>
      <c r="M392" s="42" t="s">
        <v>6186</v>
      </c>
      <c r="N392" s="42" t="s">
        <v>6186</v>
      </c>
      <c r="O392" s="42" t="s">
        <v>6186</v>
      </c>
      <c r="P392" s="42" t="s">
        <v>6186</v>
      </c>
    </row>
    <row r="393" spans="1:16" x14ac:dyDescent="0.15">
      <c r="A393" s="42" t="s">
        <v>6216</v>
      </c>
      <c r="B393" s="40" t="s">
        <v>11</v>
      </c>
      <c r="C393" s="42" t="s">
        <v>6186</v>
      </c>
      <c r="D393" s="42" t="s">
        <v>6186</v>
      </c>
      <c r="E393" s="42" t="s">
        <v>6186</v>
      </c>
      <c r="F393" s="42" t="s">
        <v>6186</v>
      </c>
      <c r="G393" s="42" t="s">
        <v>6186</v>
      </c>
      <c r="H393" s="42" t="s">
        <v>6186</v>
      </c>
      <c r="I393" s="42" t="s">
        <v>6219</v>
      </c>
      <c r="J393" s="40" t="s">
        <v>13</v>
      </c>
      <c r="K393" s="42" t="s">
        <v>6186</v>
      </c>
      <c r="L393" s="42" t="s">
        <v>6186</v>
      </c>
      <c r="M393" s="42" t="s">
        <v>6186</v>
      </c>
      <c r="N393" s="42" t="s">
        <v>6186</v>
      </c>
      <c r="O393" s="42" t="s">
        <v>6186</v>
      </c>
      <c r="P393" s="42" t="s">
        <v>6186</v>
      </c>
    </row>
    <row r="394" spans="1:16" x14ac:dyDescent="0.15">
      <c r="A394" s="42" t="s">
        <v>6220</v>
      </c>
      <c r="B394" s="40" t="s">
        <v>14</v>
      </c>
      <c r="C394" s="42" t="s">
        <v>6186</v>
      </c>
      <c r="D394" s="42" t="s">
        <v>6186</v>
      </c>
      <c r="E394" s="42" t="s">
        <v>6186</v>
      </c>
      <c r="F394" s="42" t="s">
        <v>6186</v>
      </c>
      <c r="G394" s="42" t="s">
        <v>6186</v>
      </c>
      <c r="H394" s="42" t="s">
        <v>6186</v>
      </c>
      <c r="I394" s="42" t="s">
        <v>6221</v>
      </c>
      <c r="J394" s="40" t="s">
        <v>15</v>
      </c>
      <c r="K394" s="42" t="s">
        <v>6186</v>
      </c>
      <c r="L394" s="42" t="s">
        <v>6186</v>
      </c>
      <c r="M394" s="42" t="s">
        <v>6186</v>
      </c>
      <c r="N394" s="42" t="s">
        <v>6186</v>
      </c>
      <c r="O394" s="42" t="s">
        <v>6186</v>
      </c>
      <c r="P394" s="42" t="s">
        <v>6186</v>
      </c>
    </row>
    <row r="395" spans="1:16" x14ac:dyDescent="0.15">
      <c r="A395" s="42" t="s">
        <v>6222</v>
      </c>
      <c r="B395" s="40" t="s">
        <v>13</v>
      </c>
      <c r="C395" s="42" t="s">
        <v>6186</v>
      </c>
      <c r="D395" s="42" t="s">
        <v>6186</v>
      </c>
      <c r="E395" s="42" t="s">
        <v>6186</v>
      </c>
      <c r="F395" s="42" t="s">
        <v>6186</v>
      </c>
      <c r="G395" s="42" t="s">
        <v>6186</v>
      </c>
      <c r="H395" s="42" t="s">
        <v>6186</v>
      </c>
      <c r="I395" s="42" t="s">
        <v>6224</v>
      </c>
      <c r="J395" s="40" t="s">
        <v>16</v>
      </c>
      <c r="K395" s="42" t="s">
        <v>6186</v>
      </c>
      <c r="L395" s="42" t="s">
        <v>6186</v>
      </c>
      <c r="M395" s="42" t="s">
        <v>6186</v>
      </c>
      <c r="N395" s="42" t="s">
        <v>6186</v>
      </c>
      <c r="O395" s="42" t="s">
        <v>6186</v>
      </c>
      <c r="P395" s="42" t="s">
        <v>6186</v>
      </c>
    </row>
    <row r="396" spans="1:16" x14ac:dyDescent="0.15">
      <c r="A396" s="42" t="s">
        <v>6225</v>
      </c>
      <c r="B396" s="40" t="s">
        <v>15</v>
      </c>
      <c r="C396" s="42" t="s">
        <v>6186</v>
      </c>
      <c r="D396" s="42" t="s">
        <v>6186</v>
      </c>
      <c r="E396" s="42" t="s">
        <v>6186</v>
      </c>
      <c r="F396" s="42" t="s">
        <v>6186</v>
      </c>
      <c r="G396" s="42" t="s">
        <v>6186</v>
      </c>
      <c r="H396" s="42" t="s">
        <v>6186</v>
      </c>
      <c r="I396" s="42" t="s">
        <v>6227</v>
      </c>
      <c r="J396" s="40" t="s">
        <v>17</v>
      </c>
      <c r="K396" s="42" t="s">
        <v>6186</v>
      </c>
      <c r="L396" s="42" t="s">
        <v>6186</v>
      </c>
      <c r="M396" s="42" t="s">
        <v>6186</v>
      </c>
      <c r="N396" s="42" t="s">
        <v>6186</v>
      </c>
      <c r="O396" s="42" t="s">
        <v>6186</v>
      </c>
      <c r="P396" s="42" t="s">
        <v>6186</v>
      </c>
    </row>
    <row r="397" spans="1:16" x14ac:dyDescent="0.15">
      <c r="A397" s="42" t="s">
        <v>6228</v>
      </c>
      <c r="B397" s="40" t="s">
        <v>16</v>
      </c>
      <c r="C397" s="42" t="s">
        <v>6186</v>
      </c>
      <c r="D397" s="42" t="s">
        <v>6186</v>
      </c>
      <c r="E397" s="42" t="s">
        <v>6186</v>
      </c>
      <c r="F397" s="42" t="s">
        <v>6186</v>
      </c>
      <c r="G397" s="42" t="s">
        <v>6186</v>
      </c>
      <c r="H397" s="42" t="s">
        <v>6186</v>
      </c>
      <c r="I397" s="42" t="s">
        <v>6230</v>
      </c>
      <c r="J397" s="40" t="s">
        <v>18</v>
      </c>
      <c r="K397" s="42" t="s">
        <v>6186</v>
      </c>
      <c r="L397" s="42" t="s">
        <v>6186</v>
      </c>
      <c r="M397" s="42" t="s">
        <v>6186</v>
      </c>
      <c r="N397" s="42" t="s">
        <v>6186</v>
      </c>
      <c r="O397" s="42" t="s">
        <v>6186</v>
      </c>
      <c r="P397" s="42" t="s">
        <v>6186</v>
      </c>
    </row>
    <row r="398" spans="1:16" x14ac:dyDescent="0.15">
      <c r="A398" s="42" t="s">
        <v>6231</v>
      </c>
      <c r="B398" s="40" t="s">
        <v>17</v>
      </c>
      <c r="C398" s="42" t="s">
        <v>6186</v>
      </c>
      <c r="D398" s="42" t="s">
        <v>6186</v>
      </c>
      <c r="E398" s="42" t="s">
        <v>6186</v>
      </c>
      <c r="F398" s="42" t="s">
        <v>6186</v>
      </c>
      <c r="G398" s="42" t="s">
        <v>6186</v>
      </c>
      <c r="H398" s="42" t="s">
        <v>6186</v>
      </c>
      <c r="I398" s="42" t="s">
        <v>6234</v>
      </c>
      <c r="J398" s="40" t="s">
        <v>11</v>
      </c>
      <c r="K398" s="42" t="s">
        <v>6186</v>
      </c>
      <c r="L398" s="42" t="s">
        <v>6186</v>
      </c>
      <c r="M398" s="42" t="s">
        <v>6186</v>
      </c>
      <c r="N398" s="42" t="s">
        <v>6186</v>
      </c>
      <c r="O398" s="42" t="s">
        <v>6186</v>
      </c>
      <c r="P398" s="42" t="s">
        <v>6186</v>
      </c>
    </row>
    <row r="399" spans="1:16" x14ac:dyDescent="0.15">
      <c r="A399" s="42" t="s">
        <v>6235</v>
      </c>
      <c r="B399" s="40" t="s">
        <v>18</v>
      </c>
      <c r="C399" s="42" t="s">
        <v>6186</v>
      </c>
      <c r="D399" s="42" t="s">
        <v>6186</v>
      </c>
      <c r="E399" s="42" t="s">
        <v>6186</v>
      </c>
      <c r="F399" s="42" t="s">
        <v>6186</v>
      </c>
      <c r="G399" s="42" t="s">
        <v>6186</v>
      </c>
      <c r="H399" s="42" t="s">
        <v>6186</v>
      </c>
      <c r="I399" s="42" t="s">
        <v>12</v>
      </c>
      <c r="J399" s="42" t="s">
        <v>12</v>
      </c>
      <c r="K399" s="42" t="s">
        <v>12</v>
      </c>
      <c r="L399" s="42" t="s">
        <v>12</v>
      </c>
      <c r="M399" s="42" t="s">
        <v>12</v>
      </c>
      <c r="N399" s="42" t="s">
        <v>12</v>
      </c>
      <c r="O399" s="42" t="s">
        <v>12</v>
      </c>
      <c r="P399" s="42" t="s">
        <v>12</v>
      </c>
    </row>
    <row r="400" spans="1:16" x14ac:dyDescent="0.15">
      <c r="A400" s="35"/>
      <c r="C400" s="46"/>
      <c r="D400" s="46"/>
      <c r="E400" s="46"/>
      <c r="F400" s="46"/>
      <c r="G400" s="47"/>
      <c r="H400" s="47"/>
      <c r="I400" s="36"/>
      <c r="M400" s="131" t="s">
        <v>6237</v>
      </c>
      <c r="N400" s="131"/>
      <c r="O400" s="131"/>
      <c r="P400" s="131"/>
    </row>
    <row r="404" spans="1:16" x14ac:dyDescent="0.15">
      <c r="A404" s="124" t="s">
        <v>6178</v>
      </c>
      <c r="B404" s="125"/>
      <c r="C404" s="125"/>
      <c r="D404" s="126"/>
      <c r="E404" s="124" t="s">
        <v>6309</v>
      </c>
      <c r="F404" s="125"/>
      <c r="G404" s="126"/>
      <c r="H404" s="124" t="s">
        <v>6310</v>
      </c>
      <c r="I404" s="126"/>
      <c r="J404" s="125" t="s">
        <v>6181</v>
      </c>
      <c r="K404" s="125"/>
      <c r="L404" s="126"/>
      <c r="M404" s="124" t="s">
        <v>6182</v>
      </c>
      <c r="N404" s="125"/>
      <c r="O404" s="125"/>
      <c r="P404" s="126"/>
    </row>
    <row r="405" spans="1:16" x14ac:dyDescent="0.15">
      <c r="A405" s="124" t="s">
        <v>6311</v>
      </c>
      <c r="B405" s="125"/>
      <c r="C405" s="125"/>
      <c r="D405" s="125"/>
      <c r="E405" s="125"/>
      <c r="F405" s="125"/>
      <c r="G405" s="125"/>
      <c r="H405" s="125"/>
      <c r="I405" s="125"/>
      <c r="J405" s="125"/>
      <c r="K405" s="125"/>
      <c r="L405" s="125"/>
      <c r="M405" s="125"/>
      <c r="N405" s="125"/>
      <c r="O405" s="125"/>
      <c r="P405" s="126"/>
    </row>
    <row r="406" spans="1:16" x14ac:dyDescent="0.15">
      <c r="A406" s="124" t="s">
        <v>6184</v>
      </c>
      <c r="B406" s="125"/>
      <c r="C406" s="125"/>
      <c r="D406" s="125"/>
      <c r="E406" s="125"/>
      <c r="F406" s="125"/>
      <c r="G406" s="125"/>
      <c r="H406" s="125"/>
      <c r="I406" s="125"/>
      <c r="J406" s="125"/>
      <c r="K406" s="125"/>
      <c r="L406" s="125"/>
      <c r="M406" s="125"/>
      <c r="N406" s="125"/>
      <c r="O406" s="125"/>
      <c r="P406" s="126"/>
    </row>
    <row r="407" spans="1:16" x14ac:dyDescent="0.15">
      <c r="A407" s="37"/>
      <c r="B407" s="38"/>
      <c r="C407" s="127" t="s">
        <v>4</v>
      </c>
      <c r="D407" s="128"/>
      <c r="E407" s="129" t="s">
        <v>5</v>
      </c>
      <c r="F407" s="130"/>
      <c r="G407" s="129" t="s">
        <v>6</v>
      </c>
      <c r="H407" s="130"/>
      <c r="I407" s="38"/>
      <c r="J407" s="38"/>
      <c r="K407" s="127" t="s">
        <v>4</v>
      </c>
      <c r="L407" s="128"/>
      <c r="M407" s="129" t="s">
        <v>5</v>
      </c>
      <c r="N407" s="130"/>
      <c r="O407" s="129" t="s">
        <v>6</v>
      </c>
      <c r="P407" s="130"/>
    </row>
    <row r="408" spans="1:16" ht="24" x14ac:dyDescent="0.15">
      <c r="A408" s="39" t="s">
        <v>7</v>
      </c>
      <c r="B408" s="40" t="s">
        <v>8</v>
      </c>
      <c r="C408" s="41" t="s">
        <v>9</v>
      </c>
      <c r="D408" s="41" t="s">
        <v>10</v>
      </c>
      <c r="E408" s="41" t="s">
        <v>9</v>
      </c>
      <c r="F408" s="41" t="s">
        <v>10</v>
      </c>
      <c r="G408" s="41" t="s">
        <v>9</v>
      </c>
      <c r="H408" s="41" t="s">
        <v>10</v>
      </c>
      <c r="I408" s="48" t="s">
        <v>7</v>
      </c>
      <c r="J408" s="40" t="s">
        <v>8</v>
      </c>
      <c r="K408" s="41" t="s">
        <v>9</v>
      </c>
      <c r="L408" s="41" t="s">
        <v>10</v>
      </c>
      <c r="M408" s="41" t="s">
        <v>9</v>
      </c>
      <c r="N408" s="41" t="s">
        <v>10</v>
      </c>
      <c r="O408" s="41" t="s">
        <v>9</v>
      </c>
      <c r="P408" s="41" t="s">
        <v>10</v>
      </c>
    </row>
    <row r="409" spans="1:16" x14ac:dyDescent="0.15">
      <c r="A409" s="42" t="s">
        <v>6185</v>
      </c>
      <c r="B409" s="40" t="s">
        <v>17</v>
      </c>
      <c r="C409" s="42" t="s">
        <v>6186</v>
      </c>
      <c r="D409" s="42" t="s">
        <v>6186</v>
      </c>
      <c r="E409" s="42" t="s">
        <v>6186</v>
      </c>
      <c r="F409" s="42" t="s">
        <v>6186</v>
      </c>
      <c r="G409" s="42" t="s">
        <v>6186</v>
      </c>
      <c r="H409" s="42" t="s">
        <v>6186</v>
      </c>
      <c r="I409" s="42" t="s">
        <v>6187</v>
      </c>
      <c r="J409" s="40" t="s">
        <v>11</v>
      </c>
      <c r="K409" s="42" t="s">
        <v>6250</v>
      </c>
      <c r="L409" s="42" t="s">
        <v>6186</v>
      </c>
      <c r="M409" s="42" t="s">
        <v>6186</v>
      </c>
      <c r="N409" s="42" t="s">
        <v>6189</v>
      </c>
      <c r="O409" s="42" t="s">
        <v>6186</v>
      </c>
      <c r="P409" s="42" t="s">
        <v>6186</v>
      </c>
    </row>
    <row r="410" spans="1:16" x14ac:dyDescent="0.15">
      <c r="A410" s="42" t="s">
        <v>6190</v>
      </c>
      <c r="B410" s="40" t="s">
        <v>18</v>
      </c>
      <c r="C410" s="42" t="s">
        <v>6186</v>
      </c>
      <c r="D410" s="42" t="s">
        <v>6186</v>
      </c>
      <c r="E410" s="42" t="s">
        <v>6186</v>
      </c>
      <c r="F410" s="42" t="s">
        <v>6186</v>
      </c>
      <c r="G410" s="42" t="s">
        <v>6186</v>
      </c>
      <c r="H410" s="42" t="s">
        <v>6186</v>
      </c>
      <c r="I410" s="42" t="s">
        <v>6191</v>
      </c>
      <c r="J410" s="40" t="s">
        <v>14</v>
      </c>
      <c r="K410" s="42" t="s">
        <v>6217</v>
      </c>
      <c r="L410" s="42" t="s">
        <v>6186</v>
      </c>
      <c r="M410" s="42" t="s">
        <v>6186</v>
      </c>
      <c r="N410" s="42" t="s">
        <v>6193</v>
      </c>
      <c r="O410" s="42" t="s">
        <v>6186</v>
      </c>
      <c r="P410" s="42" t="s">
        <v>6186</v>
      </c>
    </row>
    <row r="411" spans="1:16" x14ac:dyDescent="0.15">
      <c r="A411" s="42" t="s">
        <v>6194</v>
      </c>
      <c r="B411" s="40" t="s">
        <v>11</v>
      </c>
      <c r="C411" s="42" t="s">
        <v>6186</v>
      </c>
      <c r="D411" s="42" t="s">
        <v>6186</v>
      </c>
      <c r="E411" s="42" t="s">
        <v>6186</v>
      </c>
      <c r="F411" s="42" t="s">
        <v>6186</v>
      </c>
      <c r="G411" s="42" t="s">
        <v>6186</v>
      </c>
      <c r="H411" s="42" t="s">
        <v>6186</v>
      </c>
      <c r="I411" s="42" t="s">
        <v>6195</v>
      </c>
      <c r="J411" s="40" t="s">
        <v>13</v>
      </c>
      <c r="K411" s="42" t="s">
        <v>6192</v>
      </c>
      <c r="L411" s="42" t="s">
        <v>6186</v>
      </c>
      <c r="M411" s="42" t="s">
        <v>6186</v>
      </c>
      <c r="N411" s="42" t="s">
        <v>6197</v>
      </c>
      <c r="O411" s="42" t="s">
        <v>6186</v>
      </c>
      <c r="P411" s="42" t="s">
        <v>6186</v>
      </c>
    </row>
    <row r="412" spans="1:16" x14ac:dyDescent="0.15">
      <c r="A412" s="42" t="s">
        <v>6198</v>
      </c>
      <c r="B412" s="40" t="s">
        <v>14</v>
      </c>
      <c r="C412" s="42" t="s">
        <v>6186</v>
      </c>
      <c r="D412" s="42" t="s">
        <v>6186</v>
      </c>
      <c r="E412" s="42" t="s">
        <v>6186</v>
      </c>
      <c r="F412" s="42" t="s">
        <v>6186</v>
      </c>
      <c r="G412" s="42" t="s">
        <v>6186</v>
      </c>
      <c r="H412" s="42" t="s">
        <v>6186</v>
      </c>
      <c r="I412" s="42" t="s">
        <v>6199</v>
      </c>
      <c r="J412" s="40" t="s">
        <v>15</v>
      </c>
      <c r="K412" s="42" t="s">
        <v>6186</v>
      </c>
      <c r="L412" s="42" t="s">
        <v>6186</v>
      </c>
      <c r="M412" s="42" t="s">
        <v>6186</v>
      </c>
      <c r="N412" s="42" t="s">
        <v>6186</v>
      </c>
      <c r="O412" s="42" t="s">
        <v>6186</v>
      </c>
      <c r="P412" s="42" t="s">
        <v>6186</v>
      </c>
    </row>
    <row r="413" spans="1:16" x14ac:dyDescent="0.15">
      <c r="A413" s="42" t="s">
        <v>6202</v>
      </c>
      <c r="B413" s="40" t="s">
        <v>13</v>
      </c>
      <c r="C413" s="42" t="s">
        <v>6186</v>
      </c>
      <c r="D413" s="42" t="s">
        <v>6186</v>
      </c>
      <c r="E413" s="42" t="s">
        <v>6186</v>
      </c>
      <c r="F413" s="42" t="s">
        <v>6186</v>
      </c>
      <c r="G413" s="42" t="s">
        <v>6186</v>
      </c>
      <c r="H413" s="42" t="s">
        <v>6186</v>
      </c>
      <c r="I413" s="42" t="s">
        <v>6203</v>
      </c>
      <c r="J413" s="40" t="s">
        <v>16</v>
      </c>
      <c r="K413" s="42" t="s">
        <v>6186</v>
      </c>
      <c r="L413" s="42" t="s">
        <v>6186</v>
      </c>
      <c r="M413" s="42" t="s">
        <v>6186</v>
      </c>
      <c r="N413" s="42" t="s">
        <v>6186</v>
      </c>
      <c r="O413" s="42" t="s">
        <v>6186</v>
      </c>
      <c r="P413" s="42" t="s">
        <v>6186</v>
      </c>
    </row>
    <row r="414" spans="1:16" x14ac:dyDescent="0.15">
      <c r="A414" s="42" t="s">
        <v>6204</v>
      </c>
      <c r="B414" s="40" t="s">
        <v>15</v>
      </c>
      <c r="C414" s="42" t="s">
        <v>6186</v>
      </c>
      <c r="D414" s="42" t="s">
        <v>6186</v>
      </c>
      <c r="E414" s="42" t="s">
        <v>6186</v>
      </c>
      <c r="F414" s="42" t="s">
        <v>6186</v>
      </c>
      <c r="G414" s="42" t="s">
        <v>6186</v>
      </c>
      <c r="H414" s="42" t="s">
        <v>6186</v>
      </c>
      <c r="I414" s="42" t="s">
        <v>6205</v>
      </c>
      <c r="J414" s="40" t="s">
        <v>17</v>
      </c>
      <c r="K414" s="42" t="s">
        <v>6186</v>
      </c>
      <c r="L414" s="42" t="s">
        <v>6186</v>
      </c>
      <c r="M414" s="42" t="s">
        <v>6186</v>
      </c>
      <c r="N414" s="42" t="s">
        <v>6186</v>
      </c>
      <c r="O414" s="42" t="s">
        <v>6186</v>
      </c>
      <c r="P414" s="42" t="s">
        <v>6186</v>
      </c>
    </row>
    <row r="415" spans="1:16" x14ac:dyDescent="0.15">
      <c r="A415" s="42" t="s">
        <v>6206</v>
      </c>
      <c r="B415" s="40" t="s">
        <v>16</v>
      </c>
      <c r="C415" s="42" t="s">
        <v>6186</v>
      </c>
      <c r="D415" s="42" t="s">
        <v>6186</v>
      </c>
      <c r="E415" s="42" t="s">
        <v>6186</v>
      </c>
      <c r="F415" s="42" t="s">
        <v>6186</v>
      </c>
      <c r="G415" s="42" t="s">
        <v>6186</v>
      </c>
      <c r="H415" s="42" t="s">
        <v>6186</v>
      </c>
      <c r="I415" s="42" t="s">
        <v>6207</v>
      </c>
      <c r="J415" s="40" t="s">
        <v>18</v>
      </c>
      <c r="K415" s="42" t="s">
        <v>6186</v>
      </c>
      <c r="L415" s="42" t="s">
        <v>6186</v>
      </c>
      <c r="M415" s="42" t="s">
        <v>6186</v>
      </c>
      <c r="N415" s="42" t="s">
        <v>6186</v>
      </c>
      <c r="O415" s="42" t="s">
        <v>6186</v>
      </c>
      <c r="P415" s="42" t="s">
        <v>6186</v>
      </c>
    </row>
    <row r="416" spans="1:16" x14ac:dyDescent="0.15">
      <c r="A416" s="42" t="s">
        <v>6208</v>
      </c>
      <c r="B416" s="40" t="s">
        <v>17</v>
      </c>
      <c r="C416" s="42" t="s">
        <v>6186</v>
      </c>
      <c r="D416" s="42" t="s">
        <v>6186</v>
      </c>
      <c r="E416" s="42" t="s">
        <v>6186</v>
      </c>
      <c r="F416" s="42" t="s">
        <v>6186</v>
      </c>
      <c r="G416" s="42" t="s">
        <v>6186</v>
      </c>
      <c r="H416" s="42" t="s">
        <v>6186</v>
      </c>
      <c r="I416" s="42" t="s">
        <v>6211</v>
      </c>
      <c r="J416" s="40" t="s">
        <v>11</v>
      </c>
      <c r="K416" s="42" t="s">
        <v>6186</v>
      </c>
      <c r="L416" s="42" t="s">
        <v>6186</v>
      </c>
      <c r="M416" s="42" t="s">
        <v>6186</v>
      </c>
      <c r="N416" s="42" t="s">
        <v>6186</v>
      </c>
      <c r="O416" s="42" t="s">
        <v>6186</v>
      </c>
      <c r="P416" s="42" t="s">
        <v>6186</v>
      </c>
    </row>
    <row r="417" spans="1:16" x14ac:dyDescent="0.15">
      <c r="A417" s="42" t="s">
        <v>6212</v>
      </c>
      <c r="B417" s="40" t="s">
        <v>18</v>
      </c>
      <c r="C417" s="42" t="s">
        <v>6186</v>
      </c>
      <c r="D417" s="42" t="s">
        <v>6186</v>
      </c>
      <c r="E417" s="42" t="s">
        <v>6186</v>
      </c>
      <c r="F417" s="42" t="s">
        <v>6186</v>
      </c>
      <c r="G417" s="42" t="s">
        <v>6186</v>
      </c>
      <c r="H417" s="42" t="s">
        <v>6186</v>
      </c>
      <c r="I417" s="42" t="s">
        <v>6215</v>
      </c>
      <c r="J417" s="40" t="s">
        <v>14</v>
      </c>
      <c r="K417" s="42" t="s">
        <v>6186</v>
      </c>
      <c r="L417" s="42" t="s">
        <v>6186</v>
      </c>
      <c r="M417" s="42" t="s">
        <v>6186</v>
      </c>
      <c r="N417" s="42" t="s">
        <v>6186</v>
      </c>
      <c r="O417" s="42" t="s">
        <v>6186</v>
      </c>
      <c r="P417" s="42" t="s">
        <v>6186</v>
      </c>
    </row>
    <row r="418" spans="1:16" x14ac:dyDescent="0.15">
      <c r="A418" s="42" t="s">
        <v>6216</v>
      </c>
      <c r="B418" s="40" t="s">
        <v>11</v>
      </c>
      <c r="C418" s="42" t="s">
        <v>6186</v>
      </c>
      <c r="D418" s="42" t="s">
        <v>6186</v>
      </c>
      <c r="E418" s="42" t="s">
        <v>6186</v>
      </c>
      <c r="F418" s="42" t="s">
        <v>6186</v>
      </c>
      <c r="G418" s="42" t="s">
        <v>6186</v>
      </c>
      <c r="H418" s="42" t="s">
        <v>6186</v>
      </c>
      <c r="I418" s="42" t="s">
        <v>6219</v>
      </c>
      <c r="J418" s="40" t="s">
        <v>13</v>
      </c>
      <c r="K418" s="42" t="s">
        <v>6186</v>
      </c>
      <c r="L418" s="42" t="s">
        <v>6186</v>
      </c>
      <c r="M418" s="42" t="s">
        <v>6186</v>
      </c>
      <c r="N418" s="42" t="s">
        <v>6186</v>
      </c>
      <c r="O418" s="42" t="s">
        <v>6186</v>
      </c>
      <c r="P418" s="42" t="s">
        <v>6186</v>
      </c>
    </row>
    <row r="419" spans="1:16" x14ac:dyDescent="0.15">
      <c r="A419" s="42" t="s">
        <v>6220</v>
      </c>
      <c r="B419" s="40" t="s">
        <v>14</v>
      </c>
      <c r="C419" s="42" t="s">
        <v>6186</v>
      </c>
      <c r="D419" s="42" t="s">
        <v>6186</v>
      </c>
      <c r="E419" s="42" t="s">
        <v>6186</v>
      </c>
      <c r="F419" s="42" t="s">
        <v>6186</v>
      </c>
      <c r="G419" s="42" t="s">
        <v>6186</v>
      </c>
      <c r="H419" s="42" t="s">
        <v>6186</v>
      </c>
      <c r="I419" s="42" t="s">
        <v>6221</v>
      </c>
      <c r="J419" s="40" t="s">
        <v>15</v>
      </c>
      <c r="K419" s="42" t="s">
        <v>6186</v>
      </c>
      <c r="L419" s="42" t="s">
        <v>6186</v>
      </c>
      <c r="M419" s="42" t="s">
        <v>6186</v>
      </c>
      <c r="N419" s="42" t="s">
        <v>6186</v>
      </c>
      <c r="O419" s="42" t="s">
        <v>6186</v>
      </c>
      <c r="P419" s="42" t="s">
        <v>6186</v>
      </c>
    </row>
    <row r="420" spans="1:16" x14ac:dyDescent="0.15">
      <c r="A420" s="42" t="s">
        <v>6222</v>
      </c>
      <c r="B420" s="40" t="s">
        <v>13</v>
      </c>
      <c r="C420" s="42" t="s">
        <v>6312</v>
      </c>
      <c r="D420" s="42" t="s">
        <v>6186</v>
      </c>
      <c r="E420" s="42" t="s">
        <v>6186</v>
      </c>
      <c r="F420" s="42" t="s">
        <v>6223</v>
      </c>
      <c r="G420" s="42" t="s">
        <v>6186</v>
      </c>
      <c r="H420" s="42" t="s">
        <v>6186</v>
      </c>
      <c r="I420" s="42" t="s">
        <v>6224</v>
      </c>
      <c r="J420" s="40" t="s">
        <v>16</v>
      </c>
      <c r="K420" s="42" t="s">
        <v>6186</v>
      </c>
      <c r="L420" s="42" t="s">
        <v>6186</v>
      </c>
      <c r="M420" s="42" t="s">
        <v>6186</v>
      </c>
      <c r="N420" s="42" t="s">
        <v>6186</v>
      </c>
      <c r="O420" s="42" t="s">
        <v>6186</v>
      </c>
      <c r="P420" s="42" t="s">
        <v>6186</v>
      </c>
    </row>
    <row r="421" spans="1:16" x14ac:dyDescent="0.15">
      <c r="A421" s="42" t="s">
        <v>6225</v>
      </c>
      <c r="B421" s="40" t="s">
        <v>15</v>
      </c>
      <c r="C421" s="42" t="s">
        <v>6209</v>
      </c>
      <c r="D421" s="42" t="s">
        <v>6186</v>
      </c>
      <c r="E421" s="42" t="s">
        <v>6186</v>
      </c>
      <c r="F421" s="42" t="s">
        <v>6252</v>
      </c>
      <c r="G421" s="42" t="s">
        <v>6186</v>
      </c>
      <c r="H421" s="42" t="s">
        <v>6186</v>
      </c>
      <c r="I421" s="42" t="s">
        <v>6227</v>
      </c>
      <c r="J421" s="40" t="s">
        <v>17</v>
      </c>
      <c r="K421" s="42" t="s">
        <v>6186</v>
      </c>
      <c r="L421" s="42" t="s">
        <v>6186</v>
      </c>
      <c r="M421" s="42" t="s">
        <v>6186</v>
      </c>
      <c r="N421" s="42" t="s">
        <v>6186</v>
      </c>
      <c r="O421" s="42" t="s">
        <v>6186</v>
      </c>
      <c r="P421" s="42" t="s">
        <v>6186</v>
      </c>
    </row>
    <row r="422" spans="1:16" x14ac:dyDescent="0.15">
      <c r="A422" s="42" t="s">
        <v>6228</v>
      </c>
      <c r="B422" s="40" t="s">
        <v>16</v>
      </c>
      <c r="C422" s="42" t="s">
        <v>6196</v>
      </c>
      <c r="D422" s="43" t="s">
        <v>6186</v>
      </c>
      <c r="E422" s="43" t="s">
        <v>6186</v>
      </c>
      <c r="F422" s="42" t="s">
        <v>6229</v>
      </c>
      <c r="G422" s="43"/>
      <c r="H422" s="43" t="s">
        <v>6186</v>
      </c>
      <c r="I422" s="42" t="s">
        <v>6230</v>
      </c>
      <c r="J422" s="40" t="s">
        <v>18</v>
      </c>
      <c r="K422" s="43" t="s">
        <v>6186</v>
      </c>
      <c r="L422" s="43" t="s">
        <v>6186</v>
      </c>
      <c r="M422" s="43" t="s">
        <v>6186</v>
      </c>
      <c r="N422" s="43" t="s">
        <v>6186</v>
      </c>
      <c r="O422" s="43" t="s">
        <v>6186</v>
      </c>
      <c r="P422" s="43" t="s">
        <v>6186</v>
      </c>
    </row>
    <row r="423" spans="1:16" x14ac:dyDescent="0.15">
      <c r="A423" s="42" t="s">
        <v>6231</v>
      </c>
      <c r="B423" s="40" t="s">
        <v>17</v>
      </c>
      <c r="C423" s="42" t="s">
        <v>6232</v>
      </c>
      <c r="D423" s="43" t="s">
        <v>6186</v>
      </c>
      <c r="E423" s="43" t="s">
        <v>6186</v>
      </c>
      <c r="F423" s="42" t="s">
        <v>6233</v>
      </c>
      <c r="G423" s="43"/>
      <c r="H423" s="43" t="s">
        <v>6186</v>
      </c>
      <c r="I423" s="42" t="s">
        <v>6234</v>
      </c>
      <c r="J423" s="40" t="s">
        <v>11</v>
      </c>
      <c r="K423" s="43" t="s">
        <v>6186</v>
      </c>
      <c r="L423" s="43" t="s">
        <v>6186</v>
      </c>
      <c r="M423" s="43" t="s">
        <v>6186</v>
      </c>
      <c r="N423" s="43" t="s">
        <v>6186</v>
      </c>
      <c r="O423" s="43" t="s">
        <v>6186</v>
      </c>
      <c r="P423" s="43" t="s">
        <v>6186</v>
      </c>
    </row>
    <row r="424" spans="1:16" x14ac:dyDescent="0.15">
      <c r="A424" s="42" t="s">
        <v>6235</v>
      </c>
      <c r="B424" s="40" t="s">
        <v>18</v>
      </c>
      <c r="C424" s="42" t="s">
        <v>6244</v>
      </c>
      <c r="D424" s="42" t="s">
        <v>6186</v>
      </c>
      <c r="E424" s="42" t="s">
        <v>6186</v>
      </c>
      <c r="F424" s="42" t="s">
        <v>6236</v>
      </c>
      <c r="G424" s="42" t="s">
        <v>6186</v>
      </c>
      <c r="H424" s="42" t="s">
        <v>6186</v>
      </c>
      <c r="I424" s="42" t="s">
        <v>12</v>
      </c>
      <c r="J424" s="42" t="s">
        <v>12</v>
      </c>
      <c r="K424" s="42" t="s">
        <v>12</v>
      </c>
      <c r="L424" s="42" t="s">
        <v>12</v>
      </c>
      <c r="M424" s="42" t="s">
        <v>12</v>
      </c>
      <c r="N424" s="42" t="s">
        <v>12</v>
      </c>
      <c r="O424" s="42" t="s">
        <v>12</v>
      </c>
      <c r="P424" s="42" t="s">
        <v>12</v>
      </c>
    </row>
    <row r="425" spans="1:16" x14ac:dyDescent="0.15">
      <c r="A425" s="35"/>
      <c r="C425" s="46"/>
      <c r="D425" s="46"/>
      <c r="E425" s="46"/>
      <c r="F425" s="46"/>
      <c r="G425" s="47"/>
      <c r="H425" s="47"/>
      <c r="I425" s="36"/>
      <c r="M425" s="131" t="s">
        <v>6237</v>
      </c>
      <c r="N425" s="131"/>
      <c r="O425" s="131"/>
      <c r="P425" s="131"/>
    </row>
  </sheetData>
  <mergeCells count="238">
    <mergeCell ref="M425:P425"/>
    <mergeCell ref="M400:P400"/>
    <mergeCell ref="A404:D404"/>
    <mergeCell ref="E404:G404"/>
    <mergeCell ref="H404:I404"/>
    <mergeCell ref="J404:L404"/>
    <mergeCell ref="M404:P404"/>
    <mergeCell ref="A405:P405"/>
    <mergeCell ref="A406:P406"/>
    <mergeCell ref="C407:D407"/>
    <mergeCell ref="E407:F407"/>
    <mergeCell ref="G407:H407"/>
    <mergeCell ref="K407:L407"/>
    <mergeCell ref="M407:N407"/>
    <mergeCell ref="O407:P407"/>
    <mergeCell ref="M375:P375"/>
    <mergeCell ref="A379:D379"/>
    <mergeCell ref="E379:G379"/>
    <mergeCell ref="H379:I379"/>
    <mergeCell ref="J379:L379"/>
    <mergeCell ref="M379:P379"/>
    <mergeCell ref="A380:P380"/>
    <mergeCell ref="A381:P381"/>
    <mergeCell ref="C382:D382"/>
    <mergeCell ref="E382:F382"/>
    <mergeCell ref="G382:H382"/>
    <mergeCell ref="K382:L382"/>
    <mergeCell ref="M382:N382"/>
    <mergeCell ref="O382:P382"/>
    <mergeCell ref="M350:P350"/>
    <mergeCell ref="A354:D354"/>
    <mergeCell ref="E354:G354"/>
    <mergeCell ref="H354:I354"/>
    <mergeCell ref="J354:L354"/>
    <mergeCell ref="M354:P354"/>
    <mergeCell ref="A355:P355"/>
    <mergeCell ref="A356:P356"/>
    <mergeCell ref="C357:D357"/>
    <mergeCell ref="E357:F357"/>
    <mergeCell ref="G357:H357"/>
    <mergeCell ref="K357:L357"/>
    <mergeCell ref="M357:N357"/>
    <mergeCell ref="O357:P357"/>
    <mergeCell ref="M325:P325"/>
    <mergeCell ref="A329:D329"/>
    <mergeCell ref="E329:G329"/>
    <mergeCell ref="H329:I329"/>
    <mergeCell ref="J329:L329"/>
    <mergeCell ref="M329:P329"/>
    <mergeCell ref="A330:P330"/>
    <mergeCell ref="A331:P331"/>
    <mergeCell ref="C332:D332"/>
    <mergeCell ref="E332:F332"/>
    <mergeCell ref="G332:H332"/>
    <mergeCell ref="K332:L332"/>
    <mergeCell ref="M332:N332"/>
    <mergeCell ref="O332:P332"/>
    <mergeCell ref="M300:P300"/>
    <mergeCell ref="A304:D304"/>
    <mergeCell ref="E304:G304"/>
    <mergeCell ref="H304:I304"/>
    <mergeCell ref="J304:L304"/>
    <mergeCell ref="M304:P304"/>
    <mergeCell ref="A305:P305"/>
    <mergeCell ref="A306:P306"/>
    <mergeCell ref="C307:D307"/>
    <mergeCell ref="E307:F307"/>
    <mergeCell ref="G307:H307"/>
    <mergeCell ref="K307:L307"/>
    <mergeCell ref="M307:N307"/>
    <mergeCell ref="O307:P307"/>
    <mergeCell ref="M275:P275"/>
    <mergeCell ref="A279:D279"/>
    <mergeCell ref="E279:G279"/>
    <mergeCell ref="H279:I279"/>
    <mergeCell ref="J279:L279"/>
    <mergeCell ref="M279:P279"/>
    <mergeCell ref="A280:P280"/>
    <mergeCell ref="A281:P281"/>
    <mergeCell ref="C282:D282"/>
    <mergeCell ref="E282:F282"/>
    <mergeCell ref="G282:H282"/>
    <mergeCell ref="K282:L282"/>
    <mergeCell ref="M282:N282"/>
    <mergeCell ref="O282:P282"/>
    <mergeCell ref="M250:P250"/>
    <mergeCell ref="A254:D254"/>
    <mergeCell ref="E254:G254"/>
    <mergeCell ref="H254:I254"/>
    <mergeCell ref="J254:L254"/>
    <mergeCell ref="M254:P254"/>
    <mergeCell ref="A255:P255"/>
    <mergeCell ref="A256:P256"/>
    <mergeCell ref="C257:D257"/>
    <mergeCell ref="E257:F257"/>
    <mergeCell ref="G257:H257"/>
    <mergeCell ref="K257:L257"/>
    <mergeCell ref="M257:N257"/>
    <mergeCell ref="O257:P257"/>
    <mergeCell ref="M225:P225"/>
    <mergeCell ref="A229:D229"/>
    <mergeCell ref="E229:G229"/>
    <mergeCell ref="H229:I229"/>
    <mergeCell ref="J229:L229"/>
    <mergeCell ref="M229:P229"/>
    <mergeCell ref="A230:P230"/>
    <mergeCell ref="A231:P231"/>
    <mergeCell ref="C232:D232"/>
    <mergeCell ref="E232:F232"/>
    <mergeCell ref="G232:H232"/>
    <mergeCell ref="K232:L232"/>
    <mergeCell ref="M232:N232"/>
    <mergeCell ref="O232:P232"/>
    <mergeCell ref="M200:P200"/>
    <mergeCell ref="A204:D204"/>
    <mergeCell ref="E204:G204"/>
    <mergeCell ref="H204:I204"/>
    <mergeCell ref="J204:L204"/>
    <mergeCell ref="M204:P204"/>
    <mergeCell ref="A205:P205"/>
    <mergeCell ref="A206:P206"/>
    <mergeCell ref="C207:D207"/>
    <mergeCell ref="E207:F207"/>
    <mergeCell ref="G207:H207"/>
    <mergeCell ref="K207:L207"/>
    <mergeCell ref="M207:N207"/>
    <mergeCell ref="O207:P207"/>
    <mergeCell ref="M175:P175"/>
    <mergeCell ref="A179:D179"/>
    <mergeCell ref="E179:G179"/>
    <mergeCell ref="H179:I179"/>
    <mergeCell ref="J179:L179"/>
    <mergeCell ref="M179:P179"/>
    <mergeCell ref="A180:P180"/>
    <mergeCell ref="A181:P181"/>
    <mergeCell ref="C182:D182"/>
    <mergeCell ref="E182:F182"/>
    <mergeCell ref="G182:H182"/>
    <mergeCell ref="K182:L182"/>
    <mergeCell ref="M182:N182"/>
    <mergeCell ref="O182:P182"/>
    <mergeCell ref="M150:P150"/>
    <mergeCell ref="A154:D154"/>
    <mergeCell ref="E154:G154"/>
    <mergeCell ref="H154:I154"/>
    <mergeCell ref="J154:L154"/>
    <mergeCell ref="M154:P154"/>
    <mergeCell ref="A155:P155"/>
    <mergeCell ref="A156:P156"/>
    <mergeCell ref="C157:D157"/>
    <mergeCell ref="E157:F157"/>
    <mergeCell ref="G157:H157"/>
    <mergeCell ref="K157:L157"/>
    <mergeCell ref="M157:N157"/>
    <mergeCell ref="O157:P157"/>
    <mergeCell ref="M125:P125"/>
    <mergeCell ref="A129:D129"/>
    <mergeCell ref="E129:G129"/>
    <mergeCell ref="H129:I129"/>
    <mergeCell ref="J129:L129"/>
    <mergeCell ref="M129:P129"/>
    <mergeCell ref="A130:P130"/>
    <mergeCell ref="A131:P131"/>
    <mergeCell ref="C132:D132"/>
    <mergeCell ref="E132:F132"/>
    <mergeCell ref="G132:H132"/>
    <mergeCell ref="K132:L132"/>
    <mergeCell ref="M132:N132"/>
    <mergeCell ref="O132:P132"/>
    <mergeCell ref="M100:P100"/>
    <mergeCell ref="A104:D104"/>
    <mergeCell ref="E104:G104"/>
    <mergeCell ref="H104:I104"/>
    <mergeCell ref="J104:L104"/>
    <mergeCell ref="M104:P104"/>
    <mergeCell ref="A105:P105"/>
    <mergeCell ref="A106:P106"/>
    <mergeCell ref="C107:D107"/>
    <mergeCell ref="E107:F107"/>
    <mergeCell ref="G107:H107"/>
    <mergeCell ref="K107:L107"/>
    <mergeCell ref="M107:N107"/>
    <mergeCell ref="O107:P107"/>
    <mergeCell ref="M75:P75"/>
    <mergeCell ref="A79:D79"/>
    <mergeCell ref="E79:G79"/>
    <mergeCell ref="H79:I79"/>
    <mergeCell ref="J79:L79"/>
    <mergeCell ref="M79:P79"/>
    <mergeCell ref="A80:P80"/>
    <mergeCell ref="A81:P81"/>
    <mergeCell ref="C82:D82"/>
    <mergeCell ref="E82:F82"/>
    <mergeCell ref="G82:H82"/>
    <mergeCell ref="K82:L82"/>
    <mergeCell ref="M82:N82"/>
    <mergeCell ref="O82:P82"/>
    <mergeCell ref="M50:P50"/>
    <mergeCell ref="A54:D54"/>
    <mergeCell ref="E54:G54"/>
    <mergeCell ref="H54:I54"/>
    <mergeCell ref="J54:L54"/>
    <mergeCell ref="M54:P54"/>
    <mergeCell ref="A55:P55"/>
    <mergeCell ref="A56:P56"/>
    <mergeCell ref="C57:D57"/>
    <mergeCell ref="E57:F57"/>
    <mergeCell ref="G57:H57"/>
    <mergeCell ref="K57:L57"/>
    <mergeCell ref="M57:N57"/>
    <mergeCell ref="O57:P57"/>
    <mergeCell ref="M25:P25"/>
    <mergeCell ref="A29:D29"/>
    <mergeCell ref="E29:G29"/>
    <mergeCell ref="H29:I29"/>
    <mergeCell ref="J29:L29"/>
    <mergeCell ref="M29:P29"/>
    <mergeCell ref="A30:P30"/>
    <mergeCell ref="A31:P31"/>
    <mergeCell ref="C32:D32"/>
    <mergeCell ref="E32:F32"/>
    <mergeCell ref="G32:H32"/>
    <mergeCell ref="K32:L32"/>
    <mergeCell ref="M32:N32"/>
    <mergeCell ref="O32:P32"/>
    <mergeCell ref="A4:D4"/>
    <mergeCell ref="E4:G4"/>
    <mergeCell ref="H4:I4"/>
    <mergeCell ref="J4:L4"/>
    <mergeCell ref="M4:P4"/>
    <mergeCell ref="A5:P5"/>
    <mergeCell ref="A6:P6"/>
    <mergeCell ref="C7:D7"/>
    <mergeCell ref="E7:F7"/>
    <mergeCell ref="G7:H7"/>
    <mergeCell ref="K7:L7"/>
    <mergeCell ref="M7:N7"/>
    <mergeCell ref="O7:P7"/>
  </mergeCells>
  <phoneticPr fontId="16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AF800"/>
  <sheetViews>
    <sheetView topLeftCell="A281" workbookViewId="0">
      <selection activeCell="V29" sqref="V29"/>
    </sheetView>
  </sheetViews>
  <sheetFormatPr defaultColWidth="9" defaultRowHeight="14.25" customHeight="1" x14ac:dyDescent="0.15"/>
  <cols>
    <col min="1" max="1" width="5.875" style="31" customWidth="1"/>
    <col min="2" max="2" width="4.125" style="32" customWidth="1"/>
    <col min="3" max="8" width="5.875" style="31" customWidth="1"/>
    <col min="9" max="9" width="5.875" style="32" customWidth="1"/>
    <col min="10" max="10" width="4.125" style="32" customWidth="1"/>
    <col min="11" max="16" width="5.875" style="31" customWidth="1"/>
    <col min="17" max="17" width="9" style="31"/>
    <col min="18" max="32" width="9" style="33"/>
    <col min="33" max="16384" width="9" style="31"/>
  </cols>
  <sheetData>
    <row r="1" spans="1:16" ht="14.25" customHeight="1" x14ac:dyDescent="0.15">
      <c r="A1" s="34"/>
    </row>
    <row r="2" spans="1:16" ht="14.25" customHeight="1" x14ac:dyDescent="0.15">
      <c r="A2" s="34"/>
    </row>
    <row r="3" spans="1:16" ht="14.25" customHeight="1" x14ac:dyDescent="0.15">
      <c r="A3" s="35"/>
      <c r="B3" s="36"/>
    </row>
    <row r="4" spans="1:16" ht="14.25" customHeight="1" x14ac:dyDescent="0.15">
      <c r="A4" s="124" t="s">
        <v>6178</v>
      </c>
      <c r="B4" s="125"/>
      <c r="C4" s="125"/>
      <c r="D4" s="126"/>
      <c r="E4" s="124" t="s">
        <v>6313</v>
      </c>
      <c r="F4" s="125"/>
      <c r="G4" s="126"/>
      <c r="H4" s="124" t="s">
        <v>6180</v>
      </c>
      <c r="I4" s="126"/>
      <c r="J4" s="125" t="s">
        <v>6181</v>
      </c>
      <c r="K4" s="125"/>
      <c r="L4" s="126"/>
      <c r="M4" s="124" t="s">
        <v>6182</v>
      </c>
      <c r="N4" s="125"/>
      <c r="O4" s="125"/>
      <c r="P4" s="126"/>
    </row>
    <row r="5" spans="1:16" ht="14.25" customHeight="1" x14ac:dyDescent="0.15">
      <c r="A5" s="124" t="s">
        <v>6314</v>
      </c>
      <c r="B5" s="125"/>
      <c r="C5" s="125"/>
      <c r="D5" s="125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P5" s="126"/>
    </row>
    <row r="6" spans="1:16" ht="14.25" customHeight="1" x14ac:dyDescent="0.15">
      <c r="A6" s="124" t="s">
        <v>6184</v>
      </c>
      <c r="B6" s="125"/>
      <c r="C6" s="125"/>
      <c r="D6" s="125"/>
      <c r="E6" s="125"/>
      <c r="F6" s="125"/>
      <c r="G6" s="125"/>
      <c r="H6" s="125"/>
      <c r="I6" s="125"/>
      <c r="J6" s="125"/>
      <c r="K6" s="125"/>
      <c r="L6" s="125"/>
      <c r="M6" s="125"/>
      <c r="N6" s="125"/>
      <c r="O6" s="125"/>
      <c r="P6" s="126"/>
    </row>
    <row r="7" spans="1:16" ht="14.25" customHeight="1" x14ac:dyDescent="0.15">
      <c r="A7" s="37"/>
      <c r="B7" s="38"/>
      <c r="C7" s="127" t="s">
        <v>4</v>
      </c>
      <c r="D7" s="128"/>
      <c r="E7" s="129" t="s">
        <v>5</v>
      </c>
      <c r="F7" s="130"/>
      <c r="G7" s="129" t="s">
        <v>6</v>
      </c>
      <c r="H7" s="130"/>
      <c r="I7" s="38"/>
      <c r="J7" s="38"/>
      <c r="K7" s="127" t="s">
        <v>4</v>
      </c>
      <c r="L7" s="128"/>
      <c r="M7" s="129" t="s">
        <v>5</v>
      </c>
      <c r="N7" s="130"/>
      <c r="O7" s="129" t="s">
        <v>6</v>
      </c>
      <c r="P7" s="130"/>
    </row>
    <row r="8" spans="1:16" ht="24" customHeight="1" x14ac:dyDescent="0.15">
      <c r="A8" s="39" t="s">
        <v>7</v>
      </c>
      <c r="B8" s="40" t="s">
        <v>8</v>
      </c>
      <c r="C8" s="41" t="s">
        <v>9</v>
      </c>
      <c r="D8" s="41" t="s">
        <v>10</v>
      </c>
      <c r="E8" s="41" t="s">
        <v>9</v>
      </c>
      <c r="F8" s="41" t="s">
        <v>10</v>
      </c>
      <c r="G8" s="41" t="s">
        <v>9</v>
      </c>
      <c r="H8" s="41" t="s">
        <v>10</v>
      </c>
      <c r="I8" s="48" t="s">
        <v>7</v>
      </c>
      <c r="J8" s="40" t="s">
        <v>8</v>
      </c>
      <c r="K8" s="41" t="s">
        <v>9</v>
      </c>
      <c r="L8" s="41" t="s">
        <v>10</v>
      </c>
      <c r="M8" s="41" t="s">
        <v>9</v>
      </c>
      <c r="N8" s="41" t="s">
        <v>10</v>
      </c>
      <c r="O8" s="41" t="s">
        <v>9</v>
      </c>
      <c r="P8" s="41" t="s">
        <v>10</v>
      </c>
    </row>
    <row r="9" spans="1:16" ht="14.25" customHeight="1" x14ac:dyDescent="0.15">
      <c r="A9" s="42" t="s">
        <v>6185</v>
      </c>
      <c r="B9" s="40" t="s">
        <v>17</v>
      </c>
      <c r="C9" s="43"/>
      <c r="D9" s="43" t="s">
        <v>6186</v>
      </c>
      <c r="E9" s="43" t="s">
        <v>6186</v>
      </c>
      <c r="F9" s="43" t="s">
        <v>6186</v>
      </c>
      <c r="G9" s="43" t="s">
        <v>6186</v>
      </c>
      <c r="H9" s="43" t="s">
        <v>6186</v>
      </c>
      <c r="I9" s="42" t="s">
        <v>6187</v>
      </c>
      <c r="J9" s="40" t="s">
        <v>11</v>
      </c>
      <c r="K9" s="42" t="s">
        <v>6315</v>
      </c>
      <c r="L9" s="42" t="s">
        <v>6316</v>
      </c>
      <c r="M9" s="42" t="s">
        <v>6186</v>
      </c>
      <c r="N9" s="42" t="s">
        <v>6186</v>
      </c>
      <c r="O9" s="42" t="s">
        <v>6186</v>
      </c>
      <c r="P9" s="42" t="s">
        <v>6186</v>
      </c>
    </row>
    <row r="10" spans="1:16" ht="14.25" customHeight="1" x14ac:dyDescent="0.15">
      <c r="A10" s="42" t="s">
        <v>6190</v>
      </c>
      <c r="B10" s="40" t="s">
        <v>18</v>
      </c>
      <c r="C10" s="42" t="s">
        <v>6186</v>
      </c>
      <c r="D10" s="42" t="s">
        <v>6186</v>
      </c>
      <c r="E10" s="42" t="s">
        <v>6186</v>
      </c>
      <c r="F10" s="42" t="s">
        <v>6186</v>
      </c>
      <c r="G10" s="42" t="s">
        <v>6186</v>
      </c>
      <c r="H10" s="42" t="s">
        <v>6186</v>
      </c>
      <c r="I10" s="42" t="s">
        <v>6191</v>
      </c>
      <c r="J10" s="40" t="s">
        <v>14</v>
      </c>
      <c r="K10" s="42" t="s">
        <v>6317</v>
      </c>
      <c r="L10" s="42" t="s">
        <v>6318</v>
      </c>
      <c r="M10" s="42" t="s">
        <v>6186</v>
      </c>
      <c r="N10" s="42" t="s">
        <v>6186</v>
      </c>
      <c r="O10" s="42" t="s">
        <v>6186</v>
      </c>
      <c r="P10" s="42" t="s">
        <v>6186</v>
      </c>
    </row>
    <row r="11" spans="1:16" ht="14.25" customHeight="1" x14ac:dyDescent="0.15">
      <c r="A11" s="42" t="s">
        <v>6194</v>
      </c>
      <c r="B11" s="40" t="s">
        <v>11</v>
      </c>
      <c r="C11" s="42" t="s">
        <v>6186</v>
      </c>
      <c r="D11" s="42" t="s">
        <v>6186</v>
      </c>
      <c r="E11" s="42" t="s">
        <v>6186</v>
      </c>
      <c r="F11" s="42" t="s">
        <v>6186</v>
      </c>
      <c r="G11" s="42" t="s">
        <v>6186</v>
      </c>
      <c r="H11" s="42" t="s">
        <v>6186</v>
      </c>
      <c r="I11" s="42" t="s">
        <v>6195</v>
      </c>
      <c r="J11" s="40" t="s">
        <v>13</v>
      </c>
      <c r="K11" s="42" t="s">
        <v>6319</v>
      </c>
      <c r="L11" s="42" t="s">
        <v>6320</v>
      </c>
      <c r="M11" s="42" t="s">
        <v>6186</v>
      </c>
      <c r="N11" s="42" t="s">
        <v>6186</v>
      </c>
      <c r="O11" s="42" t="s">
        <v>6186</v>
      </c>
      <c r="P11" s="42" t="s">
        <v>6186</v>
      </c>
    </row>
    <row r="12" spans="1:16" ht="14.25" customHeight="1" x14ac:dyDescent="0.15">
      <c r="A12" s="42" t="s">
        <v>6198</v>
      </c>
      <c r="B12" s="40" t="s">
        <v>14</v>
      </c>
      <c r="C12" s="42" t="s">
        <v>6186</v>
      </c>
      <c r="D12" s="42" t="s">
        <v>6186</v>
      </c>
      <c r="E12" s="42" t="s">
        <v>6186</v>
      </c>
      <c r="F12" s="42" t="s">
        <v>6186</v>
      </c>
      <c r="G12" s="42" t="s">
        <v>6186</v>
      </c>
      <c r="H12" s="42" t="s">
        <v>6186</v>
      </c>
      <c r="I12" s="42" t="s">
        <v>6199</v>
      </c>
      <c r="J12" s="40" t="s">
        <v>15</v>
      </c>
      <c r="K12" s="42" t="s">
        <v>6321</v>
      </c>
      <c r="L12" s="42" t="s">
        <v>6322</v>
      </c>
      <c r="M12" s="42" t="s">
        <v>6186</v>
      </c>
      <c r="N12" s="42" t="s">
        <v>6186</v>
      </c>
      <c r="O12" s="42" t="s">
        <v>6186</v>
      </c>
      <c r="P12" s="42" t="s">
        <v>6186</v>
      </c>
    </row>
    <row r="13" spans="1:16" ht="14.25" customHeight="1" x14ac:dyDescent="0.15">
      <c r="A13" s="42" t="s">
        <v>6202</v>
      </c>
      <c r="B13" s="40" t="s">
        <v>13</v>
      </c>
      <c r="C13" s="42" t="s">
        <v>6186</v>
      </c>
      <c r="D13" s="42" t="s">
        <v>6186</v>
      </c>
      <c r="E13" s="42" t="s">
        <v>6186</v>
      </c>
      <c r="F13" s="42" t="s">
        <v>6186</v>
      </c>
      <c r="G13" s="42" t="s">
        <v>6186</v>
      </c>
      <c r="H13" s="42" t="s">
        <v>6186</v>
      </c>
      <c r="I13" s="42" t="s">
        <v>6203</v>
      </c>
      <c r="J13" s="40" t="s">
        <v>16</v>
      </c>
      <c r="K13" s="42" t="s">
        <v>6323</v>
      </c>
      <c r="L13" s="42" t="s">
        <v>6324</v>
      </c>
      <c r="M13" s="42" t="s">
        <v>6186</v>
      </c>
      <c r="N13" s="42" t="s">
        <v>6186</v>
      </c>
      <c r="O13" s="42" t="s">
        <v>6186</v>
      </c>
      <c r="P13" s="42" t="s">
        <v>6186</v>
      </c>
    </row>
    <row r="14" spans="1:16" ht="14.25" customHeight="1" x14ac:dyDescent="0.15">
      <c r="A14" s="42" t="s">
        <v>6204</v>
      </c>
      <c r="B14" s="40" t="s">
        <v>15</v>
      </c>
      <c r="C14" s="42" t="s">
        <v>6186</v>
      </c>
      <c r="D14" s="42" t="s">
        <v>6186</v>
      </c>
      <c r="E14" s="42" t="s">
        <v>6186</v>
      </c>
      <c r="F14" s="42" t="s">
        <v>6186</v>
      </c>
      <c r="G14" s="42" t="s">
        <v>6186</v>
      </c>
      <c r="H14" s="42" t="s">
        <v>6186</v>
      </c>
      <c r="I14" s="42" t="s">
        <v>6205</v>
      </c>
      <c r="J14" s="40" t="s">
        <v>17</v>
      </c>
      <c r="K14" s="42" t="s">
        <v>6325</v>
      </c>
      <c r="L14" s="42" t="s">
        <v>6318</v>
      </c>
      <c r="M14" s="42" t="s">
        <v>6186</v>
      </c>
      <c r="N14" s="42" t="s">
        <v>6186</v>
      </c>
      <c r="O14" s="42" t="s">
        <v>6186</v>
      </c>
      <c r="P14" s="42" t="s">
        <v>6186</v>
      </c>
    </row>
    <row r="15" spans="1:16" ht="14.25" customHeight="1" x14ac:dyDescent="0.15">
      <c r="A15" s="42" t="s">
        <v>6206</v>
      </c>
      <c r="B15" s="40" t="s">
        <v>16</v>
      </c>
      <c r="C15" s="42" t="s">
        <v>6186</v>
      </c>
      <c r="D15" s="42" t="s">
        <v>6186</v>
      </c>
      <c r="E15" s="42" t="s">
        <v>6186</v>
      </c>
      <c r="F15" s="42" t="s">
        <v>6186</v>
      </c>
      <c r="G15" s="42" t="s">
        <v>6186</v>
      </c>
      <c r="H15" s="42" t="s">
        <v>6186</v>
      </c>
      <c r="I15" s="42" t="s">
        <v>6207</v>
      </c>
      <c r="J15" s="40" t="s">
        <v>18</v>
      </c>
      <c r="K15" s="42" t="s">
        <v>6326</v>
      </c>
      <c r="L15" s="42" t="s">
        <v>6327</v>
      </c>
      <c r="M15" s="42" t="s">
        <v>6186</v>
      </c>
      <c r="N15" s="42" t="s">
        <v>6186</v>
      </c>
      <c r="O15" s="42" t="s">
        <v>6186</v>
      </c>
      <c r="P15" s="42" t="s">
        <v>6186</v>
      </c>
    </row>
    <row r="16" spans="1:16" ht="14.25" customHeight="1" x14ac:dyDescent="0.15">
      <c r="A16" s="42" t="s">
        <v>6208</v>
      </c>
      <c r="B16" s="40" t="s">
        <v>17</v>
      </c>
      <c r="C16" s="44">
        <v>0.33124999999999999</v>
      </c>
      <c r="D16" s="44">
        <v>0.90208333331975199</v>
      </c>
      <c r="E16" s="43" t="s">
        <v>6186</v>
      </c>
      <c r="F16" s="43" t="s">
        <v>6186</v>
      </c>
      <c r="G16" s="43" t="s">
        <v>6186</v>
      </c>
      <c r="H16" s="43" t="s">
        <v>6186</v>
      </c>
      <c r="I16" s="42" t="s">
        <v>6211</v>
      </c>
      <c r="J16" s="40" t="s">
        <v>11</v>
      </c>
      <c r="K16" s="42" t="s">
        <v>6323</v>
      </c>
      <c r="L16" s="42" t="s">
        <v>6328</v>
      </c>
      <c r="M16" s="42" t="s">
        <v>6186</v>
      </c>
      <c r="N16" s="42" t="s">
        <v>6186</v>
      </c>
      <c r="O16" s="42" t="s">
        <v>6186</v>
      </c>
      <c r="P16" s="42" t="s">
        <v>6186</v>
      </c>
    </row>
    <row r="17" spans="1:16" ht="14.25" customHeight="1" x14ac:dyDescent="0.15">
      <c r="A17" s="42" t="s">
        <v>6212</v>
      </c>
      <c r="B17" s="40" t="s">
        <v>18</v>
      </c>
      <c r="C17" s="44">
        <v>0.32916666666278599</v>
      </c>
      <c r="D17" s="44">
        <v>0.71805555556784395</v>
      </c>
      <c r="E17" s="43" t="s">
        <v>6186</v>
      </c>
      <c r="F17" s="43" t="s">
        <v>6186</v>
      </c>
      <c r="G17" s="43" t="s">
        <v>6186</v>
      </c>
      <c r="H17" s="43" t="s">
        <v>6186</v>
      </c>
      <c r="I17" s="42" t="s">
        <v>6215</v>
      </c>
      <c r="J17" s="40" t="s">
        <v>14</v>
      </c>
      <c r="K17" s="42" t="s">
        <v>6325</v>
      </c>
      <c r="L17" s="42" t="s">
        <v>6329</v>
      </c>
      <c r="M17" s="42" t="s">
        <v>6186</v>
      </c>
      <c r="N17" s="42" t="s">
        <v>6186</v>
      </c>
      <c r="O17" s="42" t="s">
        <v>6186</v>
      </c>
      <c r="P17" s="42" t="s">
        <v>6186</v>
      </c>
    </row>
    <row r="18" spans="1:16" ht="14.25" customHeight="1" x14ac:dyDescent="0.15">
      <c r="A18" s="42" t="s">
        <v>6216</v>
      </c>
      <c r="B18" s="40" t="s">
        <v>11</v>
      </c>
      <c r="C18" s="45" t="s">
        <v>6330</v>
      </c>
      <c r="D18" s="45" t="s">
        <v>6331</v>
      </c>
      <c r="E18" s="42" t="s">
        <v>6186</v>
      </c>
      <c r="F18" s="42" t="s">
        <v>6186</v>
      </c>
      <c r="G18" s="42" t="s">
        <v>6186</v>
      </c>
      <c r="H18" s="42" t="s">
        <v>6186</v>
      </c>
      <c r="I18" s="42" t="s">
        <v>6219</v>
      </c>
      <c r="J18" s="40" t="s">
        <v>13</v>
      </c>
      <c r="K18" s="42" t="s">
        <v>6332</v>
      </c>
      <c r="L18" s="42" t="s">
        <v>6333</v>
      </c>
      <c r="M18" s="42" t="s">
        <v>6186</v>
      </c>
      <c r="N18" s="42" t="s">
        <v>6186</v>
      </c>
      <c r="O18" s="42" t="s">
        <v>6186</v>
      </c>
      <c r="P18" s="42" t="s">
        <v>6186</v>
      </c>
    </row>
    <row r="19" spans="1:16" ht="14.25" customHeight="1" x14ac:dyDescent="0.15">
      <c r="A19" s="42" t="s">
        <v>6220</v>
      </c>
      <c r="B19" s="40" t="s">
        <v>14</v>
      </c>
      <c r="C19" s="45" t="s">
        <v>6330</v>
      </c>
      <c r="D19" s="45" t="s">
        <v>6157</v>
      </c>
      <c r="E19" s="42" t="s">
        <v>6186</v>
      </c>
      <c r="F19" s="42" t="s">
        <v>6186</v>
      </c>
      <c r="G19" s="42" t="s">
        <v>6186</v>
      </c>
      <c r="H19" s="42" t="s">
        <v>6186</v>
      </c>
      <c r="I19" s="42" t="s">
        <v>6221</v>
      </c>
      <c r="J19" s="40" t="s">
        <v>15</v>
      </c>
      <c r="K19" s="42" t="s">
        <v>6334</v>
      </c>
      <c r="L19" s="42" t="s">
        <v>6335</v>
      </c>
      <c r="M19" s="42" t="s">
        <v>6186</v>
      </c>
      <c r="N19" s="42" t="s">
        <v>6186</v>
      </c>
      <c r="O19" s="42" t="s">
        <v>6186</v>
      </c>
      <c r="P19" s="42" t="s">
        <v>6186</v>
      </c>
    </row>
    <row r="20" spans="1:16" ht="14.25" customHeight="1" x14ac:dyDescent="0.15">
      <c r="A20" s="42" t="s">
        <v>6222</v>
      </c>
      <c r="B20" s="40" t="s">
        <v>13</v>
      </c>
      <c r="C20" s="44">
        <v>0.32361111111822499</v>
      </c>
      <c r="D20" s="45" t="s">
        <v>6336</v>
      </c>
      <c r="E20" s="42" t="s">
        <v>6186</v>
      </c>
      <c r="F20" s="42" t="s">
        <v>6186</v>
      </c>
      <c r="G20" s="42" t="s">
        <v>6186</v>
      </c>
      <c r="H20" s="42" t="s">
        <v>6186</v>
      </c>
      <c r="I20" s="42" t="s">
        <v>6224</v>
      </c>
      <c r="J20" s="40" t="s">
        <v>16</v>
      </c>
      <c r="K20" s="42" t="s">
        <v>6337</v>
      </c>
      <c r="L20" s="42" t="s">
        <v>6338</v>
      </c>
      <c r="M20" s="42" t="s">
        <v>6186</v>
      </c>
      <c r="N20" s="42" t="s">
        <v>6186</v>
      </c>
      <c r="O20" s="42" t="s">
        <v>6186</v>
      </c>
      <c r="P20" s="42" t="s">
        <v>6186</v>
      </c>
    </row>
    <row r="21" spans="1:16" ht="14.25" customHeight="1" x14ac:dyDescent="0.15">
      <c r="A21" s="42" t="s">
        <v>6225</v>
      </c>
      <c r="B21" s="40" t="s">
        <v>15</v>
      </c>
      <c r="C21" s="45" t="s">
        <v>6317</v>
      </c>
      <c r="D21" s="45" t="s">
        <v>6339</v>
      </c>
      <c r="E21" s="42" t="s">
        <v>6186</v>
      </c>
      <c r="F21" s="42" t="s">
        <v>6186</v>
      </c>
      <c r="G21" s="42" t="s">
        <v>6186</v>
      </c>
      <c r="H21" s="42" t="s">
        <v>6186</v>
      </c>
      <c r="I21" s="42" t="s">
        <v>6227</v>
      </c>
      <c r="J21" s="40" t="s">
        <v>17</v>
      </c>
      <c r="K21" s="42" t="s">
        <v>6340</v>
      </c>
      <c r="L21" s="42" t="s">
        <v>6341</v>
      </c>
      <c r="M21" s="42" t="s">
        <v>6186</v>
      </c>
      <c r="N21" s="42" t="s">
        <v>6186</v>
      </c>
      <c r="O21" s="42" t="s">
        <v>6186</v>
      </c>
      <c r="P21" s="42" t="s">
        <v>6186</v>
      </c>
    </row>
    <row r="22" spans="1:16" ht="14.25" customHeight="1" x14ac:dyDescent="0.15">
      <c r="A22" s="42" t="s">
        <v>6228</v>
      </c>
      <c r="B22" s="40" t="s">
        <v>16</v>
      </c>
      <c r="C22" s="42" t="s">
        <v>6342</v>
      </c>
      <c r="D22" s="42" t="s">
        <v>6343</v>
      </c>
      <c r="E22" s="42" t="s">
        <v>6186</v>
      </c>
      <c r="F22" s="42" t="s">
        <v>6186</v>
      </c>
      <c r="G22" s="42" t="s">
        <v>6186</v>
      </c>
      <c r="H22" s="42" t="s">
        <v>6186</v>
      </c>
      <c r="I22" s="42" t="s">
        <v>6230</v>
      </c>
      <c r="J22" s="40" t="s">
        <v>18</v>
      </c>
      <c r="K22" s="42" t="s">
        <v>6344</v>
      </c>
      <c r="L22" s="42" t="s">
        <v>6345</v>
      </c>
      <c r="M22" s="42" t="s">
        <v>6186</v>
      </c>
      <c r="N22" s="42" t="s">
        <v>6186</v>
      </c>
      <c r="O22" s="42" t="s">
        <v>6186</v>
      </c>
      <c r="P22" s="42" t="s">
        <v>6186</v>
      </c>
    </row>
    <row r="23" spans="1:16" ht="14.25" customHeight="1" x14ac:dyDescent="0.15">
      <c r="A23" s="42" t="s">
        <v>6231</v>
      </c>
      <c r="B23" s="40" t="s">
        <v>17</v>
      </c>
      <c r="C23" s="42" t="s">
        <v>6346</v>
      </c>
      <c r="D23" s="42" t="s">
        <v>6347</v>
      </c>
      <c r="E23" s="42" t="s">
        <v>6186</v>
      </c>
      <c r="F23" s="42" t="s">
        <v>6186</v>
      </c>
      <c r="G23" s="42" t="s">
        <v>6186</v>
      </c>
      <c r="H23" s="42" t="s">
        <v>6186</v>
      </c>
      <c r="I23" s="42" t="s">
        <v>6234</v>
      </c>
      <c r="J23" s="40" t="s">
        <v>11</v>
      </c>
      <c r="K23" s="42" t="s">
        <v>6348</v>
      </c>
      <c r="L23" s="42" t="s">
        <v>6349</v>
      </c>
      <c r="M23" s="42" t="s">
        <v>6186</v>
      </c>
      <c r="N23" s="42" t="s">
        <v>6186</v>
      </c>
      <c r="O23" s="42" t="s">
        <v>6186</v>
      </c>
      <c r="P23" s="42" t="s">
        <v>6186</v>
      </c>
    </row>
    <row r="24" spans="1:16" ht="14.25" customHeight="1" x14ac:dyDescent="0.15">
      <c r="A24" s="42" t="s">
        <v>6235</v>
      </c>
      <c r="B24" s="40" t="s">
        <v>18</v>
      </c>
      <c r="C24" s="42" t="s">
        <v>6317</v>
      </c>
      <c r="D24" s="42" t="s">
        <v>6350</v>
      </c>
      <c r="E24" s="42" t="s">
        <v>6186</v>
      </c>
      <c r="F24" s="42" t="s">
        <v>6186</v>
      </c>
      <c r="G24" s="42" t="s">
        <v>6186</v>
      </c>
      <c r="H24" s="42" t="s">
        <v>6186</v>
      </c>
      <c r="I24" s="42" t="s">
        <v>12</v>
      </c>
      <c r="J24" s="42" t="s">
        <v>12</v>
      </c>
      <c r="K24" s="42" t="s">
        <v>12</v>
      </c>
      <c r="L24" s="42" t="s">
        <v>12</v>
      </c>
      <c r="M24" s="42" t="s">
        <v>12</v>
      </c>
      <c r="N24" s="42" t="s">
        <v>12</v>
      </c>
      <c r="O24" s="42" t="s">
        <v>12</v>
      </c>
      <c r="P24" s="42" t="s">
        <v>12</v>
      </c>
    </row>
    <row r="25" spans="1:16" ht="14.25" customHeight="1" x14ac:dyDescent="0.15">
      <c r="A25" s="35"/>
      <c r="C25" s="46"/>
      <c r="D25" s="46"/>
      <c r="E25" s="46"/>
      <c r="F25" s="46"/>
      <c r="G25" s="47"/>
      <c r="H25" s="47"/>
      <c r="I25" s="36"/>
      <c r="M25" s="131" t="s">
        <v>6237</v>
      </c>
      <c r="N25" s="131"/>
      <c r="O25" s="131"/>
      <c r="P25" s="131"/>
    </row>
    <row r="26" spans="1:16" ht="14.25" customHeight="1" x14ac:dyDescent="0.15">
      <c r="A26" s="34"/>
    </row>
    <row r="27" spans="1:16" ht="14.25" customHeight="1" x14ac:dyDescent="0.15">
      <c r="A27" s="34"/>
    </row>
    <row r="28" spans="1:16" ht="14.25" customHeight="1" x14ac:dyDescent="0.15">
      <c r="A28" s="35"/>
      <c r="B28" s="36"/>
    </row>
    <row r="29" spans="1:16" ht="14.25" customHeight="1" x14ac:dyDescent="0.15">
      <c r="A29" s="124" t="s">
        <v>6178</v>
      </c>
      <c r="B29" s="125"/>
      <c r="C29" s="125"/>
      <c r="D29" s="126"/>
      <c r="E29" s="124" t="s">
        <v>6351</v>
      </c>
      <c r="F29" s="125"/>
      <c r="G29" s="126"/>
      <c r="H29" s="124" t="s">
        <v>6352</v>
      </c>
      <c r="I29" s="126"/>
      <c r="J29" s="125" t="s">
        <v>6181</v>
      </c>
      <c r="K29" s="125"/>
      <c r="L29" s="126"/>
      <c r="M29" s="124" t="s">
        <v>6182</v>
      </c>
      <c r="N29" s="125"/>
      <c r="O29" s="125"/>
      <c r="P29" s="126"/>
    </row>
    <row r="30" spans="1:16" ht="14.25" customHeight="1" x14ac:dyDescent="0.15">
      <c r="A30" s="124" t="s">
        <v>6353</v>
      </c>
      <c r="B30" s="125"/>
      <c r="C30" s="125"/>
      <c r="D30" s="125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6"/>
    </row>
    <row r="31" spans="1:16" ht="14.25" customHeight="1" x14ac:dyDescent="0.15">
      <c r="A31" s="124" t="s">
        <v>6184</v>
      </c>
      <c r="B31" s="125"/>
      <c r="C31" s="125"/>
      <c r="D31" s="125"/>
      <c r="E31" s="125"/>
      <c r="F31" s="125"/>
      <c r="G31" s="125"/>
      <c r="H31" s="125"/>
      <c r="I31" s="125"/>
      <c r="J31" s="125"/>
      <c r="K31" s="125"/>
      <c r="L31" s="125"/>
      <c r="M31" s="125"/>
      <c r="N31" s="125"/>
      <c r="O31" s="125"/>
      <c r="P31" s="126"/>
    </row>
    <row r="32" spans="1:16" ht="14.25" customHeight="1" x14ac:dyDescent="0.15">
      <c r="A32" s="37"/>
      <c r="B32" s="38"/>
      <c r="C32" s="127" t="s">
        <v>4</v>
      </c>
      <c r="D32" s="128"/>
      <c r="E32" s="129" t="s">
        <v>5</v>
      </c>
      <c r="F32" s="130"/>
      <c r="G32" s="129" t="s">
        <v>6</v>
      </c>
      <c r="H32" s="130"/>
      <c r="I32" s="38"/>
      <c r="J32" s="38"/>
      <c r="K32" s="127" t="s">
        <v>4</v>
      </c>
      <c r="L32" s="128"/>
      <c r="M32" s="129" t="s">
        <v>5</v>
      </c>
      <c r="N32" s="130"/>
      <c r="O32" s="129" t="s">
        <v>6</v>
      </c>
      <c r="P32" s="130"/>
    </row>
    <row r="33" spans="1:16" ht="24" customHeight="1" x14ac:dyDescent="0.15">
      <c r="A33" s="39" t="s">
        <v>7</v>
      </c>
      <c r="B33" s="40" t="s">
        <v>8</v>
      </c>
      <c r="C33" s="41" t="s">
        <v>9</v>
      </c>
      <c r="D33" s="41" t="s">
        <v>10</v>
      </c>
      <c r="E33" s="41" t="s">
        <v>9</v>
      </c>
      <c r="F33" s="41" t="s">
        <v>10</v>
      </c>
      <c r="G33" s="41" t="s">
        <v>9</v>
      </c>
      <c r="H33" s="41" t="s">
        <v>10</v>
      </c>
      <c r="I33" s="48" t="s">
        <v>7</v>
      </c>
      <c r="J33" s="40" t="s">
        <v>8</v>
      </c>
      <c r="K33" s="41" t="s">
        <v>9</v>
      </c>
      <c r="L33" s="41" t="s">
        <v>10</v>
      </c>
      <c r="M33" s="41" t="s">
        <v>9</v>
      </c>
      <c r="N33" s="41" t="s">
        <v>10</v>
      </c>
      <c r="O33" s="41" t="s">
        <v>9</v>
      </c>
      <c r="P33" s="41" t="s">
        <v>10</v>
      </c>
    </row>
    <row r="34" spans="1:16" ht="14.25" customHeight="1" x14ac:dyDescent="0.15">
      <c r="A34" s="42" t="s">
        <v>6185</v>
      </c>
      <c r="B34" s="40" t="s">
        <v>17</v>
      </c>
      <c r="C34" s="42" t="s">
        <v>6186</v>
      </c>
      <c r="D34" s="42" t="s">
        <v>6354</v>
      </c>
      <c r="E34" s="42" t="s">
        <v>6186</v>
      </c>
      <c r="F34" s="42" t="s">
        <v>6186</v>
      </c>
      <c r="G34" s="42" t="s">
        <v>6186</v>
      </c>
      <c r="H34" s="42" t="s">
        <v>6186</v>
      </c>
      <c r="I34" s="42" t="s">
        <v>6187</v>
      </c>
      <c r="J34" s="40" t="s">
        <v>11</v>
      </c>
      <c r="K34" s="42" t="s">
        <v>6186</v>
      </c>
      <c r="L34" s="42" t="s">
        <v>6186</v>
      </c>
      <c r="M34" s="42" t="s">
        <v>6186</v>
      </c>
      <c r="N34" s="42" t="s">
        <v>6186</v>
      </c>
      <c r="O34" s="42" t="s">
        <v>6186</v>
      </c>
      <c r="P34" s="42" t="s">
        <v>6186</v>
      </c>
    </row>
    <row r="35" spans="1:16" ht="14.25" customHeight="1" x14ac:dyDescent="0.15">
      <c r="A35" s="42" t="s">
        <v>6190</v>
      </c>
      <c r="B35" s="40" t="s">
        <v>18</v>
      </c>
      <c r="C35" s="42" t="s">
        <v>6186</v>
      </c>
      <c r="D35" s="42" t="s">
        <v>6186</v>
      </c>
      <c r="E35" s="42" t="s">
        <v>6186</v>
      </c>
      <c r="F35" s="42" t="s">
        <v>6186</v>
      </c>
      <c r="G35" s="42" t="s">
        <v>6186</v>
      </c>
      <c r="H35" s="42" t="s">
        <v>6186</v>
      </c>
      <c r="I35" s="42" t="s">
        <v>6191</v>
      </c>
      <c r="J35" s="40" t="s">
        <v>14</v>
      </c>
      <c r="K35" s="42" t="s">
        <v>6186</v>
      </c>
      <c r="L35" s="42" t="s">
        <v>6186</v>
      </c>
      <c r="M35" s="42" t="s">
        <v>6186</v>
      </c>
      <c r="N35" s="42" t="s">
        <v>6186</v>
      </c>
      <c r="O35" s="42" t="s">
        <v>6186</v>
      </c>
      <c r="P35" s="42" t="s">
        <v>6186</v>
      </c>
    </row>
    <row r="36" spans="1:16" ht="14.25" customHeight="1" x14ac:dyDescent="0.15">
      <c r="A36" s="42" t="s">
        <v>6194</v>
      </c>
      <c r="B36" s="40" t="s">
        <v>11</v>
      </c>
      <c r="C36" s="42" t="s">
        <v>6186</v>
      </c>
      <c r="D36" s="42" t="s">
        <v>6186</v>
      </c>
      <c r="E36" s="42" t="s">
        <v>6186</v>
      </c>
      <c r="F36" s="42" t="s">
        <v>6186</v>
      </c>
      <c r="G36" s="42" t="s">
        <v>6186</v>
      </c>
      <c r="H36" s="42" t="s">
        <v>6186</v>
      </c>
      <c r="I36" s="42" t="s">
        <v>6195</v>
      </c>
      <c r="J36" s="40" t="s">
        <v>13</v>
      </c>
      <c r="K36" s="42" t="s">
        <v>6186</v>
      </c>
      <c r="L36" s="42" t="s">
        <v>6186</v>
      </c>
      <c r="M36" s="42" t="s">
        <v>6186</v>
      </c>
      <c r="N36" s="42" t="s">
        <v>6186</v>
      </c>
      <c r="O36" s="42" t="s">
        <v>6186</v>
      </c>
      <c r="P36" s="42" t="s">
        <v>6186</v>
      </c>
    </row>
    <row r="37" spans="1:16" ht="14.25" customHeight="1" x14ac:dyDescent="0.15">
      <c r="A37" s="42" t="s">
        <v>6198</v>
      </c>
      <c r="B37" s="40" t="s">
        <v>14</v>
      </c>
      <c r="C37" s="42" t="s">
        <v>6186</v>
      </c>
      <c r="D37" s="42" t="s">
        <v>6186</v>
      </c>
      <c r="E37" s="42" t="s">
        <v>6186</v>
      </c>
      <c r="F37" s="42" t="s">
        <v>6186</v>
      </c>
      <c r="G37" s="42" t="s">
        <v>6186</v>
      </c>
      <c r="H37" s="42" t="s">
        <v>6186</v>
      </c>
      <c r="I37" s="42" t="s">
        <v>6199</v>
      </c>
      <c r="J37" s="40" t="s">
        <v>15</v>
      </c>
      <c r="K37" s="42" t="s">
        <v>6186</v>
      </c>
      <c r="L37" s="42" t="s">
        <v>6186</v>
      </c>
      <c r="M37" s="42" t="s">
        <v>6186</v>
      </c>
      <c r="N37" s="42" t="s">
        <v>6186</v>
      </c>
      <c r="O37" s="42" t="s">
        <v>6186</v>
      </c>
      <c r="P37" s="42" t="s">
        <v>6186</v>
      </c>
    </row>
    <row r="38" spans="1:16" ht="14.25" customHeight="1" x14ac:dyDescent="0.15">
      <c r="A38" s="42" t="s">
        <v>6202</v>
      </c>
      <c r="B38" s="40" t="s">
        <v>13</v>
      </c>
      <c r="C38" s="42" t="s">
        <v>6186</v>
      </c>
      <c r="D38" s="42" t="s">
        <v>6186</v>
      </c>
      <c r="E38" s="42" t="s">
        <v>6186</v>
      </c>
      <c r="F38" s="42" t="s">
        <v>6186</v>
      </c>
      <c r="G38" s="42" t="s">
        <v>6186</v>
      </c>
      <c r="H38" s="42" t="s">
        <v>6186</v>
      </c>
      <c r="I38" s="42" t="s">
        <v>6203</v>
      </c>
      <c r="J38" s="40" t="s">
        <v>16</v>
      </c>
      <c r="K38" s="42" t="s">
        <v>6186</v>
      </c>
      <c r="L38" s="42" t="s">
        <v>6186</v>
      </c>
      <c r="M38" s="42" t="s">
        <v>6186</v>
      </c>
      <c r="N38" s="42" t="s">
        <v>6186</v>
      </c>
      <c r="O38" s="42" t="s">
        <v>6186</v>
      </c>
      <c r="P38" s="42" t="s">
        <v>6186</v>
      </c>
    </row>
    <row r="39" spans="1:16" ht="14.25" customHeight="1" x14ac:dyDescent="0.15">
      <c r="A39" s="42" t="s">
        <v>6204</v>
      </c>
      <c r="B39" s="40" t="s">
        <v>15</v>
      </c>
      <c r="C39" s="42" t="s">
        <v>6186</v>
      </c>
      <c r="D39" s="42" t="s">
        <v>6186</v>
      </c>
      <c r="E39" s="42" t="s">
        <v>6186</v>
      </c>
      <c r="F39" s="42" t="s">
        <v>6186</v>
      </c>
      <c r="G39" s="42" t="s">
        <v>6186</v>
      </c>
      <c r="H39" s="42" t="s">
        <v>6186</v>
      </c>
      <c r="I39" s="42" t="s">
        <v>6205</v>
      </c>
      <c r="J39" s="40" t="s">
        <v>17</v>
      </c>
      <c r="K39" s="42" t="s">
        <v>6186</v>
      </c>
      <c r="L39" s="42" t="s">
        <v>6186</v>
      </c>
      <c r="M39" s="42" t="s">
        <v>6186</v>
      </c>
      <c r="N39" s="42" t="s">
        <v>6186</v>
      </c>
      <c r="O39" s="42" t="s">
        <v>6186</v>
      </c>
      <c r="P39" s="42" t="s">
        <v>6186</v>
      </c>
    </row>
    <row r="40" spans="1:16" ht="14.25" customHeight="1" x14ac:dyDescent="0.15">
      <c r="A40" s="42" t="s">
        <v>6206</v>
      </c>
      <c r="B40" s="40" t="s">
        <v>16</v>
      </c>
      <c r="C40" s="42" t="s">
        <v>6186</v>
      </c>
      <c r="D40" s="42" t="s">
        <v>6186</v>
      </c>
      <c r="E40" s="42" t="s">
        <v>6186</v>
      </c>
      <c r="F40" s="42" t="s">
        <v>6186</v>
      </c>
      <c r="G40" s="42" t="s">
        <v>6186</v>
      </c>
      <c r="H40" s="42" t="s">
        <v>6186</v>
      </c>
      <c r="I40" s="42" t="s">
        <v>6207</v>
      </c>
      <c r="J40" s="40" t="s">
        <v>18</v>
      </c>
      <c r="K40" s="42" t="s">
        <v>6186</v>
      </c>
      <c r="L40" s="42" t="s">
        <v>6186</v>
      </c>
      <c r="M40" s="42" t="s">
        <v>6186</v>
      </c>
      <c r="N40" s="42" t="s">
        <v>6186</v>
      </c>
      <c r="O40" s="42" t="s">
        <v>6186</v>
      </c>
      <c r="P40" s="42" t="s">
        <v>6186</v>
      </c>
    </row>
    <row r="41" spans="1:16" ht="14.25" customHeight="1" x14ac:dyDescent="0.15">
      <c r="A41" s="42" t="s">
        <v>6208</v>
      </c>
      <c r="B41" s="40" t="s">
        <v>17</v>
      </c>
      <c r="C41" s="45" t="s">
        <v>6355</v>
      </c>
      <c r="D41" s="45" t="s">
        <v>6356</v>
      </c>
      <c r="E41" s="42" t="s">
        <v>6186</v>
      </c>
      <c r="F41" s="42" t="s">
        <v>6186</v>
      </c>
      <c r="G41" s="42" t="s">
        <v>6186</v>
      </c>
      <c r="H41" s="42" t="s">
        <v>6186</v>
      </c>
      <c r="I41" s="42" t="s">
        <v>6211</v>
      </c>
      <c r="J41" s="40" t="s">
        <v>11</v>
      </c>
      <c r="K41" s="42" t="s">
        <v>6186</v>
      </c>
      <c r="L41" s="42" t="s">
        <v>6186</v>
      </c>
      <c r="M41" s="42" t="s">
        <v>6186</v>
      </c>
      <c r="N41" s="42" t="s">
        <v>6186</v>
      </c>
      <c r="O41" s="42" t="s">
        <v>6186</v>
      </c>
      <c r="P41" s="42" t="s">
        <v>6186</v>
      </c>
    </row>
    <row r="42" spans="1:16" ht="14.25" customHeight="1" x14ac:dyDescent="0.15">
      <c r="A42" s="42" t="s">
        <v>6212</v>
      </c>
      <c r="B42" s="40" t="s">
        <v>18</v>
      </c>
      <c r="C42" s="44">
        <v>0.32777777776937</v>
      </c>
      <c r="D42" s="45" t="s">
        <v>6125</v>
      </c>
      <c r="E42" s="42" t="s">
        <v>6186</v>
      </c>
      <c r="F42" s="42" t="s">
        <v>6186</v>
      </c>
      <c r="G42" s="42" t="s">
        <v>6186</v>
      </c>
      <c r="H42" s="42" t="s">
        <v>6186</v>
      </c>
      <c r="I42" s="42" t="s">
        <v>6215</v>
      </c>
      <c r="J42" s="40" t="s">
        <v>14</v>
      </c>
      <c r="K42" s="42" t="s">
        <v>6186</v>
      </c>
      <c r="L42" s="42" t="s">
        <v>6186</v>
      </c>
      <c r="M42" s="42" t="s">
        <v>6186</v>
      </c>
      <c r="N42" s="42" t="s">
        <v>6186</v>
      </c>
      <c r="O42" s="42" t="s">
        <v>6186</v>
      </c>
      <c r="P42" s="42" t="s">
        <v>6186</v>
      </c>
    </row>
    <row r="43" spans="1:16" ht="14.25" customHeight="1" x14ac:dyDescent="0.15">
      <c r="A43" s="42" t="s">
        <v>6216</v>
      </c>
      <c r="B43" s="40" t="s">
        <v>11</v>
      </c>
      <c r="C43" s="45" t="s">
        <v>6357</v>
      </c>
      <c r="D43" s="45" t="s">
        <v>6358</v>
      </c>
      <c r="E43" s="42" t="s">
        <v>6186</v>
      </c>
      <c r="F43" s="42" t="s">
        <v>6186</v>
      </c>
      <c r="G43" s="42" t="s">
        <v>6186</v>
      </c>
      <c r="H43" s="42" t="s">
        <v>6186</v>
      </c>
      <c r="I43" s="42" t="s">
        <v>6219</v>
      </c>
      <c r="J43" s="40" t="s">
        <v>13</v>
      </c>
      <c r="K43" s="42" t="s">
        <v>6186</v>
      </c>
      <c r="L43" s="42" t="s">
        <v>6186</v>
      </c>
      <c r="M43" s="42" t="s">
        <v>6186</v>
      </c>
      <c r="N43" s="42" t="s">
        <v>6186</v>
      </c>
      <c r="O43" s="42" t="s">
        <v>6186</v>
      </c>
      <c r="P43" s="42" t="s">
        <v>6186</v>
      </c>
    </row>
    <row r="44" spans="1:16" ht="14.25" customHeight="1" x14ac:dyDescent="0.15">
      <c r="A44" s="42" t="s">
        <v>6220</v>
      </c>
      <c r="B44" s="40" t="s">
        <v>14</v>
      </c>
      <c r="C44" s="45"/>
      <c r="D44" s="45"/>
      <c r="E44" s="42" t="s">
        <v>6186</v>
      </c>
      <c r="F44" s="42" t="s">
        <v>6186</v>
      </c>
      <c r="G44" s="42" t="s">
        <v>6186</v>
      </c>
      <c r="H44" s="42" t="s">
        <v>6186</v>
      </c>
      <c r="I44" s="42" t="s">
        <v>6221</v>
      </c>
      <c r="J44" s="40" t="s">
        <v>15</v>
      </c>
      <c r="K44" s="42" t="s">
        <v>6186</v>
      </c>
      <c r="L44" s="42" t="s">
        <v>6186</v>
      </c>
      <c r="M44" s="42" t="s">
        <v>6186</v>
      </c>
      <c r="N44" s="42" t="s">
        <v>6186</v>
      </c>
      <c r="O44" s="42" t="s">
        <v>6186</v>
      </c>
      <c r="P44" s="42" t="s">
        <v>6186</v>
      </c>
    </row>
    <row r="45" spans="1:16" ht="14.25" customHeight="1" x14ac:dyDescent="0.15">
      <c r="A45" s="42" t="s">
        <v>6222</v>
      </c>
      <c r="B45" s="40" t="s">
        <v>13</v>
      </c>
      <c r="C45" s="44">
        <v>0.33055555555620197</v>
      </c>
      <c r="D45" s="45" t="s">
        <v>6358</v>
      </c>
      <c r="E45" s="42" t="s">
        <v>6186</v>
      </c>
      <c r="F45" s="42" t="s">
        <v>6186</v>
      </c>
      <c r="G45" s="42" t="s">
        <v>6186</v>
      </c>
      <c r="H45" s="42" t="s">
        <v>6186</v>
      </c>
      <c r="I45" s="42" t="s">
        <v>6224</v>
      </c>
      <c r="J45" s="40" t="s">
        <v>16</v>
      </c>
      <c r="K45" s="42" t="s">
        <v>6186</v>
      </c>
      <c r="L45" s="42" t="s">
        <v>6186</v>
      </c>
      <c r="M45" s="42" t="s">
        <v>6186</v>
      </c>
      <c r="N45" s="42" t="s">
        <v>6186</v>
      </c>
      <c r="O45" s="42" t="s">
        <v>6186</v>
      </c>
      <c r="P45" s="42" t="s">
        <v>6186</v>
      </c>
    </row>
    <row r="46" spans="1:16" ht="14.25" customHeight="1" x14ac:dyDescent="0.15">
      <c r="A46" s="42" t="s">
        <v>6225</v>
      </c>
      <c r="B46" s="40" t="s">
        <v>15</v>
      </c>
      <c r="C46" s="45" t="s">
        <v>6359</v>
      </c>
      <c r="D46" s="45" t="s">
        <v>6360</v>
      </c>
      <c r="E46" s="42" t="s">
        <v>6186</v>
      </c>
      <c r="F46" s="42" t="s">
        <v>6186</v>
      </c>
      <c r="G46" s="42" t="s">
        <v>6186</v>
      </c>
      <c r="H46" s="42" t="s">
        <v>6186</v>
      </c>
      <c r="I46" s="42" t="s">
        <v>6227</v>
      </c>
      <c r="J46" s="40" t="s">
        <v>17</v>
      </c>
      <c r="K46" s="42" t="s">
        <v>6186</v>
      </c>
      <c r="L46" s="42" t="s">
        <v>6186</v>
      </c>
      <c r="M46" s="42" t="s">
        <v>6186</v>
      </c>
      <c r="N46" s="42" t="s">
        <v>6186</v>
      </c>
      <c r="O46" s="42" t="s">
        <v>6186</v>
      </c>
      <c r="P46" s="42" t="s">
        <v>6186</v>
      </c>
    </row>
    <row r="47" spans="1:16" ht="14.25" customHeight="1" x14ac:dyDescent="0.15">
      <c r="A47" s="42" t="s">
        <v>6228</v>
      </c>
      <c r="B47" s="40" t="s">
        <v>16</v>
      </c>
      <c r="C47" s="42" t="s">
        <v>6186</v>
      </c>
      <c r="D47" s="42" t="s">
        <v>6186</v>
      </c>
      <c r="E47" s="42" t="s">
        <v>6186</v>
      </c>
      <c r="F47" s="42" t="s">
        <v>6186</v>
      </c>
      <c r="G47" s="42" t="s">
        <v>6186</v>
      </c>
      <c r="H47" s="42" t="s">
        <v>6186</v>
      </c>
      <c r="I47" s="42" t="s">
        <v>6230</v>
      </c>
      <c r="J47" s="40" t="s">
        <v>18</v>
      </c>
      <c r="K47" s="42" t="s">
        <v>6186</v>
      </c>
      <c r="L47" s="42" t="s">
        <v>6186</v>
      </c>
      <c r="M47" s="42" t="s">
        <v>6186</v>
      </c>
      <c r="N47" s="42" t="s">
        <v>6186</v>
      </c>
      <c r="O47" s="42" t="s">
        <v>6186</v>
      </c>
      <c r="P47" s="42" t="s">
        <v>6186</v>
      </c>
    </row>
    <row r="48" spans="1:16" ht="14.25" customHeight="1" x14ac:dyDescent="0.15">
      <c r="A48" s="42" t="s">
        <v>6231</v>
      </c>
      <c r="B48" s="40" t="s">
        <v>17</v>
      </c>
      <c r="C48" s="42" t="s">
        <v>6186</v>
      </c>
      <c r="D48" s="42" t="s">
        <v>6186</v>
      </c>
      <c r="E48" s="42" t="s">
        <v>6186</v>
      </c>
      <c r="F48" s="42" t="s">
        <v>6186</v>
      </c>
      <c r="G48" s="42" t="s">
        <v>6186</v>
      </c>
      <c r="H48" s="42" t="s">
        <v>6186</v>
      </c>
      <c r="I48" s="42" t="s">
        <v>6234</v>
      </c>
      <c r="J48" s="40" t="s">
        <v>11</v>
      </c>
      <c r="K48" s="42" t="s">
        <v>6186</v>
      </c>
      <c r="L48" s="42" t="s">
        <v>6186</v>
      </c>
      <c r="M48" s="42" t="s">
        <v>6186</v>
      </c>
      <c r="N48" s="42" t="s">
        <v>6186</v>
      </c>
      <c r="O48" s="42" t="s">
        <v>6186</v>
      </c>
      <c r="P48" s="42" t="s">
        <v>6186</v>
      </c>
    </row>
    <row r="49" spans="1:16" ht="14.25" customHeight="1" x14ac:dyDescent="0.15">
      <c r="A49" s="42" t="s">
        <v>6235</v>
      </c>
      <c r="B49" s="40" t="s">
        <v>18</v>
      </c>
      <c r="C49" s="42" t="s">
        <v>6186</v>
      </c>
      <c r="D49" s="42" t="s">
        <v>6186</v>
      </c>
      <c r="E49" s="42" t="s">
        <v>6186</v>
      </c>
      <c r="F49" s="42" t="s">
        <v>6186</v>
      </c>
      <c r="G49" s="42" t="s">
        <v>6186</v>
      </c>
      <c r="H49" s="42" t="s">
        <v>6186</v>
      </c>
      <c r="I49" s="42" t="s">
        <v>12</v>
      </c>
      <c r="J49" s="42" t="s">
        <v>12</v>
      </c>
      <c r="K49" s="42" t="s">
        <v>12</v>
      </c>
      <c r="L49" s="42" t="s">
        <v>12</v>
      </c>
      <c r="M49" s="42" t="s">
        <v>12</v>
      </c>
      <c r="N49" s="42" t="s">
        <v>12</v>
      </c>
      <c r="O49" s="42" t="s">
        <v>12</v>
      </c>
      <c r="P49" s="42" t="s">
        <v>12</v>
      </c>
    </row>
    <row r="50" spans="1:16" ht="14.25" customHeight="1" x14ac:dyDescent="0.15">
      <c r="A50" s="35"/>
      <c r="C50" s="46"/>
      <c r="D50" s="46"/>
      <c r="E50" s="46"/>
      <c r="F50" s="46"/>
      <c r="G50" s="47"/>
      <c r="H50" s="47"/>
      <c r="I50" s="36"/>
      <c r="M50" s="131" t="s">
        <v>6237</v>
      </c>
      <c r="N50" s="131"/>
      <c r="O50" s="131"/>
      <c r="P50" s="131"/>
    </row>
    <row r="51" spans="1:16" ht="14.25" customHeight="1" x14ac:dyDescent="0.15">
      <c r="A51" s="34"/>
    </row>
    <row r="52" spans="1:16" ht="14.25" customHeight="1" x14ac:dyDescent="0.15">
      <c r="A52" s="34"/>
    </row>
    <row r="53" spans="1:16" ht="14.25" customHeight="1" x14ac:dyDescent="0.15">
      <c r="A53" s="35"/>
      <c r="B53" s="36"/>
    </row>
    <row r="54" spans="1:16" ht="14.25" customHeight="1" x14ac:dyDescent="0.15">
      <c r="A54" s="124" t="s">
        <v>6178</v>
      </c>
      <c r="B54" s="125"/>
      <c r="C54" s="125"/>
      <c r="D54" s="126"/>
      <c r="E54" s="124" t="s">
        <v>6361</v>
      </c>
      <c r="F54" s="125"/>
      <c r="G54" s="126"/>
      <c r="H54" s="124" t="s">
        <v>6362</v>
      </c>
      <c r="I54" s="126"/>
      <c r="J54" s="125" t="s">
        <v>6181</v>
      </c>
      <c r="K54" s="125"/>
      <c r="L54" s="126"/>
      <c r="M54" s="124" t="s">
        <v>6182</v>
      </c>
      <c r="N54" s="125"/>
      <c r="O54" s="125"/>
      <c r="P54" s="126"/>
    </row>
    <row r="55" spans="1:16" ht="14.25" customHeight="1" x14ac:dyDescent="0.15">
      <c r="A55" s="124" t="s">
        <v>6363</v>
      </c>
      <c r="B55" s="125"/>
      <c r="C55" s="125"/>
      <c r="D55" s="125"/>
      <c r="E55" s="125"/>
      <c r="F55" s="125"/>
      <c r="G55" s="125"/>
      <c r="H55" s="125"/>
      <c r="I55" s="125"/>
      <c r="J55" s="125"/>
      <c r="K55" s="125"/>
      <c r="L55" s="125"/>
      <c r="M55" s="125"/>
      <c r="N55" s="125"/>
      <c r="O55" s="125"/>
      <c r="P55" s="126"/>
    </row>
    <row r="56" spans="1:16" ht="14.25" customHeight="1" x14ac:dyDescent="0.15">
      <c r="A56" s="124" t="s">
        <v>6184</v>
      </c>
      <c r="B56" s="125"/>
      <c r="C56" s="125"/>
      <c r="D56" s="125"/>
      <c r="E56" s="125"/>
      <c r="F56" s="125"/>
      <c r="G56" s="125"/>
      <c r="H56" s="125"/>
      <c r="I56" s="125"/>
      <c r="J56" s="125"/>
      <c r="K56" s="125"/>
      <c r="L56" s="125"/>
      <c r="M56" s="125"/>
      <c r="N56" s="125"/>
      <c r="O56" s="125"/>
      <c r="P56" s="126"/>
    </row>
    <row r="57" spans="1:16" ht="14.25" customHeight="1" x14ac:dyDescent="0.15">
      <c r="A57" s="37"/>
      <c r="B57" s="38"/>
      <c r="C57" s="127" t="s">
        <v>4</v>
      </c>
      <c r="D57" s="128"/>
      <c r="E57" s="129" t="s">
        <v>5</v>
      </c>
      <c r="F57" s="130"/>
      <c r="G57" s="129" t="s">
        <v>6</v>
      </c>
      <c r="H57" s="130"/>
      <c r="I57" s="38"/>
      <c r="J57" s="38"/>
      <c r="K57" s="127" t="s">
        <v>4</v>
      </c>
      <c r="L57" s="128"/>
      <c r="M57" s="129" t="s">
        <v>5</v>
      </c>
      <c r="N57" s="130"/>
      <c r="O57" s="129" t="s">
        <v>6</v>
      </c>
      <c r="P57" s="130"/>
    </row>
    <row r="58" spans="1:16" ht="24" customHeight="1" x14ac:dyDescent="0.15">
      <c r="A58" s="39" t="s">
        <v>7</v>
      </c>
      <c r="B58" s="40" t="s">
        <v>8</v>
      </c>
      <c r="C58" s="41" t="s">
        <v>9</v>
      </c>
      <c r="D58" s="41" t="s">
        <v>10</v>
      </c>
      <c r="E58" s="41" t="s">
        <v>9</v>
      </c>
      <c r="F58" s="41" t="s">
        <v>10</v>
      </c>
      <c r="G58" s="41" t="s">
        <v>9</v>
      </c>
      <c r="H58" s="41" t="s">
        <v>10</v>
      </c>
      <c r="I58" s="48" t="s">
        <v>7</v>
      </c>
      <c r="J58" s="40" t="s">
        <v>8</v>
      </c>
      <c r="K58" s="41" t="s">
        <v>9</v>
      </c>
      <c r="L58" s="41" t="s">
        <v>10</v>
      </c>
      <c r="M58" s="41" t="s">
        <v>9</v>
      </c>
      <c r="N58" s="41" t="s">
        <v>10</v>
      </c>
      <c r="O58" s="41" t="s">
        <v>9</v>
      </c>
      <c r="P58" s="41" t="s">
        <v>10</v>
      </c>
    </row>
    <row r="59" spans="1:16" ht="14.25" customHeight="1" x14ac:dyDescent="0.15">
      <c r="A59" s="42" t="s">
        <v>6185</v>
      </c>
      <c r="B59" s="40" t="s">
        <v>17</v>
      </c>
      <c r="C59" s="42" t="s">
        <v>6186</v>
      </c>
      <c r="D59" s="42" t="s">
        <v>6186</v>
      </c>
      <c r="E59" s="42" t="s">
        <v>6186</v>
      </c>
      <c r="F59" s="42" t="s">
        <v>6186</v>
      </c>
      <c r="G59" s="42" t="s">
        <v>6186</v>
      </c>
      <c r="H59" s="42" t="s">
        <v>6186</v>
      </c>
      <c r="I59" s="42" t="s">
        <v>6187</v>
      </c>
      <c r="J59" s="40" t="s">
        <v>11</v>
      </c>
      <c r="K59" s="42" t="s">
        <v>6186</v>
      </c>
      <c r="L59" s="42" t="s">
        <v>6186</v>
      </c>
      <c r="M59" s="42" t="s">
        <v>6186</v>
      </c>
      <c r="N59" s="42" t="s">
        <v>6186</v>
      </c>
      <c r="O59" s="42" t="s">
        <v>6186</v>
      </c>
      <c r="P59" s="42" t="s">
        <v>6186</v>
      </c>
    </row>
    <row r="60" spans="1:16" ht="14.25" customHeight="1" x14ac:dyDescent="0.15">
      <c r="A60" s="42" t="s">
        <v>6190</v>
      </c>
      <c r="B60" s="40" t="s">
        <v>18</v>
      </c>
      <c r="C60" s="42" t="s">
        <v>6186</v>
      </c>
      <c r="D60" s="42" t="s">
        <v>6186</v>
      </c>
      <c r="E60" s="42" t="s">
        <v>6186</v>
      </c>
      <c r="F60" s="42" t="s">
        <v>6186</v>
      </c>
      <c r="G60" s="42" t="s">
        <v>6186</v>
      </c>
      <c r="H60" s="42" t="s">
        <v>6186</v>
      </c>
      <c r="I60" s="42" t="s">
        <v>6191</v>
      </c>
      <c r="J60" s="40" t="s">
        <v>14</v>
      </c>
      <c r="K60" s="42" t="s">
        <v>6186</v>
      </c>
      <c r="L60" s="42" t="s">
        <v>6186</v>
      </c>
      <c r="M60" s="42" t="s">
        <v>6186</v>
      </c>
      <c r="N60" s="42" t="s">
        <v>6186</v>
      </c>
      <c r="O60" s="42" t="s">
        <v>6186</v>
      </c>
      <c r="P60" s="42" t="s">
        <v>6186</v>
      </c>
    </row>
    <row r="61" spans="1:16" ht="14.25" customHeight="1" x14ac:dyDescent="0.15">
      <c r="A61" s="42" t="s">
        <v>6194</v>
      </c>
      <c r="B61" s="40" t="s">
        <v>11</v>
      </c>
      <c r="C61" s="42" t="s">
        <v>6186</v>
      </c>
      <c r="D61" s="42" t="s">
        <v>6186</v>
      </c>
      <c r="E61" s="42" t="s">
        <v>6186</v>
      </c>
      <c r="F61" s="42" t="s">
        <v>6186</v>
      </c>
      <c r="G61" s="42" t="s">
        <v>6186</v>
      </c>
      <c r="H61" s="42" t="s">
        <v>6186</v>
      </c>
      <c r="I61" s="42" t="s">
        <v>6195</v>
      </c>
      <c r="J61" s="40" t="s">
        <v>13</v>
      </c>
      <c r="K61" s="42" t="s">
        <v>6186</v>
      </c>
      <c r="L61" s="42" t="s">
        <v>6186</v>
      </c>
      <c r="M61" s="42" t="s">
        <v>6186</v>
      </c>
      <c r="N61" s="42" t="s">
        <v>6186</v>
      </c>
      <c r="O61" s="42" t="s">
        <v>6186</v>
      </c>
      <c r="P61" s="42" t="s">
        <v>6186</v>
      </c>
    </row>
    <row r="62" spans="1:16" ht="14.25" customHeight="1" x14ac:dyDescent="0.15">
      <c r="A62" s="42" t="s">
        <v>6198</v>
      </c>
      <c r="B62" s="40" t="s">
        <v>14</v>
      </c>
      <c r="C62" s="42" t="s">
        <v>6186</v>
      </c>
      <c r="D62" s="42" t="s">
        <v>6186</v>
      </c>
      <c r="E62" s="42" t="s">
        <v>6186</v>
      </c>
      <c r="F62" s="42" t="s">
        <v>6186</v>
      </c>
      <c r="G62" s="42" t="s">
        <v>6186</v>
      </c>
      <c r="H62" s="42" t="s">
        <v>6186</v>
      </c>
      <c r="I62" s="42" t="s">
        <v>6199</v>
      </c>
      <c r="J62" s="40" t="s">
        <v>15</v>
      </c>
      <c r="K62" s="42" t="s">
        <v>6186</v>
      </c>
      <c r="L62" s="42" t="s">
        <v>6186</v>
      </c>
      <c r="M62" s="42" t="s">
        <v>6186</v>
      </c>
      <c r="N62" s="42" t="s">
        <v>6186</v>
      </c>
      <c r="O62" s="42" t="s">
        <v>6186</v>
      </c>
      <c r="P62" s="42" t="s">
        <v>6186</v>
      </c>
    </row>
    <row r="63" spans="1:16" ht="14.25" customHeight="1" x14ac:dyDescent="0.15">
      <c r="A63" s="42" t="s">
        <v>6202</v>
      </c>
      <c r="B63" s="40" t="s">
        <v>13</v>
      </c>
      <c r="C63" s="42" t="s">
        <v>6186</v>
      </c>
      <c r="D63" s="42" t="s">
        <v>6186</v>
      </c>
      <c r="E63" s="42" t="s">
        <v>6186</v>
      </c>
      <c r="F63" s="42" t="s">
        <v>6186</v>
      </c>
      <c r="G63" s="42" t="s">
        <v>6186</v>
      </c>
      <c r="H63" s="42" t="s">
        <v>6186</v>
      </c>
      <c r="I63" s="42" t="s">
        <v>6203</v>
      </c>
      <c r="J63" s="40" t="s">
        <v>16</v>
      </c>
      <c r="K63" s="42" t="s">
        <v>6186</v>
      </c>
      <c r="L63" s="42" t="s">
        <v>6186</v>
      </c>
      <c r="M63" s="42" t="s">
        <v>6186</v>
      </c>
      <c r="N63" s="42" t="s">
        <v>6186</v>
      </c>
      <c r="O63" s="42" t="s">
        <v>6186</v>
      </c>
      <c r="P63" s="42" t="s">
        <v>6186</v>
      </c>
    </row>
    <row r="64" spans="1:16" ht="14.25" customHeight="1" x14ac:dyDescent="0.15">
      <c r="A64" s="42" t="s">
        <v>6204</v>
      </c>
      <c r="B64" s="40" t="s">
        <v>15</v>
      </c>
      <c r="C64" s="42" t="s">
        <v>6186</v>
      </c>
      <c r="D64" s="42" t="s">
        <v>6186</v>
      </c>
      <c r="E64" s="42" t="s">
        <v>6186</v>
      </c>
      <c r="F64" s="42" t="s">
        <v>6186</v>
      </c>
      <c r="G64" s="42" t="s">
        <v>6186</v>
      </c>
      <c r="H64" s="42" t="s">
        <v>6186</v>
      </c>
      <c r="I64" s="42" t="s">
        <v>6205</v>
      </c>
      <c r="J64" s="40" t="s">
        <v>17</v>
      </c>
      <c r="K64" s="42" t="s">
        <v>6186</v>
      </c>
      <c r="L64" s="42" t="s">
        <v>6186</v>
      </c>
      <c r="M64" s="42" t="s">
        <v>6186</v>
      </c>
      <c r="N64" s="42" t="s">
        <v>6186</v>
      </c>
      <c r="O64" s="42" t="s">
        <v>6186</v>
      </c>
      <c r="P64" s="42" t="s">
        <v>6186</v>
      </c>
    </row>
    <row r="65" spans="1:16" ht="14.25" customHeight="1" x14ac:dyDescent="0.15">
      <c r="A65" s="42" t="s">
        <v>6206</v>
      </c>
      <c r="B65" s="40" t="s">
        <v>16</v>
      </c>
      <c r="C65" s="42" t="s">
        <v>6186</v>
      </c>
      <c r="D65" s="42" t="s">
        <v>6186</v>
      </c>
      <c r="E65" s="42" t="s">
        <v>6186</v>
      </c>
      <c r="F65" s="42" t="s">
        <v>6186</v>
      </c>
      <c r="G65" s="42" t="s">
        <v>6186</v>
      </c>
      <c r="H65" s="42" t="s">
        <v>6186</v>
      </c>
      <c r="I65" s="42" t="s">
        <v>6207</v>
      </c>
      <c r="J65" s="40" t="s">
        <v>18</v>
      </c>
      <c r="K65" s="42" t="s">
        <v>6186</v>
      </c>
      <c r="L65" s="42" t="s">
        <v>6186</v>
      </c>
      <c r="M65" s="42" t="s">
        <v>6186</v>
      </c>
      <c r="N65" s="42" t="s">
        <v>6186</v>
      </c>
      <c r="O65" s="42" t="s">
        <v>6186</v>
      </c>
      <c r="P65" s="42" t="s">
        <v>6186</v>
      </c>
    </row>
    <row r="66" spans="1:16" ht="14.25" customHeight="1" x14ac:dyDescent="0.15">
      <c r="A66" s="42" t="s">
        <v>6208</v>
      </c>
      <c r="B66" s="40" t="s">
        <v>17</v>
      </c>
      <c r="C66" s="44">
        <v>0.32777777776937</v>
      </c>
      <c r="D66" s="45" t="s">
        <v>6364</v>
      </c>
      <c r="E66" s="42" t="s">
        <v>6186</v>
      </c>
      <c r="F66" s="42" t="s">
        <v>6186</v>
      </c>
      <c r="G66" s="42" t="s">
        <v>6186</v>
      </c>
      <c r="H66" s="42" t="s">
        <v>6186</v>
      </c>
      <c r="I66" s="42" t="s">
        <v>6211</v>
      </c>
      <c r="J66" s="40" t="s">
        <v>11</v>
      </c>
      <c r="K66" s="42" t="s">
        <v>6186</v>
      </c>
      <c r="L66" s="42" t="s">
        <v>6186</v>
      </c>
      <c r="M66" s="42" t="s">
        <v>6186</v>
      </c>
      <c r="N66" s="42" t="s">
        <v>6186</v>
      </c>
      <c r="O66" s="42" t="s">
        <v>6186</v>
      </c>
      <c r="P66" s="42" t="s">
        <v>6186</v>
      </c>
    </row>
    <row r="67" spans="1:16" ht="14.25" customHeight="1" x14ac:dyDescent="0.15">
      <c r="A67" s="42" t="s">
        <v>6212</v>
      </c>
      <c r="B67" s="40" t="s">
        <v>18</v>
      </c>
      <c r="C67" s="44">
        <v>0.32013888889923697</v>
      </c>
      <c r="D67" s="44">
        <v>0.71388888888759505</v>
      </c>
      <c r="E67" s="43" t="s">
        <v>6186</v>
      </c>
      <c r="F67" s="43" t="s">
        <v>6186</v>
      </c>
      <c r="G67" s="43" t="s">
        <v>6186</v>
      </c>
      <c r="H67" s="43" t="s">
        <v>6186</v>
      </c>
      <c r="I67" s="42" t="s">
        <v>6215</v>
      </c>
      <c r="J67" s="40" t="s">
        <v>14</v>
      </c>
      <c r="K67" s="43" t="s">
        <v>6186</v>
      </c>
      <c r="L67" s="43" t="s">
        <v>6186</v>
      </c>
      <c r="M67" s="43" t="s">
        <v>6186</v>
      </c>
      <c r="N67" s="43" t="s">
        <v>6186</v>
      </c>
      <c r="O67" s="43" t="s">
        <v>6186</v>
      </c>
      <c r="P67" s="43" t="s">
        <v>6186</v>
      </c>
    </row>
    <row r="68" spans="1:16" ht="14.25" customHeight="1" x14ac:dyDescent="0.15">
      <c r="A68" s="42" t="s">
        <v>6216</v>
      </c>
      <c r="B68" s="40" t="s">
        <v>11</v>
      </c>
      <c r="C68" s="44">
        <v>0.32777777776937</v>
      </c>
      <c r="D68" s="45" t="s">
        <v>6365</v>
      </c>
      <c r="E68" s="42" t="s">
        <v>6186</v>
      </c>
      <c r="F68" s="42" t="s">
        <v>6186</v>
      </c>
      <c r="G68" s="42" t="s">
        <v>6186</v>
      </c>
      <c r="H68" s="42" t="s">
        <v>6186</v>
      </c>
      <c r="I68" s="42" t="s">
        <v>6219</v>
      </c>
      <c r="J68" s="40" t="s">
        <v>13</v>
      </c>
      <c r="K68" s="42" t="s">
        <v>6186</v>
      </c>
      <c r="L68" s="42" t="s">
        <v>6186</v>
      </c>
      <c r="M68" s="42" t="s">
        <v>6186</v>
      </c>
      <c r="N68" s="42" t="s">
        <v>6186</v>
      </c>
      <c r="O68" s="42" t="s">
        <v>6186</v>
      </c>
      <c r="P68" s="42" t="s">
        <v>6186</v>
      </c>
    </row>
    <row r="69" spans="1:16" ht="14.25" customHeight="1" x14ac:dyDescent="0.15">
      <c r="A69" s="42" t="s">
        <v>6220</v>
      </c>
      <c r="B69" s="40" t="s">
        <v>14</v>
      </c>
      <c r="C69" s="45" t="s">
        <v>6186</v>
      </c>
      <c r="D69" s="45" t="s">
        <v>6186</v>
      </c>
      <c r="E69" s="42" t="s">
        <v>6186</v>
      </c>
      <c r="F69" s="42" t="s">
        <v>6186</v>
      </c>
      <c r="G69" s="42" t="s">
        <v>6186</v>
      </c>
      <c r="H69" s="42" t="s">
        <v>6186</v>
      </c>
      <c r="I69" s="42" t="s">
        <v>6221</v>
      </c>
      <c r="J69" s="40" t="s">
        <v>15</v>
      </c>
      <c r="K69" s="42" t="s">
        <v>6186</v>
      </c>
      <c r="L69" s="42" t="s">
        <v>6186</v>
      </c>
      <c r="M69" s="42" t="s">
        <v>6186</v>
      </c>
      <c r="N69" s="42" t="s">
        <v>6186</v>
      </c>
      <c r="O69" s="42" t="s">
        <v>6186</v>
      </c>
      <c r="P69" s="42" t="s">
        <v>6186</v>
      </c>
    </row>
    <row r="70" spans="1:16" ht="14.25" customHeight="1" x14ac:dyDescent="0.15">
      <c r="A70" s="42" t="s">
        <v>6222</v>
      </c>
      <c r="B70" s="40" t="s">
        <v>13</v>
      </c>
      <c r="C70" s="42" t="s">
        <v>6186</v>
      </c>
      <c r="D70" s="42" t="s">
        <v>6186</v>
      </c>
      <c r="E70" s="42" t="s">
        <v>6186</v>
      </c>
      <c r="F70" s="42" t="s">
        <v>6186</v>
      </c>
      <c r="G70" s="42" t="s">
        <v>6186</v>
      </c>
      <c r="H70" s="42" t="s">
        <v>6186</v>
      </c>
      <c r="I70" s="42" t="s">
        <v>6224</v>
      </c>
      <c r="J70" s="40" t="s">
        <v>16</v>
      </c>
      <c r="K70" s="42" t="s">
        <v>6186</v>
      </c>
      <c r="L70" s="42" t="s">
        <v>6186</v>
      </c>
      <c r="M70" s="42" t="s">
        <v>6186</v>
      </c>
      <c r="N70" s="42" t="s">
        <v>6186</v>
      </c>
      <c r="O70" s="42" t="s">
        <v>6186</v>
      </c>
      <c r="P70" s="42" t="s">
        <v>6186</v>
      </c>
    </row>
    <row r="71" spans="1:16" ht="14.25" customHeight="1" x14ac:dyDescent="0.15">
      <c r="A71" s="42" t="s">
        <v>6225</v>
      </c>
      <c r="B71" s="40" t="s">
        <v>15</v>
      </c>
      <c r="C71" s="42" t="s">
        <v>6186</v>
      </c>
      <c r="D71" s="42" t="s">
        <v>6186</v>
      </c>
      <c r="E71" s="42" t="s">
        <v>6186</v>
      </c>
      <c r="F71" s="42" t="s">
        <v>6186</v>
      </c>
      <c r="G71" s="42" t="s">
        <v>6186</v>
      </c>
      <c r="H71" s="42" t="s">
        <v>6186</v>
      </c>
      <c r="I71" s="42" t="s">
        <v>6227</v>
      </c>
      <c r="J71" s="40" t="s">
        <v>17</v>
      </c>
      <c r="K71" s="42" t="s">
        <v>6186</v>
      </c>
      <c r="L71" s="42" t="s">
        <v>6186</v>
      </c>
      <c r="M71" s="42" t="s">
        <v>6186</v>
      </c>
      <c r="N71" s="42" t="s">
        <v>6186</v>
      </c>
      <c r="O71" s="42" t="s">
        <v>6186</v>
      </c>
      <c r="P71" s="42" t="s">
        <v>6186</v>
      </c>
    </row>
    <row r="72" spans="1:16" ht="14.25" customHeight="1" x14ac:dyDescent="0.15">
      <c r="A72" s="42" t="s">
        <v>6228</v>
      </c>
      <c r="B72" s="40" t="s">
        <v>16</v>
      </c>
      <c r="C72" s="42" t="s">
        <v>6186</v>
      </c>
      <c r="D72" s="42" t="s">
        <v>6186</v>
      </c>
      <c r="E72" s="42" t="s">
        <v>6186</v>
      </c>
      <c r="F72" s="42" t="s">
        <v>6186</v>
      </c>
      <c r="G72" s="42" t="s">
        <v>6186</v>
      </c>
      <c r="H72" s="42" t="s">
        <v>6186</v>
      </c>
      <c r="I72" s="42" t="s">
        <v>6230</v>
      </c>
      <c r="J72" s="40" t="s">
        <v>18</v>
      </c>
      <c r="K72" s="42" t="s">
        <v>6186</v>
      </c>
      <c r="L72" s="42" t="s">
        <v>6186</v>
      </c>
      <c r="M72" s="42" t="s">
        <v>6186</v>
      </c>
      <c r="N72" s="42" t="s">
        <v>6186</v>
      </c>
      <c r="O72" s="42" t="s">
        <v>6186</v>
      </c>
      <c r="P72" s="42" t="s">
        <v>6186</v>
      </c>
    </row>
    <row r="73" spans="1:16" ht="14.25" customHeight="1" x14ac:dyDescent="0.15">
      <c r="A73" s="42" t="s">
        <v>6231</v>
      </c>
      <c r="B73" s="40" t="s">
        <v>17</v>
      </c>
      <c r="C73" s="42" t="s">
        <v>6186</v>
      </c>
      <c r="D73" s="42" t="s">
        <v>6186</v>
      </c>
      <c r="E73" s="42" t="s">
        <v>6186</v>
      </c>
      <c r="F73" s="42" t="s">
        <v>6186</v>
      </c>
      <c r="G73" s="42" t="s">
        <v>6186</v>
      </c>
      <c r="H73" s="42" t="s">
        <v>6186</v>
      </c>
      <c r="I73" s="42" t="s">
        <v>6234</v>
      </c>
      <c r="J73" s="40" t="s">
        <v>11</v>
      </c>
      <c r="K73" s="42" t="s">
        <v>6186</v>
      </c>
      <c r="L73" s="42" t="s">
        <v>6186</v>
      </c>
      <c r="M73" s="42" t="s">
        <v>6186</v>
      </c>
      <c r="N73" s="42" t="s">
        <v>6186</v>
      </c>
      <c r="O73" s="42" t="s">
        <v>6186</v>
      </c>
      <c r="P73" s="42" t="s">
        <v>6186</v>
      </c>
    </row>
    <row r="74" spans="1:16" ht="14.25" customHeight="1" x14ac:dyDescent="0.15">
      <c r="A74" s="42" t="s">
        <v>6235</v>
      </c>
      <c r="B74" s="40" t="s">
        <v>18</v>
      </c>
      <c r="C74" s="42" t="s">
        <v>6186</v>
      </c>
      <c r="D74" s="42" t="s">
        <v>6186</v>
      </c>
      <c r="E74" s="42" t="s">
        <v>6186</v>
      </c>
      <c r="F74" s="42" t="s">
        <v>6186</v>
      </c>
      <c r="G74" s="42" t="s">
        <v>6186</v>
      </c>
      <c r="H74" s="42" t="s">
        <v>6186</v>
      </c>
      <c r="I74" s="42" t="s">
        <v>12</v>
      </c>
      <c r="J74" s="42" t="s">
        <v>12</v>
      </c>
      <c r="K74" s="42" t="s">
        <v>12</v>
      </c>
      <c r="L74" s="42" t="s">
        <v>12</v>
      </c>
      <c r="M74" s="42" t="s">
        <v>12</v>
      </c>
      <c r="N74" s="42" t="s">
        <v>12</v>
      </c>
      <c r="O74" s="42" t="s">
        <v>12</v>
      </c>
      <c r="P74" s="42" t="s">
        <v>12</v>
      </c>
    </row>
    <row r="75" spans="1:16" ht="14.25" customHeight="1" x14ac:dyDescent="0.15">
      <c r="A75" s="35"/>
      <c r="C75" s="46"/>
      <c r="D75" s="46"/>
      <c r="E75" s="46"/>
      <c r="F75" s="46"/>
      <c r="G75" s="47"/>
      <c r="H75" s="47"/>
      <c r="I75" s="36"/>
      <c r="M75" s="131" t="s">
        <v>6237</v>
      </c>
      <c r="N75" s="131"/>
      <c r="O75" s="131"/>
      <c r="P75" s="131"/>
    </row>
    <row r="76" spans="1:16" ht="14.25" customHeight="1" x14ac:dyDescent="0.15">
      <c r="A76" s="34"/>
    </row>
    <row r="77" spans="1:16" ht="14.25" customHeight="1" x14ac:dyDescent="0.15">
      <c r="A77" s="34"/>
    </row>
    <row r="78" spans="1:16" ht="14.25" customHeight="1" x14ac:dyDescent="0.15">
      <c r="A78" s="35"/>
      <c r="B78" s="36"/>
    </row>
    <row r="79" spans="1:16" ht="14.25" customHeight="1" x14ac:dyDescent="0.15">
      <c r="A79" s="124" t="s">
        <v>6178</v>
      </c>
      <c r="B79" s="125"/>
      <c r="C79" s="125"/>
      <c r="D79" s="126"/>
      <c r="E79" s="124" t="s">
        <v>6366</v>
      </c>
      <c r="F79" s="125"/>
      <c r="G79" s="126"/>
      <c r="H79" s="124" t="s">
        <v>6367</v>
      </c>
      <c r="I79" s="126"/>
      <c r="J79" s="125" t="s">
        <v>6181</v>
      </c>
      <c r="K79" s="125"/>
      <c r="L79" s="126"/>
      <c r="M79" s="124" t="s">
        <v>6182</v>
      </c>
      <c r="N79" s="125"/>
      <c r="O79" s="125"/>
      <c r="P79" s="126"/>
    </row>
    <row r="80" spans="1:16" ht="14.25" customHeight="1" x14ac:dyDescent="0.15">
      <c r="A80" s="124" t="s">
        <v>6368</v>
      </c>
      <c r="B80" s="125"/>
      <c r="C80" s="125"/>
      <c r="D80" s="125"/>
      <c r="E80" s="125"/>
      <c r="F80" s="125"/>
      <c r="G80" s="125"/>
      <c r="H80" s="125"/>
      <c r="I80" s="125"/>
      <c r="J80" s="125"/>
      <c r="K80" s="125"/>
      <c r="L80" s="125"/>
      <c r="M80" s="125"/>
      <c r="N80" s="125"/>
      <c r="O80" s="125"/>
      <c r="P80" s="126"/>
    </row>
    <row r="81" spans="1:16" ht="14.25" customHeight="1" x14ac:dyDescent="0.15">
      <c r="A81" s="124" t="s">
        <v>6184</v>
      </c>
      <c r="B81" s="125"/>
      <c r="C81" s="125"/>
      <c r="D81" s="125"/>
      <c r="E81" s="125"/>
      <c r="F81" s="125"/>
      <c r="G81" s="125"/>
      <c r="H81" s="125"/>
      <c r="I81" s="125"/>
      <c r="J81" s="125"/>
      <c r="K81" s="125"/>
      <c r="L81" s="125"/>
      <c r="M81" s="125"/>
      <c r="N81" s="125"/>
      <c r="O81" s="125"/>
      <c r="P81" s="126"/>
    </row>
    <row r="82" spans="1:16" ht="14.25" customHeight="1" x14ac:dyDescent="0.15">
      <c r="A82" s="37"/>
      <c r="B82" s="38"/>
      <c r="C82" s="127" t="s">
        <v>4</v>
      </c>
      <c r="D82" s="128"/>
      <c r="E82" s="129" t="s">
        <v>5</v>
      </c>
      <c r="F82" s="130"/>
      <c r="G82" s="129" t="s">
        <v>6</v>
      </c>
      <c r="H82" s="130"/>
      <c r="I82" s="38"/>
      <c r="J82" s="38"/>
      <c r="K82" s="127" t="s">
        <v>4</v>
      </c>
      <c r="L82" s="128"/>
      <c r="M82" s="129" t="s">
        <v>5</v>
      </c>
      <c r="N82" s="130"/>
      <c r="O82" s="129" t="s">
        <v>6</v>
      </c>
      <c r="P82" s="130"/>
    </row>
    <row r="83" spans="1:16" ht="24" customHeight="1" x14ac:dyDescent="0.15">
      <c r="A83" s="39" t="s">
        <v>7</v>
      </c>
      <c r="B83" s="40" t="s">
        <v>8</v>
      </c>
      <c r="C83" s="41" t="s">
        <v>9</v>
      </c>
      <c r="D83" s="41" t="s">
        <v>10</v>
      </c>
      <c r="E83" s="41" t="s">
        <v>9</v>
      </c>
      <c r="F83" s="41" t="s">
        <v>10</v>
      </c>
      <c r="G83" s="41" t="s">
        <v>9</v>
      </c>
      <c r="H83" s="41" t="s">
        <v>10</v>
      </c>
      <c r="I83" s="48" t="s">
        <v>7</v>
      </c>
      <c r="J83" s="40" t="s">
        <v>8</v>
      </c>
      <c r="K83" s="41" t="s">
        <v>9</v>
      </c>
      <c r="L83" s="41" t="s">
        <v>10</v>
      </c>
      <c r="M83" s="41" t="s">
        <v>9</v>
      </c>
      <c r="N83" s="41" t="s">
        <v>10</v>
      </c>
      <c r="O83" s="41" t="s">
        <v>9</v>
      </c>
      <c r="P83" s="41" t="s">
        <v>10</v>
      </c>
    </row>
    <row r="84" spans="1:16" ht="14.25" customHeight="1" x14ac:dyDescent="0.15">
      <c r="A84" s="42" t="s">
        <v>6185</v>
      </c>
      <c r="B84" s="40" t="s">
        <v>17</v>
      </c>
      <c r="C84" s="43" t="s">
        <v>6186</v>
      </c>
      <c r="D84" s="43" t="s">
        <v>6186</v>
      </c>
      <c r="E84" s="43" t="s">
        <v>6186</v>
      </c>
      <c r="F84" s="43" t="s">
        <v>6186</v>
      </c>
      <c r="G84" s="43" t="s">
        <v>6186</v>
      </c>
      <c r="H84" s="43" t="s">
        <v>6186</v>
      </c>
      <c r="I84" s="42" t="s">
        <v>6187</v>
      </c>
      <c r="J84" s="40" t="s">
        <v>11</v>
      </c>
      <c r="K84" s="43" t="s">
        <v>6186</v>
      </c>
      <c r="L84" s="43" t="s">
        <v>6186</v>
      </c>
      <c r="M84" s="43" t="s">
        <v>6186</v>
      </c>
      <c r="N84" s="43" t="s">
        <v>6186</v>
      </c>
      <c r="O84" s="43" t="s">
        <v>6186</v>
      </c>
      <c r="P84" s="43" t="s">
        <v>6186</v>
      </c>
    </row>
    <row r="85" spans="1:16" ht="14.25" customHeight="1" x14ac:dyDescent="0.15">
      <c r="A85" s="42" t="s">
        <v>6190</v>
      </c>
      <c r="B85" s="40" t="s">
        <v>18</v>
      </c>
      <c r="C85" s="43" t="s">
        <v>6186</v>
      </c>
      <c r="D85" s="43" t="s">
        <v>6186</v>
      </c>
      <c r="E85" s="43" t="s">
        <v>6186</v>
      </c>
      <c r="F85" s="43" t="s">
        <v>6186</v>
      </c>
      <c r="G85" s="43" t="s">
        <v>6186</v>
      </c>
      <c r="H85" s="43" t="s">
        <v>6186</v>
      </c>
      <c r="I85" s="42" t="s">
        <v>6191</v>
      </c>
      <c r="J85" s="40" t="s">
        <v>14</v>
      </c>
      <c r="K85" s="44">
        <v>0.33263888888177501</v>
      </c>
      <c r="L85" s="44">
        <v>0.71666666667442802</v>
      </c>
      <c r="M85" s="43" t="s">
        <v>6186</v>
      </c>
      <c r="N85" s="43" t="s">
        <v>6186</v>
      </c>
      <c r="O85" s="43" t="s">
        <v>6186</v>
      </c>
      <c r="P85" s="43" t="s">
        <v>6186</v>
      </c>
    </row>
    <row r="86" spans="1:16" ht="14.25" customHeight="1" x14ac:dyDescent="0.15">
      <c r="A86" s="42" t="s">
        <v>6194</v>
      </c>
      <c r="B86" s="40" t="s">
        <v>11</v>
      </c>
      <c r="C86" s="43" t="s">
        <v>6186</v>
      </c>
      <c r="D86" s="43" t="s">
        <v>6186</v>
      </c>
      <c r="E86" s="43" t="s">
        <v>6186</v>
      </c>
      <c r="F86" s="43" t="s">
        <v>6186</v>
      </c>
      <c r="G86" s="43" t="s">
        <v>6186</v>
      </c>
      <c r="H86" s="43" t="s">
        <v>6186</v>
      </c>
      <c r="I86" s="42" t="s">
        <v>6195</v>
      </c>
      <c r="J86" s="40" t="s">
        <v>13</v>
      </c>
      <c r="K86" s="44">
        <v>0.33055555555620197</v>
      </c>
      <c r="L86" s="45" t="s">
        <v>6369</v>
      </c>
      <c r="M86" s="42" t="s">
        <v>6186</v>
      </c>
      <c r="N86" s="42" t="s">
        <v>6186</v>
      </c>
      <c r="O86" s="42" t="s">
        <v>6186</v>
      </c>
      <c r="P86" s="42" t="s">
        <v>6186</v>
      </c>
    </row>
    <row r="87" spans="1:16" ht="14.25" customHeight="1" x14ac:dyDescent="0.15">
      <c r="A87" s="42" t="s">
        <v>6198</v>
      </c>
      <c r="B87" s="40" t="s">
        <v>14</v>
      </c>
      <c r="C87" s="42" t="s">
        <v>6186</v>
      </c>
      <c r="D87" s="42" t="s">
        <v>6186</v>
      </c>
      <c r="E87" s="42" t="s">
        <v>6186</v>
      </c>
      <c r="F87" s="42" t="s">
        <v>6186</v>
      </c>
      <c r="G87" s="42" t="s">
        <v>6186</v>
      </c>
      <c r="H87" s="42" t="s">
        <v>6186</v>
      </c>
      <c r="I87" s="42" t="s">
        <v>6199</v>
      </c>
      <c r="J87" s="40" t="s">
        <v>15</v>
      </c>
      <c r="K87" s="44">
        <v>0.33124999998835802</v>
      </c>
      <c r="L87" s="45" t="s">
        <v>6370</v>
      </c>
      <c r="M87" s="42" t="s">
        <v>6186</v>
      </c>
      <c r="N87" s="42" t="s">
        <v>6186</v>
      </c>
      <c r="O87" s="42" t="s">
        <v>6186</v>
      </c>
      <c r="P87" s="42" t="s">
        <v>6186</v>
      </c>
    </row>
    <row r="88" spans="1:16" ht="14.25" customHeight="1" x14ac:dyDescent="0.15">
      <c r="A88" s="42" t="s">
        <v>6202</v>
      </c>
      <c r="B88" s="40" t="s">
        <v>13</v>
      </c>
      <c r="C88" s="42" t="s">
        <v>6186</v>
      </c>
      <c r="D88" s="42" t="s">
        <v>6186</v>
      </c>
      <c r="E88" s="42" t="s">
        <v>6186</v>
      </c>
      <c r="F88" s="42" t="s">
        <v>6186</v>
      </c>
      <c r="G88" s="42" t="s">
        <v>6186</v>
      </c>
      <c r="H88" s="42" t="s">
        <v>6186</v>
      </c>
      <c r="I88" s="42" t="s">
        <v>6203</v>
      </c>
      <c r="J88" s="40" t="s">
        <v>16</v>
      </c>
      <c r="K88" s="44">
        <v>0.33124999998835802</v>
      </c>
      <c r="L88" s="42" t="s">
        <v>6371</v>
      </c>
      <c r="M88" s="42" t="s">
        <v>6186</v>
      </c>
      <c r="N88" s="42" t="s">
        <v>6186</v>
      </c>
      <c r="O88" s="42" t="s">
        <v>6186</v>
      </c>
      <c r="P88" s="42" t="s">
        <v>6186</v>
      </c>
    </row>
    <row r="89" spans="1:16" ht="14.25" customHeight="1" x14ac:dyDescent="0.15">
      <c r="A89" s="42" t="s">
        <v>6204</v>
      </c>
      <c r="B89" s="40" t="s">
        <v>15</v>
      </c>
      <c r="C89" s="42" t="s">
        <v>6186</v>
      </c>
      <c r="D89" s="42" t="s">
        <v>6186</v>
      </c>
      <c r="E89" s="42" t="s">
        <v>6186</v>
      </c>
      <c r="F89" s="42" t="s">
        <v>6186</v>
      </c>
      <c r="G89" s="42" t="s">
        <v>6186</v>
      </c>
      <c r="H89" s="42" t="s">
        <v>6186</v>
      </c>
      <c r="I89" s="42" t="s">
        <v>6205</v>
      </c>
      <c r="J89" s="40" t="s">
        <v>17</v>
      </c>
      <c r="K89" s="45" t="s">
        <v>6346</v>
      </c>
      <c r="L89" s="42" t="s">
        <v>6372</v>
      </c>
      <c r="M89" s="42" t="s">
        <v>6186</v>
      </c>
      <c r="N89" s="42" t="s">
        <v>6186</v>
      </c>
      <c r="O89" s="42" t="s">
        <v>6186</v>
      </c>
      <c r="P89" s="42" t="s">
        <v>6186</v>
      </c>
    </row>
    <row r="90" spans="1:16" ht="14.25" customHeight="1" x14ac:dyDescent="0.15">
      <c r="A90" s="42" t="s">
        <v>6206</v>
      </c>
      <c r="B90" s="40" t="s">
        <v>16</v>
      </c>
      <c r="C90" s="42" t="s">
        <v>6186</v>
      </c>
      <c r="D90" s="42" t="s">
        <v>6186</v>
      </c>
      <c r="E90" s="42" t="s">
        <v>6186</v>
      </c>
      <c r="F90" s="42" t="s">
        <v>6186</v>
      </c>
      <c r="G90" s="42" t="s">
        <v>6186</v>
      </c>
      <c r="H90" s="42" t="s">
        <v>6186</v>
      </c>
      <c r="I90" s="42" t="s">
        <v>6207</v>
      </c>
      <c r="J90" s="40" t="s">
        <v>18</v>
      </c>
      <c r="K90" s="44">
        <v>0.33263888888177501</v>
      </c>
      <c r="L90" s="45" t="s">
        <v>6373</v>
      </c>
      <c r="M90" s="43" t="s">
        <v>6186</v>
      </c>
      <c r="N90" s="43" t="s">
        <v>6186</v>
      </c>
      <c r="O90" s="43" t="s">
        <v>6186</v>
      </c>
      <c r="P90" s="43" t="s">
        <v>6186</v>
      </c>
    </row>
    <row r="91" spans="1:16" ht="14.25" customHeight="1" x14ac:dyDescent="0.15">
      <c r="A91" s="42" t="s">
        <v>6208</v>
      </c>
      <c r="B91" s="40" t="s">
        <v>17</v>
      </c>
      <c r="C91" s="44">
        <v>0.32569444444379803</v>
      </c>
      <c r="D91" s="44">
        <v>0.71527777778101198</v>
      </c>
      <c r="E91" s="43" t="s">
        <v>6186</v>
      </c>
      <c r="F91" s="43" t="s">
        <v>6186</v>
      </c>
      <c r="G91" s="43" t="s">
        <v>6186</v>
      </c>
      <c r="H91" s="43" t="s">
        <v>6186</v>
      </c>
      <c r="I91" s="42" t="s">
        <v>6211</v>
      </c>
      <c r="J91" s="40" t="s">
        <v>11</v>
      </c>
      <c r="K91" s="43" t="s">
        <v>6186</v>
      </c>
      <c r="L91" s="43" t="s">
        <v>6186</v>
      </c>
      <c r="M91" s="43" t="s">
        <v>6186</v>
      </c>
      <c r="N91" s="43" t="s">
        <v>6186</v>
      </c>
      <c r="O91" s="43" t="s">
        <v>6186</v>
      </c>
      <c r="P91" s="43" t="s">
        <v>6186</v>
      </c>
    </row>
    <row r="92" spans="1:16" ht="14.25" customHeight="1" x14ac:dyDescent="0.15">
      <c r="A92" s="42" t="s">
        <v>6212</v>
      </c>
      <c r="B92" s="40" t="s">
        <v>18</v>
      </c>
      <c r="C92" s="44">
        <v>0.32569444444379803</v>
      </c>
      <c r="D92" s="44">
        <v>0.8125</v>
      </c>
      <c r="E92" s="43" t="s">
        <v>6186</v>
      </c>
      <c r="F92" s="43" t="s">
        <v>6186</v>
      </c>
      <c r="G92" s="43" t="s">
        <v>6186</v>
      </c>
      <c r="H92" s="43" t="s">
        <v>6186</v>
      </c>
      <c r="I92" s="42" t="s">
        <v>6215</v>
      </c>
      <c r="J92" s="40" t="s">
        <v>14</v>
      </c>
      <c r="K92" s="44">
        <v>0.32569444444379803</v>
      </c>
      <c r="L92" s="44">
        <v>0.8125</v>
      </c>
      <c r="M92" s="43" t="s">
        <v>6186</v>
      </c>
      <c r="N92" s="43" t="s">
        <v>6186</v>
      </c>
      <c r="O92" s="43" t="s">
        <v>6186</v>
      </c>
      <c r="P92" s="43" t="s">
        <v>6186</v>
      </c>
    </row>
    <row r="93" spans="1:16" ht="14.25" customHeight="1" x14ac:dyDescent="0.15">
      <c r="A93" s="42" t="s">
        <v>6216</v>
      </c>
      <c r="B93" s="40" t="s">
        <v>11</v>
      </c>
      <c r="C93" s="44">
        <v>0.3125</v>
      </c>
      <c r="D93" s="45" t="s">
        <v>6156</v>
      </c>
      <c r="E93" s="42" t="s">
        <v>6186</v>
      </c>
      <c r="F93" s="42" t="s">
        <v>6186</v>
      </c>
      <c r="G93" s="42" t="s">
        <v>6186</v>
      </c>
      <c r="H93" s="42" t="s">
        <v>6186</v>
      </c>
      <c r="I93" s="42" t="s">
        <v>6219</v>
      </c>
      <c r="J93" s="40" t="s">
        <v>13</v>
      </c>
      <c r="K93" s="44">
        <v>0.32569444444379803</v>
      </c>
      <c r="L93" s="42" t="s">
        <v>6374</v>
      </c>
      <c r="M93" s="43" t="s">
        <v>6186</v>
      </c>
      <c r="N93" s="43" t="s">
        <v>6186</v>
      </c>
      <c r="O93" s="43" t="s">
        <v>6186</v>
      </c>
      <c r="P93" s="43" t="s">
        <v>6186</v>
      </c>
    </row>
    <row r="94" spans="1:16" ht="14.25" customHeight="1" x14ac:dyDescent="0.15">
      <c r="A94" s="42" t="s">
        <v>6220</v>
      </c>
      <c r="B94" s="40" t="s">
        <v>14</v>
      </c>
      <c r="C94" s="44">
        <v>0.33124999998835802</v>
      </c>
      <c r="D94" s="45" t="s">
        <v>6375</v>
      </c>
      <c r="E94" s="42" t="s">
        <v>6186</v>
      </c>
      <c r="F94" s="42" t="s">
        <v>6186</v>
      </c>
      <c r="G94" s="42" t="s">
        <v>6186</v>
      </c>
      <c r="H94" s="42" t="s">
        <v>6186</v>
      </c>
      <c r="I94" s="42" t="s">
        <v>6221</v>
      </c>
      <c r="J94" s="40" t="s">
        <v>15</v>
      </c>
      <c r="K94" s="44">
        <v>0.3125</v>
      </c>
      <c r="L94" s="42" t="s">
        <v>6372</v>
      </c>
      <c r="M94" s="42" t="s">
        <v>6186</v>
      </c>
      <c r="N94" s="42" t="s">
        <v>6186</v>
      </c>
      <c r="O94" s="42" t="s">
        <v>6186</v>
      </c>
      <c r="P94" s="42" t="s">
        <v>6186</v>
      </c>
    </row>
    <row r="95" spans="1:16" ht="14.25" customHeight="1" x14ac:dyDescent="0.15">
      <c r="A95" s="42" t="s">
        <v>6222</v>
      </c>
      <c r="B95" s="40" t="s">
        <v>13</v>
      </c>
      <c r="C95" s="45" t="s">
        <v>6346</v>
      </c>
      <c r="D95" s="45" t="s">
        <v>6111</v>
      </c>
      <c r="E95" s="42" t="s">
        <v>6186</v>
      </c>
      <c r="F95" s="42" t="s">
        <v>6186</v>
      </c>
      <c r="G95" s="42" t="s">
        <v>6186</v>
      </c>
      <c r="H95" s="42" t="s">
        <v>6186</v>
      </c>
      <c r="I95" s="42" t="s">
        <v>6224</v>
      </c>
      <c r="J95" s="40" t="s">
        <v>16</v>
      </c>
      <c r="K95" s="44">
        <v>0.33124999998835802</v>
      </c>
      <c r="L95" s="42" t="s">
        <v>6376</v>
      </c>
      <c r="M95" s="42" t="s">
        <v>6186</v>
      </c>
      <c r="N95" s="42" t="s">
        <v>6186</v>
      </c>
      <c r="O95" s="42" t="s">
        <v>6186</v>
      </c>
      <c r="P95" s="42" t="s">
        <v>6186</v>
      </c>
    </row>
    <row r="96" spans="1:16" ht="14.25" customHeight="1" x14ac:dyDescent="0.15">
      <c r="A96" s="42" t="s">
        <v>6225</v>
      </c>
      <c r="B96" s="40" t="s">
        <v>15</v>
      </c>
      <c r="C96" s="44">
        <v>0.33263888888177501</v>
      </c>
      <c r="D96" s="45" t="s">
        <v>6377</v>
      </c>
      <c r="E96" s="42" t="s">
        <v>6186</v>
      </c>
      <c r="F96" s="42" t="s">
        <v>6186</v>
      </c>
      <c r="G96" s="42" t="s">
        <v>6186</v>
      </c>
      <c r="H96" s="42" t="s">
        <v>6186</v>
      </c>
      <c r="I96" s="42" t="s">
        <v>6227</v>
      </c>
      <c r="J96" s="40" t="s">
        <v>17</v>
      </c>
      <c r="K96" s="45" t="s">
        <v>6378</v>
      </c>
      <c r="L96" s="45" t="s">
        <v>6375</v>
      </c>
      <c r="M96" s="42" t="s">
        <v>6186</v>
      </c>
      <c r="N96" s="42" t="s">
        <v>6186</v>
      </c>
      <c r="O96" s="42" t="s">
        <v>6186</v>
      </c>
      <c r="P96" s="42" t="s">
        <v>6186</v>
      </c>
    </row>
    <row r="97" spans="1:16" ht="14.25" customHeight="1" x14ac:dyDescent="0.15">
      <c r="A97" s="42" t="s">
        <v>6228</v>
      </c>
      <c r="B97" s="40" t="s">
        <v>16</v>
      </c>
      <c r="C97" s="44">
        <v>0.33194444444961801</v>
      </c>
      <c r="D97" s="45" t="s">
        <v>6379</v>
      </c>
      <c r="E97" s="42" t="s">
        <v>6186</v>
      </c>
      <c r="F97" s="42" t="s">
        <v>6186</v>
      </c>
      <c r="G97" s="42" t="s">
        <v>6186</v>
      </c>
      <c r="H97" s="42" t="s">
        <v>6186</v>
      </c>
      <c r="I97" s="42" t="s">
        <v>6230</v>
      </c>
      <c r="J97" s="40" t="s">
        <v>18</v>
      </c>
      <c r="K97" s="44">
        <v>0.33055555555620197</v>
      </c>
      <c r="L97" s="45" t="s">
        <v>6380</v>
      </c>
      <c r="M97" s="42" t="s">
        <v>6186</v>
      </c>
      <c r="N97" s="42" t="s">
        <v>6186</v>
      </c>
      <c r="O97" s="42" t="s">
        <v>6186</v>
      </c>
      <c r="P97" s="42" t="s">
        <v>6186</v>
      </c>
    </row>
    <row r="98" spans="1:16" ht="14.25" customHeight="1" x14ac:dyDescent="0.15">
      <c r="A98" s="42" t="s">
        <v>6231</v>
      </c>
      <c r="B98" s="40" t="s">
        <v>17</v>
      </c>
      <c r="C98" s="44">
        <v>0.33263888888177501</v>
      </c>
      <c r="D98" s="45" t="s">
        <v>6381</v>
      </c>
      <c r="E98" s="42" t="s">
        <v>6186</v>
      </c>
      <c r="F98" s="42" t="s">
        <v>6186</v>
      </c>
      <c r="G98" s="42" t="s">
        <v>6186</v>
      </c>
      <c r="H98" s="42" t="s">
        <v>6186</v>
      </c>
      <c r="I98" s="42" t="s">
        <v>6234</v>
      </c>
      <c r="J98" s="40" t="s">
        <v>11</v>
      </c>
      <c r="K98" s="44">
        <v>0.33194444444961801</v>
      </c>
      <c r="L98" s="45" t="s">
        <v>6377</v>
      </c>
      <c r="M98" s="42" t="s">
        <v>6186</v>
      </c>
      <c r="N98" s="42" t="s">
        <v>6186</v>
      </c>
      <c r="O98" s="42" t="s">
        <v>6186</v>
      </c>
      <c r="P98" s="42" t="s">
        <v>6186</v>
      </c>
    </row>
    <row r="99" spans="1:16" ht="14.25" customHeight="1" x14ac:dyDescent="0.15">
      <c r="A99" s="42" t="s">
        <v>6235</v>
      </c>
      <c r="B99" s="40" t="s">
        <v>18</v>
      </c>
      <c r="C99" s="44">
        <v>0.32986111112404598</v>
      </c>
      <c r="D99" s="45" t="s">
        <v>6382</v>
      </c>
      <c r="E99" s="42" t="s">
        <v>6186</v>
      </c>
      <c r="F99" s="42" t="s">
        <v>6186</v>
      </c>
      <c r="G99" s="42" t="s">
        <v>6186</v>
      </c>
      <c r="H99" s="42" t="s">
        <v>6186</v>
      </c>
      <c r="I99" s="42" t="s">
        <v>12</v>
      </c>
      <c r="J99" s="42" t="s">
        <v>12</v>
      </c>
      <c r="K99" s="44"/>
      <c r="L99" s="42" t="s">
        <v>12</v>
      </c>
      <c r="M99" s="42" t="s">
        <v>12</v>
      </c>
      <c r="N99" s="42" t="s">
        <v>12</v>
      </c>
      <c r="O99" s="42" t="s">
        <v>12</v>
      </c>
      <c r="P99" s="42" t="s">
        <v>12</v>
      </c>
    </row>
    <row r="100" spans="1:16" ht="14.25" customHeight="1" x14ac:dyDescent="0.15">
      <c r="A100" s="35"/>
      <c r="C100" s="46"/>
      <c r="D100" s="46"/>
      <c r="E100" s="46"/>
      <c r="F100" s="46"/>
      <c r="G100" s="47"/>
      <c r="H100" s="47"/>
      <c r="I100" s="36"/>
      <c r="M100" s="131" t="s">
        <v>6237</v>
      </c>
      <c r="N100" s="131"/>
      <c r="O100" s="131"/>
      <c r="P100" s="131"/>
    </row>
    <row r="101" spans="1:16" ht="14.25" customHeight="1" x14ac:dyDescent="0.15">
      <c r="A101" s="34"/>
    </row>
    <row r="102" spans="1:16" ht="14.25" customHeight="1" x14ac:dyDescent="0.15">
      <c r="A102" s="34"/>
    </row>
    <row r="103" spans="1:16" ht="14.25" customHeight="1" x14ac:dyDescent="0.15">
      <c r="A103" s="35"/>
      <c r="B103" s="36"/>
    </row>
    <row r="104" spans="1:16" ht="14.25" customHeight="1" x14ac:dyDescent="0.15">
      <c r="A104" s="124" t="s">
        <v>6178</v>
      </c>
      <c r="B104" s="125"/>
      <c r="C104" s="125"/>
      <c r="D104" s="126"/>
      <c r="E104" s="124" t="s">
        <v>6383</v>
      </c>
      <c r="F104" s="125"/>
      <c r="G104" s="126"/>
      <c r="H104" s="124" t="s">
        <v>6384</v>
      </c>
      <c r="I104" s="126"/>
      <c r="J104" s="125" t="s">
        <v>6181</v>
      </c>
      <c r="K104" s="125"/>
      <c r="L104" s="126"/>
      <c r="M104" s="124" t="s">
        <v>6182</v>
      </c>
      <c r="N104" s="125"/>
      <c r="O104" s="125"/>
      <c r="P104" s="126"/>
    </row>
    <row r="105" spans="1:16" ht="14.25" customHeight="1" x14ac:dyDescent="0.15">
      <c r="A105" s="124" t="s">
        <v>6385</v>
      </c>
      <c r="B105" s="125"/>
      <c r="C105" s="125"/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6"/>
    </row>
    <row r="106" spans="1:16" ht="14.25" customHeight="1" x14ac:dyDescent="0.15">
      <c r="A106" s="124" t="s">
        <v>6184</v>
      </c>
      <c r="B106" s="125"/>
      <c r="C106" s="125"/>
      <c r="D106" s="125"/>
      <c r="E106" s="125"/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6"/>
    </row>
    <row r="107" spans="1:16" ht="14.25" customHeight="1" x14ac:dyDescent="0.15">
      <c r="A107" s="37"/>
      <c r="B107" s="38"/>
      <c r="C107" s="127" t="s">
        <v>4</v>
      </c>
      <c r="D107" s="128"/>
      <c r="E107" s="129" t="s">
        <v>5</v>
      </c>
      <c r="F107" s="130"/>
      <c r="G107" s="129" t="s">
        <v>6</v>
      </c>
      <c r="H107" s="130"/>
      <c r="I107" s="38"/>
      <c r="J107" s="38"/>
      <c r="K107" s="127" t="s">
        <v>4</v>
      </c>
      <c r="L107" s="128"/>
      <c r="M107" s="129" t="s">
        <v>5</v>
      </c>
      <c r="N107" s="130"/>
      <c r="O107" s="129" t="s">
        <v>6</v>
      </c>
      <c r="P107" s="130"/>
    </row>
    <row r="108" spans="1:16" ht="24" customHeight="1" x14ac:dyDescent="0.15">
      <c r="A108" s="39" t="s">
        <v>7</v>
      </c>
      <c r="B108" s="40" t="s">
        <v>8</v>
      </c>
      <c r="C108" s="41" t="s">
        <v>9</v>
      </c>
      <c r="D108" s="41" t="s">
        <v>10</v>
      </c>
      <c r="E108" s="41" t="s">
        <v>9</v>
      </c>
      <c r="F108" s="41" t="s">
        <v>10</v>
      </c>
      <c r="G108" s="41" t="s">
        <v>9</v>
      </c>
      <c r="H108" s="41" t="s">
        <v>10</v>
      </c>
      <c r="I108" s="48" t="s">
        <v>7</v>
      </c>
      <c r="J108" s="40" t="s">
        <v>8</v>
      </c>
      <c r="K108" s="41" t="s">
        <v>9</v>
      </c>
      <c r="L108" s="41" t="s">
        <v>10</v>
      </c>
      <c r="M108" s="41" t="s">
        <v>9</v>
      </c>
      <c r="N108" s="41" t="s">
        <v>10</v>
      </c>
      <c r="O108" s="41" t="s">
        <v>9</v>
      </c>
      <c r="P108" s="41" t="s">
        <v>10</v>
      </c>
    </row>
    <row r="109" spans="1:16" ht="14.25" customHeight="1" x14ac:dyDescent="0.15">
      <c r="A109" s="42" t="s">
        <v>6185</v>
      </c>
      <c r="B109" s="40" t="s">
        <v>17</v>
      </c>
      <c r="C109" s="42" t="s">
        <v>6186</v>
      </c>
      <c r="D109" s="42" t="s">
        <v>6186</v>
      </c>
      <c r="E109" s="42" t="s">
        <v>6186</v>
      </c>
      <c r="F109" s="42" t="s">
        <v>6186</v>
      </c>
      <c r="G109" s="42" t="s">
        <v>6186</v>
      </c>
      <c r="H109" s="42" t="s">
        <v>6186</v>
      </c>
      <c r="I109" s="42" t="s">
        <v>6187</v>
      </c>
      <c r="J109" s="40" t="s">
        <v>11</v>
      </c>
      <c r="K109" s="42" t="s">
        <v>6186</v>
      </c>
      <c r="L109" s="42" t="s">
        <v>6186</v>
      </c>
      <c r="M109" s="42" t="s">
        <v>6186</v>
      </c>
      <c r="N109" s="42" t="s">
        <v>6186</v>
      </c>
      <c r="O109" s="42" t="s">
        <v>6186</v>
      </c>
      <c r="P109" s="42" t="s">
        <v>6186</v>
      </c>
    </row>
    <row r="110" spans="1:16" ht="14.25" customHeight="1" x14ac:dyDescent="0.15">
      <c r="A110" s="42" t="s">
        <v>6190</v>
      </c>
      <c r="B110" s="40" t="s">
        <v>18</v>
      </c>
      <c r="C110" s="42" t="s">
        <v>6186</v>
      </c>
      <c r="D110" s="42" t="s">
        <v>6186</v>
      </c>
      <c r="E110" s="42" t="s">
        <v>6186</v>
      </c>
      <c r="F110" s="42" t="s">
        <v>6186</v>
      </c>
      <c r="G110" s="42" t="s">
        <v>6186</v>
      </c>
      <c r="H110" s="42" t="s">
        <v>6186</v>
      </c>
      <c r="I110" s="42" t="s">
        <v>6191</v>
      </c>
      <c r="J110" s="40" t="s">
        <v>14</v>
      </c>
      <c r="K110" s="42" t="s">
        <v>6186</v>
      </c>
      <c r="L110" s="42" t="s">
        <v>6186</v>
      </c>
      <c r="M110" s="42" t="s">
        <v>6186</v>
      </c>
      <c r="N110" s="42" t="s">
        <v>6186</v>
      </c>
      <c r="O110" s="42" t="s">
        <v>6186</v>
      </c>
      <c r="P110" s="42" t="s">
        <v>6186</v>
      </c>
    </row>
    <row r="111" spans="1:16" ht="14.25" customHeight="1" x14ac:dyDescent="0.15">
      <c r="A111" s="42" t="s">
        <v>6194</v>
      </c>
      <c r="B111" s="40" t="s">
        <v>11</v>
      </c>
      <c r="C111" s="42" t="s">
        <v>6186</v>
      </c>
      <c r="D111" s="42" t="s">
        <v>6186</v>
      </c>
      <c r="E111" s="42" t="s">
        <v>6186</v>
      </c>
      <c r="F111" s="42" t="s">
        <v>6186</v>
      </c>
      <c r="G111" s="42" t="s">
        <v>6186</v>
      </c>
      <c r="H111" s="42" t="s">
        <v>6186</v>
      </c>
      <c r="I111" s="42" t="s">
        <v>6195</v>
      </c>
      <c r="J111" s="40" t="s">
        <v>13</v>
      </c>
      <c r="K111" s="42" t="s">
        <v>6186</v>
      </c>
      <c r="L111" s="42" t="s">
        <v>6186</v>
      </c>
      <c r="M111" s="42" t="s">
        <v>6186</v>
      </c>
      <c r="N111" s="42" t="s">
        <v>6186</v>
      </c>
      <c r="O111" s="42" t="s">
        <v>6186</v>
      </c>
      <c r="P111" s="42" t="s">
        <v>6186</v>
      </c>
    </row>
    <row r="112" spans="1:16" ht="14.25" customHeight="1" x14ac:dyDescent="0.15">
      <c r="A112" s="42" t="s">
        <v>6198</v>
      </c>
      <c r="B112" s="40" t="s">
        <v>14</v>
      </c>
      <c r="C112" s="42" t="s">
        <v>6186</v>
      </c>
      <c r="D112" s="42" t="s">
        <v>6186</v>
      </c>
      <c r="E112" s="42" t="s">
        <v>6186</v>
      </c>
      <c r="F112" s="42" t="s">
        <v>6186</v>
      </c>
      <c r="G112" s="42" t="s">
        <v>6186</v>
      </c>
      <c r="H112" s="42" t="s">
        <v>6186</v>
      </c>
      <c r="I112" s="42" t="s">
        <v>6199</v>
      </c>
      <c r="J112" s="40" t="s">
        <v>15</v>
      </c>
      <c r="K112" s="42" t="s">
        <v>6186</v>
      </c>
      <c r="L112" s="42" t="s">
        <v>6186</v>
      </c>
      <c r="M112" s="42" t="s">
        <v>6186</v>
      </c>
      <c r="N112" s="42" t="s">
        <v>6186</v>
      </c>
      <c r="O112" s="42" t="s">
        <v>6186</v>
      </c>
      <c r="P112" s="42" t="s">
        <v>6186</v>
      </c>
    </row>
    <row r="113" spans="1:16" ht="14.25" customHeight="1" x14ac:dyDescent="0.15">
      <c r="A113" s="42" t="s">
        <v>6202</v>
      </c>
      <c r="B113" s="40" t="s">
        <v>13</v>
      </c>
      <c r="C113" s="42" t="s">
        <v>6186</v>
      </c>
      <c r="D113" s="42" t="s">
        <v>6186</v>
      </c>
      <c r="E113" s="42" t="s">
        <v>6186</v>
      </c>
      <c r="F113" s="42" t="s">
        <v>6186</v>
      </c>
      <c r="G113" s="42" t="s">
        <v>6186</v>
      </c>
      <c r="H113" s="42" t="s">
        <v>6186</v>
      </c>
      <c r="I113" s="42" t="s">
        <v>6203</v>
      </c>
      <c r="J113" s="40" t="s">
        <v>16</v>
      </c>
      <c r="K113" s="42" t="s">
        <v>6186</v>
      </c>
      <c r="L113" s="42" t="s">
        <v>6186</v>
      </c>
      <c r="M113" s="42" t="s">
        <v>6186</v>
      </c>
      <c r="N113" s="42" t="s">
        <v>6186</v>
      </c>
      <c r="O113" s="42" t="s">
        <v>6186</v>
      </c>
      <c r="P113" s="42" t="s">
        <v>6186</v>
      </c>
    </row>
    <row r="114" spans="1:16" ht="14.25" customHeight="1" x14ac:dyDescent="0.15">
      <c r="A114" s="42" t="s">
        <v>6204</v>
      </c>
      <c r="B114" s="40" t="s">
        <v>15</v>
      </c>
      <c r="C114" s="42" t="s">
        <v>6186</v>
      </c>
      <c r="D114" s="42" t="s">
        <v>6186</v>
      </c>
      <c r="E114" s="42" t="s">
        <v>6186</v>
      </c>
      <c r="F114" s="42" t="s">
        <v>6186</v>
      </c>
      <c r="G114" s="42" t="s">
        <v>6186</v>
      </c>
      <c r="H114" s="42" t="s">
        <v>6186</v>
      </c>
      <c r="I114" s="42" t="s">
        <v>6205</v>
      </c>
      <c r="J114" s="40" t="s">
        <v>17</v>
      </c>
      <c r="K114" s="42" t="s">
        <v>6186</v>
      </c>
      <c r="L114" s="42" t="s">
        <v>6186</v>
      </c>
      <c r="M114" s="42" t="s">
        <v>6186</v>
      </c>
      <c r="N114" s="42" t="s">
        <v>6186</v>
      </c>
      <c r="O114" s="42" t="s">
        <v>6186</v>
      </c>
      <c r="P114" s="42" t="s">
        <v>6186</v>
      </c>
    </row>
    <row r="115" spans="1:16" ht="14.25" customHeight="1" x14ac:dyDescent="0.15">
      <c r="A115" s="42" t="s">
        <v>6206</v>
      </c>
      <c r="B115" s="40" t="s">
        <v>16</v>
      </c>
      <c r="C115" s="42" t="s">
        <v>6186</v>
      </c>
      <c r="D115" s="42" t="s">
        <v>6186</v>
      </c>
      <c r="E115" s="42" t="s">
        <v>6186</v>
      </c>
      <c r="F115" s="42" t="s">
        <v>6186</v>
      </c>
      <c r="G115" s="42" t="s">
        <v>6186</v>
      </c>
      <c r="H115" s="42" t="s">
        <v>6186</v>
      </c>
      <c r="I115" s="42" t="s">
        <v>6207</v>
      </c>
      <c r="J115" s="40" t="s">
        <v>18</v>
      </c>
      <c r="K115" s="42" t="s">
        <v>6186</v>
      </c>
      <c r="L115" s="42" t="s">
        <v>6186</v>
      </c>
      <c r="M115" s="42" t="s">
        <v>6186</v>
      </c>
      <c r="N115" s="42" t="s">
        <v>6186</v>
      </c>
      <c r="O115" s="42" t="s">
        <v>6186</v>
      </c>
      <c r="P115" s="42" t="s">
        <v>6186</v>
      </c>
    </row>
    <row r="116" spans="1:16" ht="14.25" customHeight="1" x14ac:dyDescent="0.15">
      <c r="A116" s="42" t="s">
        <v>6208</v>
      </c>
      <c r="B116" s="40" t="s">
        <v>17</v>
      </c>
      <c r="C116" s="42" t="s">
        <v>6186</v>
      </c>
      <c r="D116" s="42" t="s">
        <v>6186</v>
      </c>
      <c r="E116" s="42" t="s">
        <v>6186</v>
      </c>
      <c r="F116" s="42" t="s">
        <v>6186</v>
      </c>
      <c r="G116" s="42" t="s">
        <v>6186</v>
      </c>
      <c r="H116" s="42" t="s">
        <v>6186</v>
      </c>
      <c r="I116" s="42" t="s">
        <v>6211</v>
      </c>
      <c r="J116" s="40" t="s">
        <v>11</v>
      </c>
      <c r="K116" s="42" t="s">
        <v>6186</v>
      </c>
      <c r="L116" s="42" t="s">
        <v>6186</v>
      </c>
      <c r="M116" s="42" t="s">
        <v>6186</v>
      </c>
      <c r="N116" s="42" t="s">
        <v>6186</v>
      </c>
      <c r="O116" s="42" t="s">
        <v>6186</v>
      </c>
      <c r="P116" s="42" t="s">
        <v>6186</v>
      </c>
    </row>
    <row r="117" spans="1:16" ht="14.25" customHeight="1" x14ac:dyDescent="0.15">
      <c r="A117" s="42" t="s">
        <v>6212</v>
      </c>
      <c r="B117" s="40" t="s">
        <v>18</v>
      </c>
      <c r="C117" s="42" t="s">
        <v>6186</v>
      </c>
      <c r="D117" s="42" t="s">
        <v>6186</v>
      </c>
      <c r="E117" s="42" t="s">
        <v>6186</v>
      </c>
      <c r="F117" s="42" t="s">
        <v>6186</v>
      </c>
      <c r="G117" s="42" t="s">
        <v>6186</v>
      </c>
      <c r="H117" s="42" t="s">
        <v>6186</v>
      </c>
      <c r="I117" s="42" t="s">
        <v>6215</v>
      </c>
      <c r="J117" s="40" t="s">
        <v>14</v>
      </c>
      <c r="K117" s="42" t="s">
        <v>6186</v>
      </c>
      <c r="L117" s="42" t="s">
        <v>6186</v>
      </c>
      <c r="M117" s="42" t="s">
        <v>6186</v>
      </c>
      <c r="N117" s="42" t="s">
        <v>6186</v>
      </c>
      <c r="O117" s="42" t="s">
        <v>6186</v>
      </c>
      <c r="P117" s="42" t="s">
        <v>6186</v>
      </c>
    </row>
    <row r="118" spans="1:16" ht="14.25" customHeight="1" x14ac:dyDescent="0.15">
      <c r="A118" s="42" t="s">
        <v>6216</v>
      </c>
      <c r="B118" s="40" t="s">
        <v>11</v>
      </c>
      <c r="C118" s="42" t="s">
        <v>6186</v>
      </c>
      <c r="D118" s="42" t="s">
        <v>6186</v>
      </c>
      <c r="E118" s="42" t="s">
        <v>6186</v>
      </c>
      <c r="F118" s="42" t="s">
        <v>6186</v>
      </c>
      <c r="G118" s="42" t="s">
        <v>6186</v>
      </c>
      <c r="H118" s="42" t="s">
        <v>6186</v>
      </c>
      <c r="I118" s="42" t="s">
        <v>6219</v>
      </c>
      <c r="J118" s="40" t="s">
        <v>13</v>
      </c>
      <c r="K118" s="42" t="s">
        <v>6186</v>
      </c>
      <c r="L118" s="42" t="s">
        <v>6186</v>
      </c>
      <c r="M118" s="42" t="s">
        <v>6186</v>
      </c>
      <c r="N118" s="42" t="s">
        <v>6186</v>
      </c>
      <c r="O118" s="42" t="s">
        <v>6186</v>
      </c>
      <c r="P118" s="42" t="s">
        <v>6186</v>
      </c>
    </row>
    <row r="119" spans="1:16" ht="14.25" customHeight="1" x14ac:dyDescent="0.15">
      <c r="A119" s="42" t="s">
        <v>6220</v>
      </c>
      <c r="B119" s="40" t="s">
        <v>14</v>
      </c>
      <c r="C119" s="42" t="s">
        <v>6186</v>
      </c>
      <c r="D119" s="42" t="s">
        <v>6186</v>
      </c>
      <c r="E119" s="42" t="s">
        <v>6186</v>
      </c>
      <c r="F119" s="42" t="s">
        <v>6186</v>
      </c>
      <c r="G119" s="42" t="s">
        <v>6186</v>
      </c>
      <c r="H119" s="42" t="s">
        <v>6186</v>
      </c>
      <c r="I119" s="42" t="s">
        <v>6221</v>
      </c>
      <c r="J119" s="40" t="s">
        <v>15</v>
      </c>
      <c r="K119" s="42" t="s">
        <v>6186</v>
      </c>
      <c r="L119" s="42" t="s">
        <v>6186</v>
      </c>
      <c r="M119" s="42" t="s">
        <v>6186</v>
      </c>
      <c r="N119" s="42" t="s">
        <v>6186</v>
      </c>
      <c r="O119" s="42" t="s">
        <v>6186</v>
      </c>
      <c r="P119" s="42" t="s">
        <v>6186</v>
      </c>
    </row>
    <row r="120" spans="1:16" ht="14.25" customHeight="1" x14ac:dyDescent="0.15">
      <c r="A120" s="42" t="s">
        <v>6222</v>
      </c>
      <c r="B120" s="40" t="s">
        <v>13</v>
      </c>
      <c r="C120" s="42" t="s">
        <v>6186</v>
      </c>
      <c r="D120" s="42" t="s">
        <v>6186</v>
      </c>
      <c r="E120" s="42" t="s">
        <v>6186</v>
      </c>
      <c r="F120" s="42" t="s">
        <v>6186</v>
      </c>
      <c r="G120" s="42" t="s">
        <v>6186</v>
      </c>
      <c r="H120" s="42" t="s">
        <v>6186</v>
      </c>
      <c r="I120" s="42" t="s">
        <v>6224</v>
      </c>
      <c r="J120" s="40" t="s">
        <v>16</v>
      </c>
      <c r="K120" s="42" t="s">
        <v>6186</v>
      </c>
      <c r="L120" s="42" t="s">
        <v>6186</v>
      </c>
      <c r="M120" s="42" t="s">
        <v>6186</v>
      </c>
      <c r="N120" s="42" t="s">
        <v>6186</v>
      </c>
      <c r="O120" s="42" t="s">
        <v>6186</v>
      </c>
      <c r="P120" s="42" t="s">
        <v>6186</v>
      </c>
    </row>
    <row r="121" spans="1:16" ht="14.25" customHeight="1" x14ac:dyDescent="0.15">
      <c r="A121" s="42" t="s">
        <v>6225</v>
      </c>
      <c r="B121" s="40" t="s">
        <v>15</v>
      </c>
      <c r="C121" s="42" t="s">
        <v>6186</v>
      </c>
      <c r="D121" s="42" t="s">
        <v>6186</v>
      </c>
      <c r="E121" s="42" t="s">
        <v>6186</v>
      </c>
      <c r="F121" s="42" t="s">
        <v>6186</v>
      </c>
      <c r="G121" s="42" t="s">
        <v>6186</v>
      </c>
      <c r="H121" s="42" t="s">
        <v>6186</v>
      </c>
      <c r="I121" s="42" t="s">
        <v>6227</v>
      </c>
      <c r="J121" s="40" t="s">
        <v>17</v>
      </c>
      <c r="K121" s="42" t="s">
        <v>6186</v>
      </c>
      <c r="L121" s="42" t="s">
        <v>6186</v>
      </c>
      <c r="M121" s="42" t="s">
        <v>6186</v>
      </c>
      <c r="N121" s="42" t="s">
        <v>6186</v>
      </c>
      <c r="O121" s="42" t="s">
        <v>6186</v>
      </c>
      <c r="P121" s="42" t="s">
        <v>6186</v>
      </c>
    </row>
    <row r="122" spans="1:16" ht="14.25" customHeight="1" x14ac:dyDescent="0.15">
      <c r="A122" s="42" t="s">
        <v>6228</v>
      </c>
      <c r="B122" s="40" t="s">
        <v>16</v>
      </c>
      <c r="C122" s="42" t="s">
        <v>6186</v>
      </c>
      <c r="D122" s="42" t="s">
        <v>6186</v>
      </c>
      <c r="E122" s="42" t="s">
        <v>6186</v>
      </c>
      <c r="F122" s="42" t="s">
        <v>6186</v>
      </c>
      <c r="G122" s="42" t="s">
        <v>6186</v>
      </c>
      <c r="H122" s="42" t="s">
        <v>6186</v>
      </c>
      <c r="I122" s="42" t="s">
        <v>6230</v>
      </c>
      <c r="J122" s="40" t="s">
        <v>18</v>
      </c>
      <c r="K122" s="42" t="s">
        <v>6186</v>
      </c>
      <c r="L122" s="42" t="s">
        <v>6186</v>
      </c>
      <c r="M122" s="42" t="s">
        <v>6186</v>
      </c>
      <c r="N122" s="42" t="s">
        <v>6186</v>
      </c>
      <c r="O122" s="42" t="s">
        <v>6186</v>
      </c>
      <c r="P122" s="42" t="s">
        <v>6186</v>
      </c>
    </row>
    <row r="123" spans="1:16" ht="14.25" customHeight="1" x14ac:dyDescent="0.15">
      <c r="A123" s="42" t="s">
        <v>6231</v>
      </c>
      <c r="B123" s="40" t="s">
        <v>17</v>
      </c>
      <c r="C123" s="42" t="s">
        <v>6186</v>
      </c>
      <c r="D123" s="42" t="s">
        <v>6186</v>
      </c>
      <c r="E123" s="42" t="s">
        <v>6186</v>
      </c>
      <c r="F123" s="42" t="s">
        <v>6186</v>
      </c>
      <c r="G123" s="42" t="s">
        <v>6186</v>
      </c>
      <c r="H123" s="42" t="s">
        <v>6186</v>
      </c>
      <c r="I123" s="42" t="s">
        <v>6234</v>
      </c>
      <c r="J123" s="40" t="s">
        <v>11</v>
      </c>
      <c r="K123" s="42" t="s">
        <v>6186</v>
      </c>
      <c r="L123" s="42" t="s">
        <v>6186</v>
      </c>
      <c r="M123" s="42" t="s">
        <v>6186</v>
      </c>
      <c r="N123" s="42" t="s">
        <v>6186</v>
      </c>
      <c r="O123" s="42" t="s">
        <v>6186</v>
      </c>
      <c r="P123" s="42" t="s">
        <v>6186</v>
      </c>
    </row>
    <row r="124" spans="1:16" ht="14.25" customHeight="1" x14ac:dyDescent="0.15">
      <c r="A124" s="42" t="s">
        <v>6235</v>
      </c>
      <c r="B124" s="40" t="s">
        <v>18</v>
      </c>
      <c r="C124" s="42" t="s">
        <v>6186</v>
      </c>
      <c r="D124" s="42" t="s">
        <v>6186</v>
      </c>
      <c r="E124" s="42" t="s">
        <v>6186</v>
      </c>
      <c r="F124" s="42" t="s">
        <v>6186</v>
      </c>
      <c r="G124" s="42" t="s">
        <v>6186</v>
      </c>
      <c r="H124" s="42" t="s">
        <v>6186</v>
      </c>
      <c r="I124" s="42" t="s">
        <v>12</v>
      </c>
      <c r="J124" s="42" t="s">
        <v>12</v>
      </c>
      <c r="K124" s="42" t="s">
        <v>12</v>
      </c>
      <c r="L124" s="42" t="s">
        <v>12</v>
      </c>
      <c r="M124" s="42" t="s">
        <v>12</v>
      </c>
      <c r="N124" s="42" t="s">
        <v>12</v>
      </c>
      <c r="O124" s="42" t="s">
        <v>12</v>
      </c>
      <c r="P124" s="42" t="s">
        <v>12</v>
      </c>
    </row>
    <row r="125" spans="1:16" ht="14.25" customHeight="1" x14ac:dyDescent="0.15">
      <c r="A125" s="35"/>
      <c r="C125" s="46"/>
      <c r="D125" s="46"/>
      <c r="E125" s="46"/>
      <c r="F125" s="46"/>
      <c r="G125" s="47"/>
      <c r="H125" s="47"/>
      <c r="I125" s="36"/>
      <c r="M125" s="131" t="s">
        <v>6237</v>
      </c>
      <c r="N125" s="131"/>
      <c r="O125" s="131"/>
      <c r="P125" s="131"/>
    </row>
    <row r="126" spans="1:16" ht="14.25" customHeight="1" x14ac:dyDescent="0.15">
      <c r="A126" s="34"/>
    </row>
    <row r="127" spans="1:16" ht="14.25" customHeight="1" x14ac:dyDescent="0.15">
      <c r="A127" s="34"/>
    </row>
    <row r="128" spans="1:16" ht="14.25" customHeight="1" x14ac:dyDescent="0.15">
      <c r="A128" s="35"/>
      <c r="B128" s="36"/>
    </row>
    <row r="129" spans="1:16" ht="14.25" customHeight="1" x14ac:dyDescent="0.15">
      <c r="A129" s="124" t="s">
        <v>6178</v>
      </c>
      <c r="B129" s="125"/>
      <c r="C129" s="125"/>
      <c r="D129" s="126"/>
      <c r="E129" s="124" t="s">
        <v>6386</v>
      </c>
      <c r="F129" s="125"/>
      <c r="G129" s="126"/>
      <c r="H129" s="124" t="s">
        <v>6387</v>
      </c>
      <c r="I129" s="126"/>
      <c r="J129" s="125" t="s">
        <v>6181</v>
      </c>
      <c r="K129" s="125"/>
      <c r="L129" s="126"/>
      <c r="M129" s="124" t="s">
        <v>6182</v>
      </c>
      <c r="N129" s="125"/>
      <c r="O129" s="125"/>
      <c r="P129" s="126"/>
    </row>
    <row r="130" spans="1:16" ht="14.25" customHeight="1" x14ac:dyDescent="0.15">
      <c r="A130" s="124" t="s">
        <v>6314</v>
      </c>
      <c r="B130" s="125"/>
      <c r="C130" s="125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6"/>
    </row>
    <row r="131" spans="1:16" ht="14.25" customHeight="1" x14ac:dyDescent="0.15">
      <c r="A131" s="124" t="s">
        <v>6184</v>
      </c>
      <c r="B131" s="125"/>
      <c r="C131" s="125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6"/>
    </row>
    <row r="132" spans="1:16" ht="14.25" customHeight="1" x14ac:dyDescent="0.15">
      <c r="A132" s="37"/>
      <c r="B132" s="38"/>
      <c r="C132" s="127" t="s">
        <v>4</v>
      </c>
      <c r="D132" s="128"/>
      <c r="E132" s="129" t="s">
        <v>5</v>
      </c>
      <c r="F132" s="130"/>
      <c r="G132" s="129" t="s">
        <v>6</v>
      </c>
      <c r="H132" s="130"/>
      <c r="I132" s="38"/>
      <c r="J132" s="38"/>
      <c r="K132" s="127" t="s">
        <v>4</v>
      </c>
      <c r="L132" s="128"/>
      <c r="M132" s="129" t="s">
        <v>5</v>
      </c>
      <c r="N132" s="130"/>
      <c r="O132" s="129" t="s">
        <v>6</v>
      </c>
      <c r="P132" s="130"/>
    </row>
    <row r="133" spans="1:16" ht="24" customHeight="1" x14ac:dyDescent="0.15">
      <c r="A133" s="39" t="s">
        <v>7</v>
      </c>
      <c r="B133" s="40" t="s">
        <v>8</v>
      </c>
      <c r="C133" s="41" t="s">
        <v>9</v>
      </c>
      <c r="D133" s="41" t="s">
        <v>10</v>
      </c>
      <c r="E133" s="41" t="s">
        <v>9</v>
      </c>
      <c r="F133" s="41" t="s">
        <v>10</v>
      </c>
      <c r="G133" s="41" t="s">
        <v>9</v>
      </c>
      <c r="H133" s="41" t="s">
        <v>10</v>
      </c>
      <c r="I133" s="48" t="s">
        <v>7</v>
      </c>
      <c r="J133" s="40" t="s">
        <v>8</v>
      </c>
      <c r="K133" s="41" t="s">
        <v>9</v>
      </c>
      <c r="L133" s="41" t="s">
        <v>10</v>
      </c>
      <c r="M133" s="41" t="s">
        <v>9</v>
      </c>
      <c r="N133" s="41" t="s">
        <v>10</v>
      </c>
      <c r="O133" s="41" t="s">
        <v>9</v>
      </c>
      <c r="P133" s="41" t="s">
        <v>10</v>
      </c>
    </row>
    <row r="134" spans="1:16" ht="14.25" customHeight="1" x14ac:dyDescent="0.15">
      <c r="A134" s="42" t="s">
        <v>6185</v>
      </c>
      <c r="B134" s="40" t="s">
        <v>17</v>
      </c>
      <c r="C134" s="42"/>
      <c r="D134" s="42"/>
      <c r="E134" s="42" t="s">
        <v>6186</v>
      </c>
      <c r="F134" s="42" t="s">
        <v>6186</v>
      </c>
      <c r="G134" s="42" t="s">
        <v>6186</v>
      </c>
      <c r="H134" s="42" t="s">
        <v>6186</v>
      </c>
      <c r="I134" s="42" t="s">
        <v>6187</v>
      </c>
      <c r="J134" s="40" t="s">
        <v>11</v>
      </c>
      <c r="K134" s="44">
        <v>0.33194444444961801</v>
      </c>
      <c r="L134" s="49" t="s">
        <v>6347</v>
      </c>
      <c r="M134" s="43" t="s">
        <v>6186</v>
      </c>
      <c r="N134" s="43" t="s">
        <v>6186</v>
      </c>
      <c r="O134" s="43" t="s">
        <v>6186</v>
      </c>
      <c r="P134" s="43" t="s">
        <v>6186</v>
      </c>
    </row>
    <row r="135" spans="1:16" ht="14.25" customHeight="1" x14ac:dyDescent="0.15">
      <c r="A135" s="42" t="s">
        <v>6190</v>
      </c>
      <c r="B135" s="40" t="s">
        <v>18</v>
      </c>
      <c r="C135" s="42"/>
      <c r="D135" s="42"/>
      <c r="E135" s="42" t="s">
        <v>6186</v>
      </c>
      <c r="F135" s="42" t="s">
        <v>6186</v>
      </c>
      <c r="G135" s="42" t="s">
        <v>6186</v>
      </c>
      <c r="H135" s="42" t="s">
        <v>6186</v>
      </c>
      <c r="I135" s="42" t="s">
        <v>6191</v>
      </c>
      <c r="J135" s="40" t="s">
        <v>14</v>
      </c>
      <c r="K135" s="44">
        <v>0.33263888888177501</v>
      </c>
      <c r="L135" s="44">
        <v>0.72361111111240495</v>
      </c>
      <c r="M135" s="43" t="s">
        <v>6186</v>
      </c>
      <c r="N135" s="43" t="s">
        <v>6186</v>
      </c>
      <c r="O135" s="43" t="s">
        <v>6186</v>
      </c>
      <c r="P135" s="43" t="s">
        <v>6186</v>
      </c>
    </row>
    <row r="136" spans="1:16" ht="14.25" customHeight="1" x14ac:dyDescent="0.15">
      <c r="A136" s="42" t="s">
        <v>6194</v>
      </c>
      <c r="B136" s="40" t="s">
        <v>11</v>
      </c>
      <c r="C136" s="42"/>
      <c r="D136" s="42"/>
      <c r="E136" s="42" t="s">
        <v>6186</v>
      </c>
      <c r="F136" s="42" t="s">
        <v>6186</v>
      </c>
      <c r="G136" s="42" t="s">
        <v>6186</v>
      </c>
      <c r="H136" s="42" t="s">
        <v>6186</v>
      </c>
      <c r="I136" s="42" t="s">
        <v>6195</v>
      </c>
      <c r="J136" s="40" t="s">
        <v>13</v>
      </c>
      <c r="K136" s="44">
        <v>0.33055555555620197</v>
      </c>
      <c r="L136" s="45" t="s">
        <v>6388</v>
      </c>
      <c r="M136" s="42" t="s">
        <v>6186</v>
      </c>
      <c r="N136" s="42" t="s">
        <v>6186</v>
      </c>
      <c r="O136" s="42" t="s">
        <v>6186</v>
      </c>
      <c r="P136" s="42" t="s">
        <v>6186</v>
      </c>
    </row>
    <row r="137" spans="1:16" ht="14.25" customHeight="1" x14ac:dyDescent="0.15">
      <c r="A137" s="42" t="s">
        <v>6198</v>
      </c>
      <c r="B137" s="40" t="s">
        <v>14</v>
      </c>
      <c r="C137" s="42"/>
      <c r="D137" s="42"/>
      <c r="E137" s="42" t="s">
        <v>6186</v>
      </c>
      <c r="F137" s="42" t="s">
        <v>6186</v>
      </c>
      <c r="G137" s="42" t="s">
        <v>6186</v>
      </c>
      <c r="H137" s="42" t="s">
        <v>6186</v>
      </c>
      <c r="I137" s="42" t="s">
        <v>6199</v>
      </c>
      <c r="J137" s="40" t="s">
        <v>15</v>
      </c>
      <c r="K137" s="44">
        <v>0.33124999998835802</v>
      </c>
      <c r="L137" s="45" t="s">
        <v>6389</v>
      </c>
      <c r="M137" s="42" t="s">
        <v>6186</v>
      </c>
      <c r="N137" s="42" t="s">
        <v>6186</v>
      </c>
      <c r="O137" s="42" t="s">
        <v>6186</v>
      </c>
      <c r="P137" s="42" t="s">
        <v>6186</v>
      </c>
    </row>
    <row r="138" spans="1:16" ht="14.25" customHeight="1" x14ac:dyDescent="0.15">
      <c r="A138" s="42" t="s">
        <v>6202</v>
      </c>
      <c r="B138" s="40" t="s">
        <v>13</v>
      </c>
      <c r="C138" s="43"/>
      <c r="D138" s="42"/>
      <c r="E138" s="42" t="s">
        <v>6186</v>
      </c>
      <c r="F138" s="42" t="s">
        <v>6186</v>
      </c>
      <c r="G138" s="42" t="s">
        <v>6186</v>
      </c>
      <c r="H138" s="42" t="s">
        <v>6186</v>
      </c>
      <c r="I138" s="42" t="s">
        <v>6203</v>
      </c>
      <c r="J138" s="40" t="s">
        <v>16</v>
      </c>
      <c r="K138" s="44">
        <v>0.32222222222480901</v>
      </c>
      <c r="L138" s="42" t="s">
        <v>6276</v>
      </c>
      <c r="M138" s="42" t="s">
        <v>6186</v>
      </c>
      <c r="N138" s="42" t="s">
        <v>6186</v>
      </c>
      <c r="O138" s="42" t="s">
        <v>6186</v>
      </c>
      <c r="P138" s="42" t="s">
        <v>6186</v>
      </c>
    </row>
    <row r="139" spans="1:16" ht="14.25" customHeight="1" x14ac:dyDescent="0.15">
      <c r="A139" s="42" t="s">
        <v>6204</v>
      </c>
      <c r="B139" s="40" t="s">
        <v>15</v>
      </c>
      <c r="C139" s="42"/>
      <c r="D139" s="42"/>
      <c r="E139" s="42" t="s">
        <v>6186</v>
      </c>
      <c r="F139" s="42" t="s">
        <v>6186</v>
      </c>
      <c r="G139" s="42" t="s">
        <v>6186</v>
      </c>
      <c r="H139" s="42" t="s">
        <v>6186</v>
      </c>
      <c r="I139" s="42" t="s">
        <v>6205</v>
      </c>
      <c r="J139" s="40" t="s">
        <v>17</v>
      </c>
      <c r="K139" s="45" t="s">
        <v>6390</v>
      </c>
      <c r="L139" s="45" t="s">
        <v>6391</v>
      </c>
      <c r="M139" s="42" t="s">
        <v>6186</v>
      </c>
      <c r="N139" s="42" t="s">
        <v>6186</v>
      </c>
      <c r="O139" s="42" t="s">
        <v>6186</v>
      </c>
      <c r="P139" s="42" t="s">
        <v>6186</v>
      </c>
    </row>
    <row r="140" spans="1:16" ht="14.25" customHeight="1" x14ac:dyDescent="0.15">
      <c r="A140" s="42" t="s">
        <v>6206</v>
      </c>
      <c r="B140" s="40" t="s">
        <v>16</v>
      </c>
      <c r="C140" s="42"/>
      <c r="D140" s="42"/>
      <c r="E140" s="42" t="s">
        <v>6186</v>
      </c>
      <c r="F140" s="42" t="s">
        <v>6186</v>
      </c>
      <c r="G140" s="42" t="s">
        <v>6186</v>
      </c>
      <c r="H140" s="42" t="s">
        <v>6186</v>
      </c>
      <c r="I140" s="42" t="s">
        <v>6207</v>
      </c>
      <c r="J140" s="40" t="s">
        <v>18</v>
      </c>
      <c r="K140" s="44">
        <v>0.32986111111111099</v>
      </c>
      <c r="L140" s="45" t="s">
        <v>6392</v>
      </c>
      <c r="M140" s="42" t="s">
        <v>6186</v>
      </c>
      <c r="N140" s="42" t="s">
        <v>6186</v>
      </c>
      <c r="O140" s="42" t="s">
        <v>6186</v>
      </c>
      <c r="P140" s="42" t="s">
        <v>6186</v>
      </c>
    </row>
    <row r="141" spans="1:16" ht="14.25" customHeight="1" x14ac:dyDescent="0.15">
      <c r="A141" s="42" t="s">
        <v>6208</v>
      </c>
      <c r="B141" s="40" t="s">
        <v>17</v>
      </c>
      <c r="C141" s="45" t="s">
        <v>6393</v>
      </c>
      <c r="D141" s="45" t="s">
        <v>6159</v>
      </c>
      <c r="E141" s="42" t="s">
        <v>6186</v>
      </c>
      <c r="F141" s="42" t="s">
        <v>6186</v>
      </c>
      <c r="G141" s="42" t="s">
        <v>6186</v>
      </c>
      <c r="H141" s="42" t="s">
        <v>6186</v>
      </c>
      <c r="I141" s="42" t="s">
        <v>6211</v>
      </c>
      <c r="J141" s="40" t="s">
        <v>11</v>
      </c>
      <c r="K141" s="44">
        <v>0.31944444444444398</v>
      </c>
      <c r="L141" s="45" t="s">
        <v>6394</v>
      </c>
      <c r="M141" s="42" t="s">
        <v>6186</v>
      </c>
      <c r="N141" s="42" t="s">
        <v>6186</v>
      </c>
      <c r="O141" s="42" t="s">
        <v>6186</v>
      </c>
      <c r="P141" s="42" t="s">
        <v>6186</v>
      </c>
    </row>
    <row r="142" spans="1:16" ht="14.25" customHeight="1" x14ac:dyDescent="0.15">
      <c r="A142" s="42" t="s">
        <v>6212</v>
      </c>
      <c r="B142" s="40" t="s">
        <v>18</v>
      </c>
      <c r="C142" s="44">
        <v>0.32222222222480901</v>
      </c>
      <c r="D142" s="45" t="s">
        <v>6395</v>
      </c>
      <c r="E142" s="42" t="s">
        <v>6186</v>
      </c>
      <c r="F142" s="42" t="s">
        <v>6186</v>
      </c>
      <c r="G142" s="42" t="s">
        <v>6186</v>
      </c>
      <c r="H142" s="42" t="s">
        <v>6186</v>
      </c>
      <c r="I142" s="42" t="s">
        <v>6215</v>
      </c>
      <c r="J142" s="40" t="s">
        <v>14</v>
      </c>
      <c r="K142" s="45" t="s">
        <v>6346</v>
      </c>
      <c r="L142" s="45" t="s">
        <v>6396</v>
      </c>
      <c r="M142" s="42" t="s">
        <v>6186</v>
      </c>
      <c r="N142" s="42" t="s">
        <v>6186</v>
      </c>
      <c r="O142" s="42" t="s">
        <v>6186</v>
      </c>
      <c r="P142" s="42" t="s">
        <v>6186</v>
      </c>
    </row>
    <row r="143" spans="1:16" ht="14.25" customHeight="1" x14ac:dyDescent="0.15">
      <c r="A143" s="42" t="s">
        <v>6216</v>
      </c>
      <c r="B143" s="40" t="s">
        <v>11</v>
      </c>
      <c r="C143" s="45" t="s">
        <v>6390</v>
      </c>
      <c r="D143" s="45" t="s">
        <v>6125</v>
      </c>
      <c r="E143" s="42" t="s">
        <v>6186</v>
      </c>
      <c r="F143" s="42" t="s">
        <v>6186</v>
      </c>
      <c r="G143" s="42" t="s">
        <v>6186</v>
      </c>
      <c r="H143" s="42" t="s">
        <v>6186</v>
      </c>
      <c r="I143" s="42" t="s">
        <v>6219</v>
      </c>
      <c r="J143" s="40" t="s">
        <v>13</v>
      </c>
      <c r="K143" s="44">
        <v>0.33055555555620197</v>
      </c>
      <c r="L143" s="45" t="s">
        <v>6397</v>
      </c>
      <c r="M143" s="43" t="s">
        <v>6186</v>
      </c>
      <c r="N143" s="43" t="s">
        <v>6186</v>
      </c>
      <c r="O143" s="43" t="s">
        <v>6186</v>
      </c>
      <c r="P143" s="43" t="s">
        <v>6186</v>
      </c>
    </row>
    <row r="144" spans="1:16" ht="14.25" customHeight="1" x14ac:dyDescent="0.15">
      <c r="A144" s="42" t="s">
        <v>6220</v>
      </c>
      <c r="B144" s="40" t="s">
        <v>14</v>
      </c>
      <c r="C144" s="44">
        <v>0.32986111112404598</v>
      </c>
      <c r="D144" s="44">
        <v>0.71180555556202296</v>
      </c>
      <c r="E144" s="43" t="s">
        <v>6186</v>
      </c>
      <c r="F144" s="43" t="s">
        <v>6186</v>
      </c>
      <c r="G144" s="43" t="s">
        <v>6186</v>
      </c>
      <c r="H144" s="43" t="s">
        <v>6186</v>
      </c>
      <c r="I144" s="42" t="s">
        <v>6221</v>
      </c>
      <c r="J144" s="40" t="s">
        <v>15</v>
      </c>
      <c r="K144" s="44">
        <v>0.33055555555555599</v>
      </c>
      <c r="L144" s="42" t="s">
        <v>6398</v>
      </c>
      <c r="M144" s="43" t="s">
        <v>6186</v>
      </c>
      <c r="N144" s="43" t="s">
        <v>6186</v>
      </c>
      <c r="O144" s="43" t="s">
        <v>6186</v>
      </c>
      <c r="P144" s="43" t="s">
        <v>6186</v>
      </c>
    </row>
    <row r="145" spans="1:16" ht="14.25" customHeight="1" x14ac:dyDescent="0.15">
      <c r="A145" s="42" t="s">
        <v>6222</v>
      </c>
      <c r="B145" s="40" t="s">
        <v>13</v>
      </c>
      <c r="C145" s="44">
        <v>0.31944444443797698</v>
      </c>
      <c r="D145" s="45" t="s">
        <v>6391</v>
      </c>
      <c r="E145" s="42" t="s">
        <v>6186</v>
      </c>
      <c r="F145" s="42" t="s">
        <v>6186</v>
      </c>
      <c r="G145" s="42" t="s">
        <v>6186</v>
      </c>
      <c r="H145" s="42" t="s">
        <v>6186</v>
      </c>
      <c r="I145" s="42" t="s">
        <v>6224</v>
      </c>
      <c r="J145" s="40" t="s">
        <v>16</v>
      </c>
      <c r="K145" s="45" t="s">
        <v>6330</v>
      </c>
      <c r="L145" s="45" t="s">
        <v>6399</v>
      </c>
      <c r="M145" s="42" t="s">
        <v>6186</v>
      </c>
      <c r="N145" s="42" t="s">
        <v>6186</v>
      </c>
      <c r="O145" s="42" t="s">
        <v>6186</v>
      </c>
      <c r="P145" s="42" t="s">
        <v>6186</v>
      </c>
    </row>
    <row r="146" spans="1:16" ht="14.25" customHeight="1" x14ac:dyDescent="0.15">
      <c r="A146" s="42" t="s">
        <v>6225</v>
      </c>
      <c r="B146" s="40" t="s">
        <v>15</v>
      </c>
      <c r="C146" s="45" t="s">
        <v>6393</v>
      </c>
      <c r="D146" s="45" t="s">
        <v>6358</v>
      </c>
      <c r="E146" s="42" t="s">
        <v>6186</v>
      </c>
      <c r="F146" s="42" t="s">
        <v>6186</v>
      </c>
      <c r="G146" s="42" t="s">
        <v>6186</v>
      </c>
      <c r="H146" s="42" t="s">
        <v>6186</v>
      </c>
      <c r="I146" s="42" t="s">
        <v>6227</v>
      </c>
      <c r="J146" s="40" t="s">
        <v>17</v>
      </c>
      <c r="K146" s="45" t="s">
        <v>6400</v>
      </c>
      <c r="L146" s="45" t="s">
        <v>6401</v>
      </c>
      <c r="M146" s="42" t="s">
        <v>6186</v>
      </c>
      <c r="N146" s="42" t="s">
        <v>6186</v>
      </c>
      <c r="O146" s="42" t="s">
        <v>6186</v>
      </c>
      <c r="P146" s="42" t="s">
        <v>6186</v>
      </c>
    </row>
    <row r="147" spans="1:16" ht="14.25" customHeight="1" x14ac:dyDescent="0.15">
      <c r="A147" s="42" t="s">
        <v>6228</v>
      </c>
      <c r="B147" s="40" t="s">
        <v>16</v>
      </c>
      <c r="C147" s="44">
        <v>0.33055555555620197</v>
      </c>
      <c r="D147" s="45" t="s">
        <v>6394</v>
      </c>
      <c r="E147" s="42" t="s">
        <v>6186</v>
      </c>
      <c r="F147" s="42" t="s">
        <v>6186</v>
      </c>
      <c r="G147" s="42" t="s">
        <v>6186</v>
      </c>
      <c r="H147" s="42" t="s">
        <v>6186</v>
      </c>
      <c r="I147" s="42" t="s">
        <v>6230</v>
      </c>
      <c r="J147" s="40" t="s">
        <v>18</v>
      </c>
      <c r="K147" s="44">
        <v>0.32222222222222202</v>
      </c>
      <c r="L147" s="45" t="s">
        <v>6394</v>
      </c>
      <c r="M147" s="42" t="s">
        <v>6186</v>
      </c>
      <c r="N147" s="42" t="s">
        <v>6186</v>
      </c>
      <c r="O147" s="42" t="s">
        <v>6186</v>
      </c>
      <c r="P147" s="42" t="s">
        <v>6186</v>
      </c>
    </row>
    <row r="148" spans="1:16" ht="14.25" customHeight="1" x14ac:dyDescent="0.15">
      <c r="A148" s="42" t="s">
        <v>6231</v>
      </c>
      <c r="B148" s="40" t="s">
        <v>17</v>
      </c>
      <c r="C148" s="44">
        <v>0.33055555555620197</v>
      </c>
      <c r="D148" s="45" t="s">
        <v>6396</v>
      </c>
      <c r="E148" s="42" t="s">
        <v>6186</v>
      </c>
      <c r="F148" s="42" t="s">
        <v>6186</v>
      </c>
      <c r="G148" s="42" t="s">
        <v>6186</v>
      </c>
      <c r="H148" s="42" t="s">
        <v>6186</v>
      </c>
      <c r="I148" s="42" t="s">
        <v>6234</v>
      </c>
      <c r="J148" s="40" t="s">
        <v>11</v>
      </c>
      <c r="K148" s="45" t="s">
        <v>6402</v>
      </c>
      <c r="L148" s="45" t="s">
        <v>6396</v>
      </c>
      <c r="M148" s="42" t="s">
        <v>6186</v>
      </c>
      <c r="N148" s="42" t="s">
        <v>6186</v>
      </c>
      <c r="O148" s="42" t="s">
        <v>6186</v>
      </c>
      <c r="P148" s="42" t="s">
        <v>6186</v>
      </c>
    </row>
    <row r="149" spans="1:16" ht="14.25" customHeight="1" x14ac:dyDescent="0.15">
      <c r="A149" s="42" t="s">
        <v>6235</v>
      </c>
      <c r="B149" s="40" t="s">
        <v>18</v>
      </c>
      <c r="C149" s="45" t="s">
        <v>6400</v>
      </c>
      <c r="D149" s="45" t="s">
        <v>6397</v>
      </c>
      <c r="E149" s="42" t="s">
        <v>6186</v>
      </c>
      <c r="F149" s="42" t="s">
        <v>6186</v>
      </c>
      <c r="G149" s="42" t="s">
        <v>6186</v>
      </c>
      <c r="H149" s="42" t="s">
        <v>6186</v>
      </c>
      <c r="I149" s="42" t="s">
        <v>12</v>
      </c>
      <c r="J149" s="42" t="s">
        <v>12</v>
      </c>
      <c r="K149" s="42" t="s">
        <v>12</v>
      </c>
      <c r="L149" s="42" t="s">
        <v>12</v>
      </c>
      <c r="M149" s="42" t="s">
        <v>12</v>
      </c>
      <c r="N149" s="42" t="s">
        <v>12</v>
      </c>
      <c r="O149" s="42" t="s">
        <v>12</v>
      </c>
      <c r="P149" s="42" t="s">
        <v>12</v>
      </c>
    </row>
    <row r="150" spans="1:16" ht="14.25" customHeight="1" x14ac:dyDescent="0.15">
      <c r="A150" s="35"/>
      <c r="C150" s="46"/>
      <c r="D150" s="46"/>
      <c r="E150" s="46"/>
      <c r="F150" s="46"/>
      <c r="G150" s="47"/>
      <c r="H150" s="47"/>
      <c r="I150" s="36"/>
      <c r="M150" s="131" t="s">
        <v>6237</v>
      </c>
      <c r="N150" s="131"/>
      <c r="O150" s="131"/>
      <c r="P150" s="131"/>
    </row>
    <row r="151" spans="1:16" ht="14.25" customHeight="1" x14ac:dyDescent="0.15">
      <c r="A151" s="34"/>
    </row>
    <row r="152" spans="1:16" ht="14.25" customHeight="1" x14ac:dyDescent="0.15">
      <c r="A152" s="34"/>
    </row>
    <row r="153" spans="1:16" ht="14.25" customHeight="1" x14ac:dyDescent="0.15">
      <c r="A153" s="35"/>
      <c r="B153" s="36"/>
    </row>
    <row r="154" spans="1:16" ht="14.25" customHeight="1" x14ac:dyDescent="0.15">
      <c r="A154" s="124" t="s">
        <v>6178</v>
      </c>
      <c r="B154" s="125"/>
      <c r="C154" s="125"/>
      <c r="D154" s="126"/>
      <c r="E154" s="124" t="s">
        <v>6403</v>
      </c>
      <c r="F154" s="125"/>
      <c r="G154" s="126"/>
      <c r="H154" s="124" t="s">
        <v>6404</v>
      </c>
      <c r="I154" s="126"/>
      <c r="J154" s="125" t="s">
        <v>6181</v>
      </c>
      <c r="K154" s="125"/>
      <c r="L154" s="126"/>
      <c r="M154" s="124" t="s">
        <v>6182</v>
      </c>
      <c r="N154" s="125"/>
      <c r="O154" s="125"/>
      <c r="P154" s="126"/>
    </row>
    <row r="155" spans="1:16" ht="14.25" customHeight="1" x14ac:dyDescent="0.15">
      <c r="A155" s="124" t="s">
        <v>6405</v>
      </c>
      <c r="B155" s="125"/>
      <c r="C155" s="125"/>
      <c r="D155" s="125"/>
      <c r="E155" s="125"/>
      <c r="F155" s="125"/>
      <c r="G155" s="125"/>
      <c r="H155" s="125"/>
      <c r="I155" s="125"/>
      <c r="J155" s="125"/>
      <c r="K155" s="125"/>
      <c r="L155" s="125"/>
      <c r="M155" s="125"/>
      <c r="N155" s="125"/>
      <c r="O155" s="125"/>
      <c r="P155" s="126"/>
    </row>
    <row r="156" spans="1:16" ht="14.25" customHeight="1" x14ac:dyDescent="0.15">
      <c r="A156" s="124" t="s">
        <v>6184</v>
      </c>
      <c r="B156" s="125"/>
      <c r="C156" s="125"/>
      <c r="D156" s="125"/>
      <c r="E156" s="125"/>
      <c r="F156" s="125"/>
      <c r="G156" s="125"/>
      <c r="H156" s="125"/>
      <c r="I156" s="125"/>
      <c r="J156" s="125"/>
      <c r="K156" s="125"/>
      <c r="L156" s="125"/>
      <c r="M156" s="125"/>
      <c r="N156" s="125"/>
      <c r="O156" s="125"/>
      <c r="P156" s="126"/>
    </row>
    <row r="157" spans="1:16" ht="14.25" customHeight="1" x14ac:dyDescent="0.15">
      <c r="A157" s="37"/>
      <c r="B157" s="38"/>
      <c r="C157" s="127" t="s">
        <v>4</v>
      </c>
      <c r="D157" s="128"/>
      <c r="E157" s="129" t="s">
        <v>5</v>
      </c>
      <c r="F157" s="130"/>
      <c r="G157" s="129" t="s">
        <v>6</v>
      </c>
      <c r="H157" s="130"/>
      <c r="I157" s="38"/>
      <c r="J157" s="38"/>
      <c r="K157" s="127" t="s">
        <v>4</v>
      </c>
      <c r="L157" s="128"/>
      <c r="M157" s="129" t="s">
        <v>5</v>
      </c>
      <c r="N157" s="130"/>
      <c r="O157" s="129" t="s">
        <v>6</v>
      </c>
      <c r="P157" s="130"/>
    </row>
    <row r="158" spans="1:16" ht="24" customHeight="1" x14ac:dyDescent="0.15">
      <c r="A158" s="39" t="s">
        <v>7</v>
      </c>
      <c r="B158" s="40" t="s">
        <v>8</v>
      </c>
      <c r="C158" s="41" t="s">
        <v>9</v>
      </c>
      <c r="D158" s="41" t="s">
        <v>10</v>
      </c>
      <c r="E158" s="41" t="s">
        <v>9</v>
      </c>
      <c r="F158" s="41" t="s">
        <v>10</v>
      </c>
      <c r="G158" s="41" t="s">
        <v>9</v>
      </c>
      <c r="H158" s="41" t="s">
        <v>10</v>
      </c>
      <c r="I158" s="48" t="s">
        <v>7</v>
      </c>
      <c r="J158" s="40" t="s">
        <v>8</v>
      </c>
      <c r="K158" s="41" t="s">
        <v>9</v>
      </c>
      <c r="L158" s="41" t="s">
        <v>10</v>
      </c>
      <c r="M158" s="41" t="s">
        <v>9</v>
      </c>
      <c r="N158" s="41" t="s">
        <v>10</v>
      </c>
      <c r="O158" s="41" t="s">
        <v>9</v>
      </c>
      <c r="P158" s="41" t="s">
        <v>10</v>
      </c>
    </row>
    <row r="159" spans="1:16" ht="14.25" customHeight="1" x14ac:dyDescent="0.15">
      <c r="A159" s="42" t="s">
        <v>6185</v>
      </c>
      <c r="B159" s="40" t="s">
        <v>17</v>
      </c>
      <c r="C159" s="43" t="s">
        <v>6186</v>
      </c>
      <c r="D159" s="43" t="s">
        <v>6186</v>
      </c>
      <c r="E159" s="43" t="s">
        <v>6186</v>
      </c>
      <c r="F159" s="43" t="s">
        <v>6186</v>
      </c>
      <c r="G159" s="43" t="s">
        <v>6186</v>
      </c>
      <c r="H159" s="43" t="s">
        <v>6186</v>
      </c>
      <c r="I159" s="42" t="s">
        <v>6187</v>
      </c>
      <c r="J159" s="40" t="s">
        <v>11</v>
      </c>
      <c r="K159" s="43" t="s">
        <v>6186</v>
      </c>
      <c r="L159" s="43" t="s">
        <v>6186</v>
      </c>
      <c r="M159" s="43" t="s">
        <v>6186</v>
      </c>
      <c r="N159" s="43" t="s">
        <v>6186</v>
      </c>
      <c r="O159" s="43" t="s">
        <v>6186</v>
      </c>
      <c r="P159" s="43" t="s">
        <v>6186</v>
      </c>
    </row>
    <row r="160" spans="1:16" ht="14.25" customHeight="1" x14ac:dyDescent="0.15">
      <c r="A160" s="42" t="s">
        <v>6190</v>
      </c>
      <c r="B160" s="40" t="s">
        <v>18</v>
      </c>
      <c r="C160" s="43" t="s">
        <v>6186</v>
      </c>
      <c r="D160" s="43" t="s">
        <v>6186</v>
      </c>
      <c r="E160" s="43" t="s">
        <v>6186</v>
      </c>
      <c r="F160" s="43" t="s">
        <v>6186</v>
      </c>
      <c r="G160" s="43" t="s">
        <v>6186</v>
      </c>
      <c r="H160" s="43" t="s">
        <v>6186</v>
      </c>
      <c r="I160" s="42" t="s">
        <v>6191</v>
      </c>
      <c r="J160" s="40" t="s">
        <v>14</v>
      </c>
      <c r="K160" s="44">
        <v>0.33263888888177501</v>
      </c>
      <c r="L160" s="44">
        <v>0.71388888888759505</v>
      </c>
      <c r="M160" s="43" t="s">
        <v>6186</v>
      </c>
      <c r="N160" s="43" t="s">
        <v>6186</v>
      </c>
      <c r="O160" s="43" t="s">
        <v>6186</v>
      </c>
      <c r="P160" s="43" t="s">
        <v>6186</v>
      </c>
    </row>
    <row r="161" spans="1:16" ht="14.25" customHeight="1" x14ac:dyDescent="0.15">
      <c r="A161" s="42" t="s">
        <v>6194</v>
      </c>
      <c r="B161" s="40" t="s">
        <v>11</v>
      </c>
      <c r="C161" s="43" t="s">
        <v>6186</v>
      </c>
      <c r="D161" s="43" t="s">
        <v>6186</v>
      </c>
      <c r="E161" s="43" t="s">
        <v>6186</v>
      </c>
      <c r="F161" s="43" t="s">
        <v>6186</v>
      </c>
      <c r="G161" s="43" t="s">
        <v>6186</v>
      </c>
      <c r="H161" s="43" t="s">
        <v>6186</v>
      </c>
      <c r="I161" s="42" t="s">
        <v>6195</v>
      </c>
      <c r="J161" s="40" t="s">
        <v>13</v>
      </c>
      <c r="K161" s="44">
        <v>0.33124999998835802</v>
      </c>
      <c r="L161" s="45" t="s">
        <v>6382</v>
      </c>
      <c r="M161" s="42" t="s">
        <v>6186</v>
      </c>
      <c r="N161" s="42" t="s">
        <v>6186</v>
      </c>
      <c r="O161" s="42" t="s">
        <v>6186</v>
      </c>
      <c r="P161" s="42" t="s">
        <v>6186</v>
      </c>
    </row>
    <row r="162" spans="1:16" ht="14.25" customHeight="1" x14ac:dyDescent="0.15">
      <c r="A162" s="42" t="s">
        <v>6198</v>
      </c>
      <c r="B162" s="40" t="s">
        <v>14</v>
      </c>
      <c r="C162" s="42" t="s">
        <v>6186</v>
      </c>
      <c r="D162" s="42" t="s">
        <v>6186</v>
      </c>
      <c r="E162" s="42" t="s">
        <v>6186</v>
      </c>
      <c r="F162" s="42" t="s">
        <v>6186</v>
      </c>
      <c r="G162" s="42" t="s">
        <v>6186</v>
      </c>
      <c r="H162" s="42" t="s">
        <v>6186</v>
      </c>
      <c r="I162" s="42" t="s">
        <v>6199</v>
      </c>
      <c r="J162" s="40" t="s">
        <v>15</v>
      </c>
      <c r="K162" s="44">
        <v>0.33124999998835802</v>
      </c>
      <c r="L162" s="45" t="s">
        <v>6155</v>
      </c>
      <c r="M162" s="42" t="s">
        <v>6186</v>
      </c>
      <c r="N162" s="42" t="s">
        <v>6186</v>
      </c>
      <c r="O162" s="42" t="s">
        <v>6186</v>
      </c>
      <c r="P162" s="42" t="s">
        <v>6186</v>
      </c>
    </row>
    <row r="163" spans="1:16" ht="14.25" customHeight="1" x14ac:dyDescent="0.15">
      <c r="A163" s="42" t="s">
        <v>6202</v>
      </c>
      <c r="B163" s="40" t="s">
        <v>13</v>
      </c>
      <c r="C163" s="42" t="s">
        <v>6186</v>
      </c>
      <c r="D163" s="42" t="s">
        <v>6186</v>
      </c>
      <c r="E163" s="42" t="s">
        <v>6186</v>
      </c>
      <c r="F163" s="42" t="s">
        <v>6186</v>
      </c>
      <c r="G163" s="42" t="s">
        <v>6186</v>
      </c>
      <c r="H163" s="42" t="s">
        <v>6186</v>
      </c>
      <c r="I163" s="42" t="s">
        <v>6203</v>
      </c>
      <c r="J163" s="40" t="s">
        <v>16</v>
      </c>
      <c r="K163" s="44">
        <v>0.32986111112404598</v>
      </c>
      <c r="L163" s="42" t="s">
        <v>6406</v>
      </c>
      <c r="M163" s="42" t="s">
        <v>6186</v>
      </c>
      <c r="N163" s="42" t="s">
        <v>6186</v>
      </c>
      <c r="O163" s="42" t="s">
        <v>6186</v>
      </c>
      <c r="P163" s="42" t="s">
        <v>6186</v>
      </c>
    </row>
    <row r="164" spans="1:16" ht="14.25" customHeight="1" x14ac:dyDescent="0.15">
      <c r="A164" s="42" t="s">
        <v>6204</v>
      </c>
      <c r="B164" s="40" t="s">
        <v>15</v>
      </c>
      <c r="C164" s="42" t="s">
        <v>6186</v>
      </c>
      <c r="D164" s="42" t="s">
        <v>6186</v>
      </c>
      <c r="E164" s="42" t="s">
        <v>6186</v>
      </c>
      <c r="F164" s="42" t="s">
        <v>6186</v>
      </c>
      <c r="G164" s="42" t="s">
        <v>6186</v>
      </c>
      <c r="H164" s="42" t="s">
        <v>6186</v>
      </c>
      <c r="I164" s="42" t="s">
        <v>6205</v>
      </c>
      <c r="J164" s="40" t="s">
        <v>17</v>
      </c>
      <c r="K164" s="44">
        <v>0.31944444444444398</v>
      </c>
      <c r="L164" s="42" t="s">
        <v>6407</v>
      </c>
      <c r="M164" s="42" t="s">
        <v>6186</v>
      </c>
      <c r="N164" s="42" t="s">
        <v>6186</v>
      </c>
      <c r="O164" s="42" t="s">
        <v>6186</v>
      </c>
      <c r="P164" s="42" t="s">
        <v>6186</v>
      </c>
    </row>
    <row r="165" spans="1:16" ht="14.25" customHeight="1" x14ac:dyDescent="0.15">
      <c r="A165" s="42" t="s">
        <v>6206</v>
      </c>
      <c r="B165" s="40" t="s">
        <v>16</v>
      </c>
      <c r="C165" s="42" t="s">
        <v>6186</v>
      </c>
      <c r="D165" s="42" t="s">
        <v>6186</v>
      </c>
      <c r="E165" s="42" t="s">
        <v>6186</v>
      </c>
      <c r="F165" s="42" t="s">
        <v>6186</v>
      </c>
      <c r="G165" s="42" t="s">
        <v>6186</v>
      </c>
      <c r="H165" s="42" t="s">
        <v>6186</v>
      </c>
      <c r="I165" s="42" t="s">
        <v>6207</v>
      </c>
      <c r="J165" s="40" t="s">
        <v>18</v>
      </c>
      <c r="K165" s="45" t="s">
        <v>6346</v>
      </c>
      <c r="L165" s="42" t="s">
        <v>6408</v>
      </c>
      <c r="M165" s="42" t="s">
        <v>6186</v>
      </c>
      <c r="N165" s="42" t="s">
        <v>6186</v>
      </c>
      <c r="O165" s="42" t="s">
        <v>6186</v>
      </c>
      <c r="P165" s="42" t="s">
        <v>6186</v>
      </c>
    </row>
    <row r="166" spans="1:16" ht="14.25" customHeight="1" x14ac:dyDescent="0.15">
      <c r="A166" s="42" t="s">
        <v>6208</v>
      </c>
      <c r="B166" s="40" t="s">
        <v>17</v>
      </c>
      <c r="C166" s="44">
        <v>0.322916666656965</v>
      </c>
      <c r="D166" s="45" t="s">
        <v>6356</v>
      </c>
      <c r="E166" s="42" t="s">
        <v>6186</v>
      </c>
      <c r="F166" s="42" t="s">
        <v>6186</v>
      </c>
      <c r="G166" s="42" t="s">
        <v>6186</v>
      </c>
      <c r="H166" s="42" t="s">
        <v>6186</v>
      </c>
      <c r="I166" s="42" t="s">
        <v>6211</v>
      </c>
      <c r="J166" s="40" t="s">
        <v>11</v>
      </c>
      <c r="K166" s="45" t="s">
        <v>6340</v>
      </c>
      <c r="L166" s="42" t="s">
        <v>6409</v>
      </c>
      <c r="M166" s="42" t="s">
        <v>6186</v>
      </c>
      <c r="N166" s="42" t="s">
        <v>6186</v>
      </c>
      <c r="O166" s="42" t="s">
        <v>6186</v>
      </c>
      <c r="P166" s="42" t="s">
        <v>6186</v>
      </c>
    </row>
    <row r="167" spans="1:16" ht="14.25" customHeight="1" x14ac:dyDescent="0.15">
      <c r="A167" s="42" t="s">
        <v>6212</v>
      </c>
      <c r="B167" s="40" t="s">
        <v>18</v>
      </c>
      <c r="C167" s="44">
        <v>0.32083333333139302</v>
      </c>
      <c r="D167" s="45" t="s">
        <v>6118</v>
      </c>
      <c r="E167" s="42" t="s">
        <v>6186</v>
      </c>
      <c r="F167" s="42" t="s">
        <v>6186</v>
      </c>
      <c r="G167" s="42" t="s">
        <v>6186</v>
      </c>
      <c r="H167" s="42" t="s">
        <v>6186</v>
      </c>
      <c r="I167" s="42" t="s">
        <v>6215</v>
      </c>
      <c r="J167" s="40" t="s">
        <v>14</v>
      </c>
      <c r="K167" s="44"/>
      <c r="L167" s="43" t="s">
        <v>6186</v>
      </c>
      <c r="M167" s="43" t="s">
        <v>6186</v>
      </c>
      <c r="N167" s="43" t="s">
        <v>6186</v>
      </c>
      <c r="O167" s="43" t="s">
        <v>6186</v>
      </c>
      <c r="P167" s="43" t="s">
        <v>6186</v>
      </c>
    </row>
    <row r="168" spans="1:16" ht="14.25" customHeight="1" x14ac:dyDescent="0.15">
      <c r="A168" s="42" t="s">
        <v>6216</v>
      </c>
      <c r="B168" s="40" t="s">
        <v>11</v>
      </c>
      <c r="C168" s="44">
        <v>0.32916666666278599</v>
      </c>
      <c r="D168" s="45" t="s">
        <v>6365</v>
      </c>
      <c r="E168" s="42" t="s">
        <v>6186</v>
      </c>
      <c r="F168" s="42" t="s">
        <v>6186</v>
      </c>
      <c r="G168" s="42" t="s">
        <v>6186</v>
      </c>
      <c r="H168" s="42" t="s">
        <v>6186</v>
      </c>
      <c r="I168" s="42" t="s">
        <v>6219</v>
      </c>
      <c r="J168" s="40" t="s">
        <v>13</v>
      </c>
      <c r="K168" s="45" t="s">
        <v>6378</v>
      </c>
      <c r="L168" s="42" t="s">
        <v>6410</v>
      </c>
      <c r="M168" s="43" t="s">
        <v>6186</v>
      </c>
      <c r="N168" s="43" t="s">
        <v>6186</v>
      </c>
      <c r="O168" s="43" t="s">
        <v>6186</v>
      </c>
      <c r="P168" s="43" t="s">
        <v>6186</v>
      </c>
    </row>
    <row r="169" spans="1:16" ht="14.25" customHeight="1" x14ac:dyDescent="0.15">
      <c r="A169" s="42" t="s">
        <v>6220</v>
      </c>
      <c r="B169" s="40" t="s">
        <v>14</v>
      </c>
      <c r="C169" s="44">
        <v>0.33055555555620197</v>
      </c>
      <c r="D169" s="45" t="s">
        <v>6411</v>
      </c>
      <c r="E169" s="42" t="s">
        <v>6186</v>
      </c>
      <c r="F169" s="42" t="s">
        <v>6186</v>
      </c>
      <c r="G169" s="42" t="s">
        <v>6186</v>
      </c>
      <c r="H169" s="42" t="s">
        <v>6186</v>
      </c>
      <c r="I169" s="42" t="s">
        <v>6221</v>
      </c>
      <c r="J169" s="40" t="s">
        <v>15</v>
      </c>
      <c r="K169" s="44">
        <v>0.322916666656965</v>
      </c>
      <c r="L169" s="42" t="s">
        <v>6412</v>
      </c>
      <c r="M169" s="42" t="s">
        <v>6186</v>
      </c>
      <c r="N169" s="42" t="s">
        <v>6186</v>
      </c>
      <c r="O169" s="42" t="s">
        <v>6186</v>
      </c>
      <c r="P169" s="42" t="s">
        <v>6186</v>
      </c>
    </row>
    <row r="170" spans="1:16" ht="14.25" customHeight="1" x14ac:dyDescent="0.15">
      <c r="A170" s="42" t="s">
        <v>6222</v>
      </c>
      <c r="B170" s="40" t="s">
        <v>13</v>
      </c>
      <c r="C170" s="44">
        <v>0.32777777776937</v>
      </c>
      <c r="D170" s="45" t="s">
        <v>6413</v>
      </c>
      <c r="E170" s="42" t="s">
        <v>6186</v>
      </c>
      <c r="F170" s="42" t="s">
        <v>6186</v>
      </c>
      <c r="G170" s="42" t="s">
        <v>6186</v>
      </c>
      <c r="H170" s="42" t="s">
        <v>6186</v>
      </c>
      <c r="I170" s="42" t="s">
        <v>6224</v>
      </c>
      <c r="J170" s="40" t="s">
        <v>16</v>
      </c>
      <c r="K170" s="44">
        <v>0.32083333333139302</v>
      </c>
      <c r="L170" s="42" t="s">
        <v>6414</v>
      </c>
      <c r="M170" s="42" t="s">
        <v>6186</v>
      </c>
      <c r="N170" s="42" t="s">
        <v>6186</v>
      </c>
      <c r="O170" s="42" t="s">
        <v>6186</v>
      </c>
      <c r="P170" s="42" t="s">
        <v>6186</v>
      </c>
    </row>
    <row r="171" spans="1:16" ht="14.25" customHeight="1" x14ac:dyDescent="0.15">
      <c r="A171" s="42" t="s">
        <v>6225</v>
      </c>
      <c r="B171" s="40" t="s">
        <v>15</v>
      </c>
      <c r="C171" s="44">
        <v>0.33194444444961801</v>
      </c>
      <c r="D171" s="45" t="s">
        <v>6358</v>
      </c>
      <c r="E171" s="42" t="s">
        <v>6186</v>
      </c>
      <c r="F171" s="42" t="s">
        <v>6186</v>
      </c>
      <c r="G171" s="42" t="s">
        <v>6186</v>
      </c>
      <c r="H171" s="42" t="s">
        <v>6186</v>
      </c>
      <c r="I171" s="42" t="s">
        <v>6227</v>
      </c>
      <c r="J171" s="40" t="s">
        <v>17</v>
      </c>
      <c r="K171" s="44">
        <v>0.329166666666667</v>
      </c>
      <c r="L171" s="42" t="s">
        <v>6415</v>
      </c>
      <c r="M171" s="42" t="s">
        <v>6186</v>
      </c>
      <c r="N171" s="42" t="s">
        <v>6186</v>
      </c>
      <c r="O171" s="42" t="s">
        <v>6186</v>
      </c>
      <c r="P171" s="42" t="s">
        <v>6186</v>
      </c>
    </row>
    <row r="172" spans="1:16" ht="14.25" customHeight="1" x14ac:dyDescent="0.15">
      <c r="A172" s="42" t="s">
        <v>6228</v>
      </c>
      <c r="B172" s="40" t="s">
        <v>16</v>
      </c>
      <c r="C172" s="44">
        <v>0.33194444444961801</v>
      </c>
      <c r="D172" s="45" t="s">
        <v>6137</v>
      </c>
      <c r="E172" s="42" t="s">
        <v>6186</v>
      </c>
      <c r="F172" s="42" t="s">
        <v>6186</v>
      </c>
      <c r="G172" s="42" t="s">
        <v>6186</v>
      </c>
      <c r="H172" s="42" t="s">
        <v>6186</v>
      </c>
      <c r="I172" s="42" t="s">
        <v>6230</v>
      </c>
      <c r="J172" s="40" t="s">
        <v>18</v>
      </c>
      <c r="K172" s="44">
        <v>0.32986111112404598</v>
      </c>
      <c r="L172" s="45" t="s">
        <v>6382</v>
      </c>
      <c r="M172" s="42" t="s">
        <v>6186</v>
      </c>
      <c r="N172" s="42" t="s">
        <v>6186</v>
      </c>
      <c r="O172" s="42" t="s">
        <v>6186</v>
      </c>
      <c r="P172" s="42" t="s">
        <v>6186</v>
      </c>
    </row>
    <row r="173" spans="1:16" ht="14.25" customHeight="1" x14ac:dyDescent="0.15">
      <c r="A173" s="42" t="s">
        <v>6231</v>
      </c>
      <c r="B173" s="40" t="s">
        <v>17</v>
      </c>
      <c r="C173" s="44">
        <v>0.33194444444961801</v>
      </c>
      <c r="D173" s="45" t="s">
        <v>6416</v>
      </c>
      <c r="E173" s="42" t="s">
        <v>6186</v>
      </c>
      <c r="F173" s="42" t="s">
        <v>6186</v>
      </c>
      <c r="G173" s="42" t="s">
        <v>6186</v>
      </c>
      <c r="H173" s="42" t="s">
        <v>6186</v>
      </c>
      <c r="I173" s="42" t="s">
        <v>6234</v>
      </c>
      <c r="J173" s="40" t="s">
        <v>11</v>
      </c>
      <c r="K173" s="42" t="s">
        <v>6186</v>
      </c>
      <c r="L173" s="42" t="s">
        <v>6186</v>
      </c>
      <c r="M173" s="42" t="s">
        <v>6186</v>
      </c>
      <c r="N173" s="42" t="s">
        <v>6186</v>
      </c>
      <c r="O173" s="42" t="s">
        <v>6186</v>
      </c>
      <c r="P173" s="42" t="s">
        <v>6186</v>
      </c>
    </row>
    <row r="174" spans="1:16" ht="14.25" customHeight="1" x14ac:dyDescent="0.15">
      <c r="A174" s="42" t="s">
        <v>6235</v>
      </c>
      <c r="B174" s="40" t="s">
        <v>18</v>
      </c>
      <c r="C174" s="44">
        <v>0.32916666666278599</v>
      </c>
      <c r="D174" s="45" t="s">
        <v>6275</v>
      </c>
      <c r="E174" s="42" t="s">
        <v>6186</v>
      </c>
      <c r="F174" s="42" t="s">
        <v>6186</v>
      </c>
      <c r="G174" s="42" t="s">
        <v>6186</v>
      </c>
      <c r="H174" s="42" t="s">
        <v>6186</v>
      </c>
      <c r="I174" s="42" t="s">
        <v>12</v>
      </c>
      <c r="J174" s="42" t="s">
        <v>12</v>
      </c>
      <c r="K174" s="42" t="s">
        <v>12</v>
      </c>
      <c r="L174" s="42" t="s">
        <v>12</v>
      </c>
      <c r="M174" s="42" t="s">
        <v>12</v>
      </c>
      <c r="N174" s="42" t="s">
        <v>12</v>
      </c>
      <c r="O174" s="42" t="s">
        <v>12</v>
      </c>
      <c r="P174" s="42" t="s">
        <v>12</v>
      </c>
    </row>
    <row r="175" spans="1:16" ht="14.25" customHeight="1" x14ac:dyDescent="0.15">
      <c r="A175" s="35"/>
      <c r="C175" s="46"/>
      <c r="D175" s="46"/>
      <c r="E175" s="46"/>
      <c r="F175" s="46"/>
      <c r="G175" s="47"/>
      <c r="H175" s="47"/>
      <c r="I175" s="36"/>
      <c r="M175" s="131" t="s">
        <v>6237</v>
      </c>
      <c r="N175" s="131"/>
      <c r="O175" s="131"/>
      <c r="P175" s="131"/>
    </row>
    <row r="176" spans="1:16" ht="14.25" customHeight="1" x14ac:dyDescent="0.15">
      <c r="A176" s="34"/>
    </row>
    <row r="177" spans="1:16" ht="14.25" customHeight="1" x14ac:dyDescent="0.15">
      <c r="A177" s="34"/>
    </row>
    <row r="178" spans="1:16" ht="14.25" customHeight="1" x14ac:dyDescent="0.15">
      <c r="A178" s="35"/>
      <c r="B178" s="36"/>
    </row>
    <row r="179" spans="1:16" ht="14.25" customHeight="1" x14ac:dyDescent="0.15">
      <c r="A179" s="124" t="s">
        <v>6178</v>
      </c>
      <c r="B179" s="125"/>
      <c r="C179" s="125"/>
      <c r="D179" s="126"/>
      <c r="E179" s="124" t="s">
        <v>6417</v>
      </c>
      <c r="F179" s="125"/>
      <c r="G179" s="126"/>
      <c r="H179" s="124" t="s">
        <v>6418</v>
      </c>
      <c r="I179" s="126"/>
      <c r="J179" s="125" t="s">
        <v>6181</v>
      </c>
      <c r="K179" s="125"/>
      <c r="L179" s="126"/>
      <c r="M179" s="124" t="s">
        <v>6182</v>
      </c>
      <c r="N179" s="125"/>
      <c r="O179" s="125"/>
      <c r="P179" s="126"/>
    </row>
    <row r="180" spans="1:16" ht="14.25" customHeight="1" x14ac:dyDescent="0.15">
      <c r="A180" s="124" t="s">
        <v>6419</v>
      </c>
      <c r="B180" s="125"/>
      <c r="C180" s="125"/>
      <c r="D180" s="125"/>
      <c r="E180" s="125"/>
      <c r="F180" s="125"/>
      <c r="G180" s="125"/>
      <c r="H180" s="125"/>
      <c r="I180" s="125"/>
      <c r="J180" s="125"/>
      <c r="K180" s="125"/>
      <c r="L180" s="125"/>
      <c r="M180" s="125"/>
      <c r="N180" s="125"/>
      <c r="O180" s="125"/>
      <c r="P180" s="126"/>
    </row>
    <row r="181" spans="1:16" ht="14.25" customHeight="1" x14ac:dyDescent="0.15">
      <c r="A181" s="124" t="s">
        <v>6184</v>
      </c>
      <c r="B181" s="125"/>
      <c r="C181" s="125"/>
      <c r="D181" s="125"/>
      <c r="E181" s="125"/>
      <c r="F181" s="125"/>
      <c r="G181" s="125"/>
      <c r="H181" s="125"/>
      <c r="I181" s="125"/>
      <c r="J181" s="125"/>
      <c r="K181" s="125"/>
      <c r="L181" s="125"/>
      <c r="M181" s="125"/>
      <c r="N181" s="125"/>
      <c r="O181" s="125"/>
      <c r="P181" s="126"/>
    </row>
    <row r="182" spans="1:16" ht="14.25" customHeight="1" x14ac:dyDescent="0.15">
      <c r="A182" s="37"/>
      <c r="B182" s="38"/>
      <c r="C182" s="127" t="s">
        <v>4</v>
      </c>
      <c r="D182" s="128"/>
      <c r="E182" s="129" t="s">
        <v>5</v>
      </c>
      <c r="F182" s="130"/>
      <c r="G182" s="129" t="s">
        <v>6</v>
      </c>
      <c r="H182" s="130"/>
      <c r="I182" s="38"/>
      <c r="J182" s="38"/>
      <c r="K182" s="127" t="s">
        <v>4</v>
      </c>
      <c r="L182" s="128"/>
      <c r="M182" s="129" t="s">
        <v>5</v>
      </c>
      <c r="N182" s="130"/>
      <c r="O182" s="129" t="s">
        <v>6</v>
      </c>
      <c r="P182" s="130"/>
    </row>
    <row r="183" spans="1:16" ht="24" customHeight="1" x14ac:dyDescent="0.15">
      <c r="A183" s="39" t="s">
        <v>7</v>
      </c>
      <c r="B183" s="40" t="s">
        <v>8</v>
      </c>
      <c r="C183" s="41" t="s">
        <v>9</v>
      </c>
      <c r="D183" s="41" t="s">
        <v>10</v>
      </c>
      <c r="E183" s="41" t="s">
        <v>9</v>
      </c>
      <c r="F183" s="41" t="s">
        <v>10</v>
      </c>
      <c r="G183" s="41" t="s">
        <v>9</v>
      </c>
      <c r="H183" s="41" t="s">
        <v>10</v>
      </c>
      <c r="I183" s="48" t="s">
        <v>7</v>
      </c>
      <c r="J183" s="40" t="s">
        <v>8</v>
      </c>
      <c r="K183" s="41" t="s">
        <v>9</v>
      </c>
      <c r="L183" s="41" t="s">
        <v>10</v>
      </c>
      <c r="M183" s="41" t="s">
        <v>9</v>
      </c>
      <c r="N183" s="41" t="s">
        <v>10</v>
      </c>
      <c r="O183" s="41" t="s">
        <v>9</v>
      </c>
      <c r="P183" s="41" t="s">
        <v>10</v>
      </c>
    </row>
    <row r="184" spans="1:16" ht="14.25" customHeight="1" x14ac:dyDescent="0.15">
      <c r="A184" s="42" t="s">
        <v>6185</v>
      </c>
      <c r="B184" s="40" t="s">
        <v>17</v>
      </c>
      <c r="C184" s="42"/>
      <c r="D184" s="42"/>
      <c r="E184" s="42" t="s">
        <v>6186</v>
      </c>
      <c r="F184" s="42" t="s">
        <v>6186</v>
      </c>
      <c r="G184" s="42" t="s">
        <v>6186</v>
      </c>
      <c r="H184" s="42" t="s">
        <v>6186</v>
      </c>
      <c r="I184" s="42" t="s">
        <v>6187</v>
      </c>
      <c r="J184" s="40" t="s">
        <v>11</v>
      </c>
      <c r="K184" s="42" t="s">
        <v>6186</v>
      </c>
      <c r="L184" s="42" t="s">
        <v>6186</v>
      </c>
      <c r="M184" s="42" t="s">
        <v>6186</v>
      </c>
      <c r="N184" s="42" t="s">
        <v>6186</v>
      </c>
      <c r="O184" s="42" t="s">
        <v>6186</v>
      </c>
      <c r="P184" s="42" t="s">
        <v>6186</v>
      </c>
    </row>
    <row r="185" spans="1:16" ht="14.25" customHeight="1" x14ac:dyDescent="0.15">
      <c r="A185" s="42" t="s">
        <v>6190</v>
      </c>
      <c r="B185" s="40" t="s">
        <v>18</v>
      </c>
      <c r="C185" s="42"/>
      <c r="D185" s="42"/>
      <c r="E185" s="42" t="s">
        <v>6186</v>
      </c>
      <c r="F185" s="42" t="s">
        <v>6186</v>
      </c>
      <c r="G185" s="42" t="s">
        <v>6186</v>
      </c>
      <c r="H185" s="42" t="s">
        <v>6186</v>
      </c>
      <c r="I185" s="42" t="s">
        <v>6191</v>
      </c>
      <c r="J185" s="40" t="s">
        <v>14</v>
      </c>
      <c r="K185" s="42" t="s">
        <v>6186</v>
      </c>
      <c r="L185" s="42" t="s">
        <v>6186</v>
      </c>
      <c r="M185" s="42" t="s">
        <v>6186</v>
      </c>
      <c r="N185" s="42" t="s">
        <v>6186</v>
      </c>
      <c r="O185" s="42" t="s">
        <v>6186</v>
      </c>
      <c r="P185" s="42" t="s">
        <v>6186</v>
      </c>
    </row>
    <row r="186" spans="1:16" ht="14.25" customHeight="1" x14ac:dyDescent="0.15">
      <c r="A186" s="42" t="s">
        <v>6194</v>
      </c>
      <c r="B186" s="40" t="s">
        <v>11</v>
      </c>
      <c r="C186" s="42"/>
      <c r="D186" s="42"/>
      <c r="E186" s="42" t="s">
        <v>6186</v>
      </c>
      <c r="F186" s="42" t="s">
        <v>6186</v>
      </c>
      <c r="G186" s="42" t="s">
        <v>6186</v>
      </c>
      <c r="H186" s="42" t="s">
        <v>6186</v>
      </c>
      <c r="I186" s="42" t="s">
        <v>6195</v>
      </c>
      <c r="J186" s="40" t="s">
        <v>13</v>
      </c>
      <c r="K186" s="42" t="s">
        <v>6186</v>
      </c>
      <c r="L186" s="42" t="s">
        <v>6186</v>
      </c>
      <c r="M186" s="42" t="s">
        <v>6186</v>
      </c>
      <c r="N186" s="42" t="s">
        <v>6186</v>
      </c>
      <c r="O186" s="42" t="s">
        <v>6186</v>
      </c>
      <c r="P186" s="42" t="s">
        <v>6186</v>
      </c>
    </row>
    <row r="187" spans="1:16" ht="14.25" customHeight="1" x14ac:dyDescent="0.15">
      <c r="A187" s="42" t="s">
        <v>6198</v>
      </c>
      <c r="B187" s="40" t="s">
        <v>14</v>
      </c>
      <c r="C187" s="42"/>
      <c r="D187" s="42"/>
      <c r="E187" s="42" t="s">
        <v>6186</v>
      </c>
      <c r="F187" s="42" t="s">
        <v>6186</v>
      </c>
      <c r="G187" s="42" t="s">
        <v>6186</v>
      </c>
      <c r="H187" s="42" t="s">
        <v>6186</v>
      </c>
      <c r="I187" s="42" t="s">
        <v>6199</v>
      </c>
      <c r="J187" s="40" t="s">
        <v>15</v>
      </c>
      <c r="K187" s="42" t="s">
        <v>6186</v>
      </c>
      <c r="L187" s="42" t="s">
        <v>6186</v>
      </c>
      <c r="M187" s="42" t="s">
        <v>6186</v>
      </c>
      <c r="N187" s="42" t="s">
        <v>6186</v>
      </c>
      <c r="O187" s="42" t="s">
        <v>6186</v>
      </c>
      <c r="P187" s="42" t="s">
        <v>6186</v>
      </c>
    </row>
    <row r="188" spans="1:16" ht="14.25" customHeight="1" x14ac:dyDescent="0.15">
      <c r="A188" s="42" t="s">
        <v>6202</v>
      </c>
      <c r="B188" s="40" t="s">
        <v>13</v>
      </c>
      <c r="C188" s="42"/>
      <c r="D188" s="42"/>
      <c r="E188" s="42" t="s">
        <v>6186</v>
      </c>
      <c r="F188" s="42" t="s">
        <v>6186</v>
      </c>
      <c r="G188" s="42" t="s">
        <v>6186</v>
      </c>
      <c r="H188" s="42" t="s">
        <v>6186</v>
      </c>
      <c r="I188" s="42" t="s">
        <v>6203</v>
      </c>
      <c r="J188" s="40" t="s">
        <v>16</v>
      </c>
      <c r="K188" s="42" t="s">
        <v>6186</v>
      </c>
      <c r="L188" s="42" t="s">
        <v>6186</v>
      </c>
      <c r="M188" s="42" t="s">
        <v>6186</v>
      </c>
      <c r="N188" s="42" t="s">
        <v>6186</v>
      </c>
      <c r="O188" s="42" t="s">
        <v>6186</v>
      </c>
      <c r="P188" s="42" t="s">
        <v>6186</v>
      </c>
    </row>
    <row r="189" spans="1:16" ht="14.25" customHeight="1" x14ac:dyDescent="0.15">
      <c r="A189" s="42" t="s">
        <v>6204</v>
      </c>
      <c r="B189" s="40" t="s">
        <v>15</v>
      </c>
      <c r="C189" s="42"/>
      <c r="D189" s="42"/>
      <c r="E189" s="42" t="s">
        <v>6186</v>
      </c>
      <c r="F189" s="42" t="s">
        <v>6186</v>
      </c>
      <c r="G189" s="42" t="s">
        <v>6186</v>
      </c>
      <c r="H189" s="42" t="s">
        <v>6186</v>
      </c>
      <c r="I189" s="42" t="s">
        <v>6205</v>
      </c>
      <c r="J189" s="40" t="s">
        <v>17</v>
      </c>
      <c r="K189" s="42" t="s">
        <v>6186</v>
      </c>
      <c r="L189" s="42" t="s">
        <v>6186</v>
      </c>
      <c r="M189" s="42" t="s">
        <v>6186</v>
      </c>
      <c r="N189" s="42" t="s">
        <v>6186</v>
      </c>
      <c r="O189" s="42" t="s">
        <v>6186</v>
      </c>
      <c r="P189" s="42" t="s">
        <v>6186</v>
      </c>
    </row>
    <row r="190" spans="1:16" ht="14.25" customHeight="1" x14ac:dyDescent="0.15">
      <c r="A190" s="42" t="s">
        <v>6206</v>
      </c>
      <c r="B190" s="40" t="s">
        <v>16</v>
      </c>
      <c r="C190" s="42"/>
      <c r="D190" s="42"/>
      <c r="E190" s="42" t="s">
        <v>6186</v>
      </c>
      <c r="F190" s="42" t="s">
        <v>6186</v>
      </c>
      <c r="G190" s="42" t="s">
        <v>6186</v>
      </c>
      <c r="H190" s="42" t="s">
        <v>6186</v>
      </c>
      <c r="I190" s="42" t="s">
        <v>6207</v>
      </c>
      <c r="J190" s="40" t="s">
        <v>18</v>
      </c>
      <c r="K190" s="42" t="s">
        <v>6186</v>
      </c>
      <c r="L190" s="42" t="s">
        <v>6186</v>
      </c>
      <c r="M190" s="42" t="s">
        <v>6186</v>
      </c>
      <c r="N190" s="42" t="s">
        <v>6186</v>
      </c>
      <c r="O190" s="42" t="s">
        <v>6186</v>
      </c>
      <c r="P190" s="42" t="s">
        <v>6186</v>
      </c>
    </row>
    <row r="191" spans="1:16" ht="14.25" customHeight="1" x14ac:dyDescent="0.15">
      <c r="A191" s="42" t="s">
        <v>6208</v>
      </c>
      <c r="B191" s="40" t="s">
        <v>17</v>
      </c>
      <c r="C191" s="44">
        <v>0.32986111112404598</v>
      </c>
      <c r="D191" s="45" t="s">
        <v>6364</v>
      </c>
      <c r="E191" s="42" t="s">
        <v>6186</v>
      </c>
      <c r="F191" s="42" t="s">
        <v>6186</v>
      </c>
      <c r="G191" s="42" t="s">
        <v>6186</v>
      </c>
      <c r="H191" s="42" t="s">
        <v>6186</v>
      </c>
      <c r="I191" s="42" t="s">
        <v>6211</v>
      </c>
      <c r="J191" s="40" t="s">
        <v>11</v>
      </c>
      <c r="K191" s="42" t="s">
        <v>6186</v>
      </c>
      <c r="L191" s="42" t="s">
        <v>6186</v>
      </c>
      <c r="M191" s="42" t="s">
        <v>6186</v>
      </c>
      <c r="N191" s="42" t="s">
        <v>6186</v>
      </c>
      <c r="O191" s="42" t="s">
        <v>6186</v>
      </c>
      <c r="P191" s="42" t="s">
        <v>6186</v>
      </c>
    </row>
    <row r="192" spans="1:16" ht="14.25" customHeight="1" x14ac:dyDescent="0.15">
      <c r="A192" s="42" t="s">
        <v>6212</v>
      </c>
      <c r="B192" s="40" t="s">
        <v>18</v>
      </c>
      <c r="C192" s="44">
        <v>0.32708333333721401</v>
      </c>
      <c r="D192" s="45" t="s">
        <v>6156</v>
      </c>
      <c r="E192" s="42" t="s">
        <v>6186</v>
      </c>
      <c r="F192" s="42" t="s">
        <v>6186</v>
      </c>
      <c r="G192" s="42" t="s">
        <v>6186</v>
      </c>
      <c r="H192" s="42" t="s">
        <v>6186</v>
      </c>
      <c r="I192" s="42" t="s">
        <v>6215</v>
      </c>
      <c r="J192" s="40" t="s">
        <v>14</v>
      </c>
      <c r="K192" s="42" t="s">
        <v>6186</v>
      </c>
      <c r="L192" s="42" t="s">
        <v>6186</v>
      </c>
      <c r="M192" s="42" t="s">
        <v>6186</v>
      </c>
      <c r="N192" s="42" t="s">
        <v>6186</v>
      </c>
      <c r="O192" s="42" t="s">
        <v>6186</v>
      </c>
      <c r="P192" s="42" t="s">
        <v>6186</v>
      </c>
    </row>
    <row r="193" spans="1:16" ht="14.25" customHeight="1" x14ac:dyDescent="0.15">
      <c r="A193" s="42" t="s">
        <v>6216</v>
      </c>
      <c r="B193" s="40" t="s">
        <v>11</v>
      </c>
      <c r="C193" s="45"/>
      <c r="D193" s="45"/>
      <c r="E193" s="42" t="s">
        <v>6186</v>
      </c>
      <c r="F193" s="42" t="s">
        <v>6186</v>
      </c>
      <c r="G193" s="42" t="s">
        <v>6186</v>
      </c>
      <c r="H193" s="42" t="s">
        <v>6186</v>
      </c>
      <c r="I193" s="42" t="s">
        <v>6219</v>
      </c>
      <c r="J193" s="40" t="s">
        <v>13</v>
      </c>
      <c r="K193" s="42" t="s">
        <v>6186</v>
      </c>
      <c r="L193" s="42" t="s">
        <v>6186</v>
      </c>
      <c r="M193" s="42" t="s">
        <v>6186</v>
      </c>
      <c r="N193" s="42" t="s">
        <v>6186</v>
      </c>
      <c r="O193" s="42" t="s">
        <v>6186</v>
      </c>
      <c r="P193" s="42" t="s">
        <v>6186</v>
      </c>
    </row>
    <row r="194" spans="1:16" ht="14.25" customHeight="1" x14ac:dyDescent="0.15">
      <c r="A194" s="42" t="s">
        <v>6220</v>
      </c>
      <c r="B194" s="40" t="s">
        <v>14</v>
      </c>
      <c r="C194" s="42" t="s">
        <v>6186</v>
      </c>
      <c r="D194" s="42" t="s">
        <v>6186</v>
      </c>
      <c r="E194" s="42" t="s">
        <v>6186</v>
      </c>
      <c r="F194" s="42" t="s">
        <v>6186</v>
      </c>
      <c r="G194" s="42" t="s">
        <v>6186</v>
      </c>
      <c r="H194" s="42" t="s">
        <v>6186</v>
      </c>
      <c r="I194" s="42" t="s">
        <v>6221</v>
      </c>
      <c r="J194" s="40" t="s">
        <v>15</v>
      </c>
      <c r="K194" s="42" t="s">
        <v>6186</v>
      </c>
      <c r="L194" s="42" t="s">
        <v>6186</v>
      </c>
      <c r="M194" s="42" t="s">
        <v>6186</v>
      </c>
      <c r="N194" s="42" t="s">
        <v>6186</v>
      </c>
      <c r="O194" s="42" t="s">
        <v>6186</v>
      </c>
      <c r="P194" s="42" t="s">
        <v>6186</v>
      </c>
    </row>
    <row r="195" spans="1:16" ht="14.25" customHeight="1" x14ac:dyDescent="0.15">
      <c r="A195" s="42" t="s">
        <v>6222</v>
      </c>
      <c r="B195" s="40" t="s">
        <v>13</v>
      </c>
      <c r="C195" s="42" t="s">
        <v>6186</v>
      </c>
      <c r="D195" s="42" t="s">
        <v>6186</v>
      </c>
      <c r="E195" s="42" t="s">
        <v>6186</v>
      </c>
      <c r="F195" s="42" t="s">
        <v>6186</v>
      </c>
      <c r="G195" s="42" t="s">
        <v>6186</v>
      </c>
      <c r="H195" s="42" t="s">
        <v>6186</v>
      </c>
      <c r="I195" s="42" t="s">
        <v>6224</v>
      </c>
      <c r="J195" s="40" t="s">
        <v>16</v>
      </c>
      <c r="K195" s="42" t="s">
        <v>6186</v>
      </c>
      <c r="L195" s="42" t="s">
        <v>6186</v>
      </c>
      <c r="M195" s="42" t="s">
        <v>6186</v>
      </c>
      <c r="N195" s="42" t="s">
        <v>6186</v>
      </c>
      <c r="O195" s="42" t="s">
        <v>6186</v>
      </c>
      <c r="P195" s="42" t="s">
        <v>6186</v>
      </c>
    </row>
    <row r="196" spans="1:16" ht="14.25" customHeight="1" x14ac:dyDescent="0.15">
      <c r="A196" s="42" t="s">
        <v>6225</v>
      </c>
      <c r="B196" s="40" t="s">
        <v>15</v>
      </c>
      <c r="C196" s="42" t="s">
        <v>6186</v>
      </c>
      <c r="D196" s="42" t="s">
        <v>6186</v>
      </c>
      <c r="E196" s="42" t="s">
        <v>6186</v>
      </c>
      <c r="F196" s="42" t="s">
        <v>6186</v>
      </c>
      <c r="G196" s="42" t="s">
        <v>6186</v>
      </c>
      <c r="H196" s="42" t="s">
        <v>6186</v>
      </c>
      <c r="I196" s="42" t="s">
        <v>6227</v>
      </c>
      <c r="J196" s="40" t="s">
        <v>17</v>
      </c>
      <c r="K196" s="42" t="s">
        <v>6186</v>
      </c>
      <c r="L196" s="42" t="s">
        <v>6186</v>
      </c>
      <c r="M196" s="42" t="s">
        <v>6186</v>
      </c>
      <c r="N196" s="42" t="s">
        <v>6186</v>
      </c>
      <c r="O196" s="42" t="s">
        <v>6186</v>
      </c>
      <c r="P196" s="42" t="s">
        <v>6186</v>
      </c>
    </row>
    <row r="197" spans="1:16" ht="14.25" customHeight="1" x14ac:dyDescent="0.15">
      <c r="A197" s="42" t="s">
        <v>6228</v>
      </c>
      <c r="B197" s="40" t="s">
        <v>16</v>
      </c>
      <c r="C197" s="42" t="s">
        <v>6186</v>
      </c>
      <c r="D197" s="42" t="s">
        <v>6186</v>
      </c>
      <c r="E197" s="42" t="s">
        <v>6186</v>
      </c>
      <c r="F197" s="42" t="s">
        <v>6186</v>
      </c>
      <c r="G197" s="42" t="s">
        <v>6186</v>
      </c>
      <c r="H197" s="42" t="s">
        <v>6186</v>
      </c>
      <c r="I197" s="42" t="s">
        <v>6230</v>
      </c>
      <c r="J197" s="40" t="s">
        <v>18</v>
      </c>
      <c r="K197" s="42" t="s">
        <v>6186</v>
      </c>
      <c r="L197" s="42" t="s">
        <v>6186</v>
      </c>
      <c r="M197" s="42" t="s">
        <v>6186</v>
      </c>
      <c r="N197" s="42" t="s">
        <v>6186</v>
      </c>
      <c r="O197" s="42" t="s">
        <v>6186</v>
      </c>
      <c r="P197" s="42" t="s">
        <v>6186</v>
      </c>
    </row>
    <row r="198" spans="1:16" ht="14.25" customHeight="1" x14ac:dyDescent="0.15">
      <c r="A198" s="42" t="s">
        <v>6231</v>
      </c>
      <c r="B198" s="40" t="s">
        <v>17</v>
      </c>
      <c r="C198" s="42" t="s">
        <v>6186</v>
      </c>
      <c r="D198" s="42" t="s">
        <v>6186</v>
      </c>
      <c r="E198" s="42" t="s">
        <v>6186</v>
      </c>
      <c r="F198" s="42" t="s">
        <v>6186</v>
      </c>
      <c r="G198" s="42" t="s">
        <v>6186</v>
      </c>
      <c r="H198" s="42" t="s">
        <v>6186</v>
      </c>
      <c r="I198" s="42" t="s">
        <v>6234</v>
      </c>
      <c r="J198" s="40" t="s">
        <v>11</v>
      </c>
      <c r="K198" s="42" t="s">
        <v>6186</v>
      </c>
      <c r="L198" s="42" t="s">
        <v>6186</v>
      </c>
      <c r="M198" s="42" t="s">
        <v>6186</v>
      </c>
      <c r="N198" s="42" t="s">
        <v>6186</v>
      </c>
      <c r="O198" s="42" t="s">
        <v>6186</v>
      </c>
      <c r="P198" s="42" t="s">
        <v>6186</v>
      </c>
    </row>
    <row r="199" spans="1:16" ht="14.25" customHeight="1" x14ac:dyDescent="0.15">
      <c r="A199" s="42" t="s">
        <v>6235</v>
      </c>
      <c r="B199" s="40" t="s">
        <v>18</v>
      </c>
      <c r="C199" s="42" t="s">
        <v>6186</v>
      </c>
      <c r="D199" s="42" t="s">
        <v>6186</v>
      </c>
      <c r="E199" s="42" t="s">
        <v>6186</v>
      </c>
      <c r="F199" s="42" t="s">
        <v>6186</v>
      </c>
      <c r="G199" s="42" t="s">
        <v>6186</v>
      </c>
      <c r="H199" s="42" t="s">
        <v>6186</v>
      </c>
      <c r="I199" s="42" t="s">
        <v>12</v>
      </c>
      <c r="J199" s="42" t="s">
        <v>12</v>
      </c>
      <c r="K199" s="42" t="s">
        <v>12</v>
      </c>
      <c r="L199" s="42" t="s">
        <v>12</v>
      </c>
      <c r="M199" s="42" t="s">
        <v>12</v>
      </c>
      <c r="N199" s="42" t="s">
        <v>12</v>
      </c>
      <c r="O199" s="42" t="s">
        <v>12</v>
      </c>
      <c r="P199" s="42" t="s">
        <v>12</v>
      </c>
    </row>
    <row r="200" spans="1:16" ht="14.25" customHeight="1" x14ac:dyDescent="0.15">
      <c r="A200" s="35"/>
      <c r="C200" s="46"/>
      <c r="D200" s="46"/>
      <c r="E200" s="46"/>
      <c r="F200" s="46"/>
      <c r="G200" s="47"/>
      <c r="H200" s="47"/>
      <c r="I200" s="36"/>
      <c r="M200" s="131" t="s">
        <v>6237</v>
      </c>
      <c r="N200" s="131"/>
      <c r="O200" s="131"/>
      <c r="P200" s="131"/>
    </row>
    <row r="201" spans="1:16" ht="14.25" customHeight="1" x14ac:dyDescent="0.15">
      <c r="A201" s="34"/>
    </row>
    <row r="202" spans="1:16" ht="14.25" customHeight="1" x14ac:dyDescent="0.15">
      <c r="A202" s="34"/>
    </row>
    <row r="203" spans="1:16" ht="14.25" customHeight="1" x14ac:dyDescent="0.15">
      <c r="A203" s="35"/>
      <c r="B203" s="36"/>
    </row>
    <row r="204" spans="1:16" ht="14.25" customHeight="1" x14ac:dyDescent="0.15">
      <c r="A204" s="124" t="s">
        <v>6178</v>
      </c>
      <c r="B204" s="125"/>
      <c r="C204" s="125"/>
      <c r="D204" s="126"/>
      <c r="E204" s="124" t="s">
        <v>6420</v>
      </c>
      <c r="F204" s="125"/>
      <c r="G204" s="126"/>
      <c r="H204" s="124" t="s">
        <v>6421</v>
      </c>
      <c r="I204" s="126"/>
      <c r="J204" s="125" t="s">
        <v>6181</v>
      </c>
      <c r="K204" s="125"/>
      <c r="L204" s="126"/>
      <c r="M204" s="124" t="s">
        <v>6182</v>
      </c>
      <c r="N204" s="125"/>
      <c r="O204" s="125"/>
      <c r="P204" s="126"/>
    </row>
    <row r="205" spans="1:16" ht="14.25" customHeight="1" x14ac:dyDescent="0.15">
      <c r="A205" s="124" t="s">
        <v>6422</v>
      </c>
      <c r="B205" s="125"/>
      <c r="C205" s="125"/>
      <c r="D205" s="125"/>
      <c r="E205" s="125"/>
      <c r="F205" s="125"/>
      <c r="G205" s="125"/>
      <c r="H205" s="125"/>
      <c r="I205" s="125"/>
      <c r="J205" s="125"/>
      <c r="K205" s="125"/>
      <c r="L205" s="125"/>
      <c r="M205" s="125"/>
      <c r="N205" s="125"/>
      <c r="O205" s="125"/>
      <c r="P205" s="126"/>
    </row>
    <row r="206" spans="1:16" ht="14.25" customHeight="1" x14ac:dyDescent="0.15">
      <c r="A206" s="124" t="s">
        <v>6184</v>
      </c>
      <c r="B206" s="125"/>
      <c r="C206" s="125"/>
      <c r="D206" s="125"/>
      <c r="E206" s="125"/>
      <c r="F206" s="125"/>
      <c r="G206" s="125"/>
      <c r="H206" s="125"/>
      <c r="I206" s="125"/>
      <c r="J206" s="125"/>
      <c r="K206" s="125"/>
      <c r="L206" s="125"/>
      <c r="M206" s="125"/>
      <c r="N206" s="125"/>
      <c r="O206" s="125"/>
      <c r="P206" s="126"/>
    </row>
    <row r="207" spans="1:16" ht="14.25" customHeight="1" x14ac:dyDescent="0.15">
      <c r="A207" s="37"/>
      <c r="B207" s="38"/>
      <c r="C207" s="127" t="s">
        <v>4</v>
      </c>
      <c r="D207" s="128"/>
      <c r="E207" s="129" t="s">
        <v>5</v>
      </c>
      <c r="F207" s="130"/>
      <c r="G207" s="129" t="s">
        <v>6</v>
      </c>
      <c r="H207" s="130"/>
      <c r="I207" s="38"/>
      <c r="J207" s="38"/>
      <c r="K207" s="127" t="s">
        <v>4</v>
      </c>
      <c r="L207" s="128"/>
      <c r="M207" s="129" t="s">
        <v>5</v>
      </c>
      <c r="N207" s="130"/>
      <c r="O207" s="129" t="s">
        <v>6</v>
      </c>
      <c r="P207" s="130"/>
    </row>
    <row r="208" spans="1:16" ht="24" customHeight="1" x14ac:dyDescent="0.15">
      <c r="A208" s="39" t="s">
        <v>7</v>
      </c>
      <c r="B208" s="40" t="s">
        <v>8</v>
      </c>
      <c r="C208" s="41" t="s">
        <v>9</v>
      </c>
      <c r="D208" s="41" t="s">
        <v>10</v>
      </c>
      <c r="E208" s="41" t="s">
        <v>9</v>
      </c>
      <c r="F208" s="41" t="s">
        <v>10</v>
      </c>
      <c r="G208" s="41" t="s">
        <v>9</v>
      </c>
      <c r="H208" s="41" t="s">
        <v>10</v>
      </c>
      <c r="I208" s="48" t="s">
        <v>7</v>
      </c>
      <c r="J208" s="40" t="s">
        <v>8</v>
      </c>
      <c r="K208" s="41" t="s">
        <v>9</v>
      </c>
      <c r="L208" s="41" t="s">
        <v>10</v>
      </c>
      <c r="M208" s="41" t="s">
        <v>9</v>
      </c>
      <c r="N208" s="41" t="s">
        <v>10</v>
      </c>
      <c r="O208" s="41" t="s">
        <v>9</v>
      </c>
      <c r="P208" s="41" t="s">
        <v>10</v>
      </c>
    </row>
    <row r="209" spans="1:16" ht="14.25" customHeight="1" x14ac:dyDescent="0.15">
      <c r="A209" s="42" t="s">
        <v>6185</v>
      </c>
      <c r="B209" s="40" t="s">
        <v>17</v>
      </c>
      <c r="C209" s="42"/>
      <c r="D209" s="42"/>
      <c r="E209" s="42" t="s">
        <v>6186</v>
      </c>
      <c r="F209" s="42" t="s">
        <v>6186</v>
      </c>
      <c r="G209" s="42" t="s">
        <v>6186</v>
      </c>
      <c r="H209" s="42" t="s">
        <v>6186</v>
      </c>
      <c r="I209" s="42" t="s">
        <v>6187</v>
      </c>
      <c r="J209" s="40" t="s">
        <v>11</v>
      </c>
      <c r="K209" s="42" t="s">
        <v>6186</v>
      </c>
      <c r="L209" s="50" t="s">
        <v>6186</v>
      </c>
      <c r="M209" s="42" t="s">
        <v>6186</v>
      </c>
      <c r="N209" s="42" t="s">
        <v>6186</v>
      </c>
      <c r="O209" s="42" t="s">
        <v>6186</v>
      </c>
      <c r="P209" s="42" t="s">
        <v>6186</v>
      </c>
    </row>
    <row r="210" spans="1:16" ht="14.25" customHeight="1" x14ac:dyDescent="0.15">
      <c r="A210" s="42" t="s">
        <v>6190</v>
      </c>
      <c r="B210" s="40" t="s">
        <v>18</v>
      </c>
      <c r="C210" s="42"/>
      <c r="D210" s="42"/>
      <c r="E210" s="42" t="s">
        <v>6186</v>
      </c>
      <c r="F210" s="42" t="s">
        <v>6186</v>
      </c>
      <c r="G210" s="42" t="s">
        <v>6186</v>
      </c>
      <c r="H210" s="42" t="s">
        <v>6186</v>
      </c>
      <c r="I210" s="42" t="s">
        <v>6191</v>
      </c>
      <c r="J210" s="40" t="s">
        <v>14</v>
      </c>
      <c r="K210" s="51">
        <v>0.32222222222480901</v>
      </c>
      <c r="L210" s="52">
        <v>0.71111111110076297</v>
      </c>
      <c r="M210" s="43" t="s">
        <v>6186</v>
      </c>
      <c r="N210" s="43" t="s">
        <v>6186</v>
      </c>
      <c r="O210" s="43" t="s">
        <v>6186</v>
      </c>
      <c r="P210" s="43" t="s">
        <v>6186</v>
      </c>
    </row>
    <row r="211" spans="1:16" ht="14.25" customHeight="1" x14ac:dyDescent="0.15">
      <c r="A211" s="42" t="s">
        <v>6194</v>
      </c>
      <c r="B211" s="40" t="s">
        <v>11</v>
      </c>
      <c r="C211" s="42"/>
      <c r="D211" s="42"/>
      <c r="E211" s="42" t="s">
        <v>6186</v>
      </c>
      <c r="F211" s="42" t="s">
        <v>6186</v>
      </c>
      <c r="G211" s="42" t="s">
        <v>6186</v>
      </c>
      <c r="H211" s="42" t="s">
        <v>6186</v>
      </c>
      <c r="I211" s="42" t="s">
        <v>6195</v>
      </c>
      <c r="J211" s="40" t="s">
        <v>13</v>
      </c>
      <c r="K211" s="44">
        <v>0.33124999998835802</v>
      </c>
      <c r="L211" s="45" t="s">
        <v>6423</v>
      </c>
      <c r="M211" s="42" t="s">
        <v>6186</v>
      </c>
      <c r="N211" s="42" t="s">
        <v>6186</v>
      </c>
      <c r="O211" s="42" t="s">
        <v>6186</v>
      </c>
      <c r="P211" s="42" t="s">
        <v>6186</v>
      </c>
    </row>
    <row r="212" spans="1:16" ht="14.25" customHeight="1" x14ac:dyDescent="0.15">
      <c r="A212" s="42" t="s">
        <v>6198</v>
      </c>
      <c r="B212" s="40" t="s">
        <v>14</v>
      </c>
      <c r="C212" s="42"/>
      <c r="D212" s="42"/>
      <c r="E212" s="42" t="s">
        <v>6186</v>
      </c>
      <c r="F212" s="42" t="s">
        <v>6186</v>
      </c>
      <c r="G212" s="42" t="s">
        <v>6186</v>
      </c>
      <c r="H212" s="42" t="s">
        <v>6186</v>
      </c>
      <c r="I212" s="42" t="s">
        <v>6199</v>
      </c>
      <c r="J212" s="40" t="s">
        <v>15</v>
      </c>
      <c r="K212" s="44">
        <v>0.33124999998835802</v>
      </c>
      <c r="L212" s="45" t="s">
        <v>6424</v>
      </c>
      <c r="M212" s="42" t="s">
        <v>6186</v>
      </c>
      <c r="N212" s="42" t="s">
        <v>6186</v>
      </c>
      <c r="O212" s="42" t="s">
        <v>6186</v>
      </c>
      <c r="P212" s="42" t="s">
        <v>6186</v>
      </c>
    </row>
    <row r="213" spans="1:16" ht="14.25" customHeight="1" x14ac:dyDescent="0.15">
      <c r="A213" s="42" t="s">
        <v>6202</v>
      </c>
      <c r="B213" s="40" t="s">
        <v>13</v>
      </c>
      <c r="C213" s="42"/>
      <c r="D213" s="42"/>
      <c r="E213" s="42" t="s">
        <v>6186</v>
      </c>
      <c r="F213" s="42" t="s">
        <v>6186</v>
      </c>
      <c r="G213" s="42" t="s">
        <v>6186</v>
      </c>
      <c r="H213" s="42" t="s">
        <v>6186</v>
      </c>
      <c r="I213" s="42" t="s">
        <v>6203</v>
      </c>
      <c r="J213" s="40" t="s">
        <v>16</v>
      </c>
      <c r="K213" s="44">
        <v>0.32986111111111099</v>
      </c>
      <c r="L213" s="42" t="s">
        <v>6415</v>
      </c>
      <c r="M213" s="42" t="s">
        <v>6186</v>
      </c>
      <c r="N213" s="42" t="s">
        <v>6186</v>
      </c>
      <c r="O213" s="42" t="s">
        <v>6186</v>
      </c>
      <c r="P213" s="42" t="s">
        <v>6186</v>
      </c>
    </row>
    <row r="214" spans="1:16" ht="14.25" customHeight="1" x14ac:dyDescent="0.15">
      <c r="A214" s="42" t="s">
        <v>6204</v>
      </c>
      <c r="B214" s="40" t="s">
        <v>15</v>
      </c>
      <c r="C214" s="42"/>
      <c r="D214" s="42"/>
      <c r="E214" s="42" t="s">
        <v>6186</v>
      </c>
      <c r="F214" s="42" t="s">
        <v>6186</v>
      </c>
      <c r="G214" s="42" t="s">
        <v>6186</v>
      </c>
      <c r="H214" s="42" t="s">
        <v>6186</v>
      </c>
      <c r="I214" s="42" t="s">
        <v>6205</v>
      </c>
      <c r="J214" s="40" t="s">
        <v>17</v>
      </c>
      <c r="K214" s="44">
        <v>0.32708333333721401</v>
      </c>
      <c r="L214" s="42" t="s">
        <v>6425</v>
      </c>
      <c r="M214" s="42" t="s">
        <v>6186</v>
      </c>
      <c r="N214" s="42" t="s">
        <v>6186</v>
      </c>
      <c r="O214" s="42" t="s">
        <v>6186</v>
      </c>
      <c r="P214" s="42" t="s">
        <v>6186</v>
      </c>
    </row>
    <row r="215" spans="1:16" ht="14.25" customHeight="1" x14ac:dyDescent="0.15">
      <c r="A215" s="42" t="s">
        <v>6206</v>
      </c>
      <c r="B215" s="40" t="s">
        <v>16</v>
      </c>
      <c r="C215" s="42"/>
      <c r="D215" s="42"/>
      <c r="E215" s="42" t="s">
        <v>6186</v>
      </c>
      <c r="F215" s="42" t="s">
        <v>6186</v>
      </c>
      <c r="G215" s="42" t="s">
        <v>6186</v>
      </c>
      <c r="H215" s="42" t="s">
        <v>6186</v>
      </c>
      <c r="I215" s="42" t="s">
        <v>6207</v>
      </c>
      <c r="J215" s="40" t="s">
        <v>18</v>
      </c>
      <c r="K215" s="44">
        <v>0.33055555555555599</v>
      </c>
      <c r="L215" s="42" t="s">
        <v>6426</v>
      </c>
      <c r="M215" s="42" t="s">
        <v>6186</v>
      </c>
      <c r="N215" s="42" t="s">
        <v>6186</v>
      </c>
      <c r="O215" s="42" t="s">
        <v>6186</v>
      </c>
      <c r="P215" s="42" t="s">
        <v>6186</v>
      </c>
    </row>
    <row r="216" spans="1:16" ht="14.25" customHeight="1" x14ac:dyDescent="0.15">
      <c r="A216" s="42" t="s">
        <v>6208</v>
      </c>
      <c r="B216" s="40" t="s">
        <v>17</v>
      </c>
      <c r="C216" s="45" t="s">
        <v>6355</v>
      </c>
      <c r="D216" s="45" t="s">
        <v>6427</v>
      </c>
      <c r="E216" s="45" t="s">
        <v>6186</v>
      </c>
      <c r="F216" s="42" t="s">
        <v>6186</v>
      </c>
      <c r="G216" s="42" t="s">
        <v>6186</v>
      </c>
      <c r="H216" s="42" t="s">
        <v>6186</v>
      </c>
      <c r="I216" s="42" t="s">
        <v>6211</v>
      </c>
      <c r="J216" s="40" t="s">
        <v>11</v>
      </c>
      <c r="K216" s="44">
        <v>0.33055555555555599</v>
      </c>
      <c r="L216" s="42" t="s">
        <v>6428</v>
      </c>
      <c r="M216" s="42" t="s">
        <v>6186</v>
      </c>
      <c r="N216" s="42" t="s">
        <v>6186</v>
      </c>
      <c r="O216" s="42" t="s">
        <v>6186</v>
      </c>
      <c r="P216" s="42" t="s">
        <v>6186</v>
      </c>
    </row>
    <row r="217" spans="1:16" ht="14.25" customHeight="1" x14ac:dyDescent="0.15">
      <c r="A217" s="42" t="s">
        <v>6212</v>
      </c>
      <c r="B217" s="40" t="s">
        <v>18</v>
      </c>
      <c r="C217" s="44">
        <v>0.32986111112404598</v>
      </c>
      <c r="D217" s="45" t="s">
        <v>6115</v>
      </c>
      <c r="E217" s="45" t="s">
        <v>6186</v>
      </c>
      <c r="F217" s="42" t="s">
        <v>6186</v>
      </c>
      <c r="G217" s="42" t="s">
        <v>6186</v>
      </c>
      <c r="H217" s="42" t="s">
        <v>6186</v>
      </c>
      <c r="I217" s="42" t="s">
        <v>6215</v>
      </c>
      <c r="J217" s="53" t="s">
        <v>14</v>
      </c>
      <c r="K217" s="54"/>
      <c r="L217" s="43" t="s">
        <v>6186</v>
      </c>
      <c r="M217" s="43" t="s">
        <v>6186</v>
      </c>
      <c r="N217" s="43" t="s">
        <v>6186</v>
      </c>
      <c r="O217" s="43" t="s">
        <v>6186</v>
      </c>
      <c r="P217" s="43" t="s">
        <v>6186</v>
      </c>
    </row>
    <row r="218" spans="1:16" ht="14.25" customHeight="1" x14ac:dyDescent="0.15">
      <c r="A218" s="42" t="s">
        <v>6216</v>
      </c>
      <c r="B218" s="40" t="s">
        <v>11</v>
      </c>
      <c r="C218" s="44">
        <v>0.32708333333721401</v>
      </c>
      <c r="D218" s="45" t="s">
        <v>6365</v>
      </c>
      <c r="E218" s="45" t="s">
        <v>6186</v>
      </c>
      <c r="F218" s="42" t="s">
        <v>6186</v>
      </c>
      <c r="G218" s="42" t="s">
        <v>6186</v>
      </c>
      <c r="H218" s="42" t="s">
        <v>6186</v>
      </c>
      <c r="I218" s="42" t="s">
        <v>6219</v>
      </c>
      <c r="J218" s="40" t="s">
        <v>13</v>
      </c>
      <c r="K218" s="42" t="s">
        <v>6378</v>
      </c>
      <c r="L218" s="42" t="s">
        <v>6414</v>
      </c>
      <c r="M218" s="43" t="s">
        <v>6186</v>
      </c>
      <c r="N218" s="43" t="s">
        <v>6186</v>
      </c>
      <c r="O218" s="43" t="s">
        <v>6186</v>
      </c>
      <c r="P218" s="43" t="s">
        <v>6186</v>
      </c>
    </row>
    <row r="219" spans="1:16" ht="14.25" customHeight="1" x14ac:dyDescent="0.15">
      <c r="A219" s="42" t="s">
        <v>6220</v>
      </c>
      <c r="B219" s="40" t="s">
        <v>14</v>
      </c>
      <c r="C219" s="44">
        <v>0.33055555555620197</v>
      </c>
      <c r="D219" s="44">
        <v>0.71527777778101198</v>
      </c>
      <c r="E219" s="44" t="s">
        <v>6186</v>
      </c>
      <c r="F219" s="43" t="s">
        <v>6186</v>
      </c>
      <c r="G219" s="43" t="s">
        <v>6186</v>
      </c>
      <c r="H219" s="43" t="s">
        <v>6186</v>
      </c>
      <c r="I219" s="42" t="s">
        <v>6221</v>
      </c>
      <c r="J219" s="40" t="s">
        <v>15</v>
      </c>
      <c r="K219" s="42" t="s">
        <v>6355</v>
      </c>
      <c r="L219" s="42" t="s">
        <v>6429</v>
      </c>
      <c r="M219" s="43" t="s">
        <v>6186</v>
      </c>
      <c r="N219" s="43" t="s">
        <v>6186</v>
      </c>
      <c r="O219" s="43" t="s">
        <v>6186</v>
      </c>
      <c r="P219" s="43" t="s">
        <v>6186</v>
      </c>
    </row>
    <row r="220" spans="1:16" ht="14.25" customHeight="1" x14ac:dyDescent="0.15">
      <c r="A220" s="42" t="s">
        <v>6222</v>
      </c>
      <c r="B220" s="40" t="s">
        <v>13</v>
      </c>
      <c r="C220" s="44">
        <v>0.32569444444379803</v>
      </c>
      <c r="D220" s="45" t="s">
        <v>6358</v>
      </c>
      <c r="E220" s="45" t="s">
        <v>6186</v>
      </c>
      <c r="F220" s="42" t="s">
        <v>6186</v>
      </c>
      <c r="G220" s="42" t="s">
        <v>6186</v>
      </c>
      <c r="H220" s="42" t="s">
        <v>6186</v>
      </c>
      <c r="I220" s="42" t="s">
        <v>6224</v>
      </c>
      <c r="J220" s="40" t="s">
        <v>16</v>
      </c>
      <c r="K220" s="42" t="s">
        <v>6321</v>
      </c>
      <c r="L220" s="42" t="s">
        <v>6430</v>
      </c>
      <c r="M220" s="42" t="s">
        <v>6186</v>
      </c>
      <c r="N220" s="42" t="s">
        <v>6186</v>
      </c>
      <c r="O220" s="42" t="s">
        <v>6186</v>
      </c>
      <c r="P220" s="42" t="s">
        <v>6186</v>
      </c>
    </row>
    <row r="221" spans="1:16" ht="14.25" customHeight="1" x14ac:dyDescent="0.15">
      <c r="A221" s="42" t="s">
        <v>6225</v>
      </c>
      <c r="B221" s="40" t="s">
        <v>15</v>
      </c>
      <c r="C221" s="44">
        <v>0.33124999998835802</v>
      </c>
      <c r="D221" s="45" t="s">
        <v>6364</v>
      </c>
      <c r="E221" s="45" t="s">
        <v>6186</v>
      </c>
      <c r="F221" s="42" t="s">
        <v>6186</v>
      </c>
      <c r="G221" s="42" t="s">
        <v>6186</v>
      </c>
      <c r="H221" s="42" t="s">
        <v>6186</v>
      </c>
      <c r="I221" s="42" t="s">
        <v>6227</v>
      </c>
      <c r="J221" s="40" t="s">
        <v>17</v>
      </c>
      <c r="K221" s="42" t="s">
        <v>6431</v>
      </c>
      <c r="L221" s="42" t="s">
        <v>6415</v>
      </c>
      <c r="M221" s="42" t="s">
        <v>6186</v>
      </c>
      <c r="N221" s="42" t="s">
        <v>6186</v>
      </c>
      <c r="O221" s="42" t="s">
        <v>6186</v>
      </c>
      <c r="P221" s="42" t="s">
        <v>6186</v>
      </c>
    </row>
    <row r="222" spans="1:16" ht="14.25" customHeight="1" x14ac:dyDescent="0.15">
      <c r="A222" s="42" t="s">
        <v>6228</v>
      </c>
      <c r="B222" s="40" t="s">
        <v>16</v>
      </c>
      <c r="C222" s="44">
        <v>0.33194444444961801</v>
      </c>
      <c r="D222" s="45" t="s">
        <v>6432</v>
      </c>
      <c r="E222" s="45" t="s">
        <v>6186</v>
      </c>
      <c r="F222" s="42" t="s">
        <v>6186</v>
      </c>
      <c r="G222" s="42" t="s">
        <v>6186</v>
      </c>
      <c r="H222" s="42" t="s">
        <v>6186</v>
      </c>
      <c r="I222" s="42" t="s">
        <v>6230</v>
      </c>
      <c r="J222" s="40" t="s">
        <v>18</v>
      </c>
      <c r="K222" s="42" t="s">
        <v>6433</v>
      </c>
      <c r="L222" s="42" t="s">
        <v>6434</v>
      </c>
      <c r="M222" s="42" t="s">
        <v>6186</v>
      </c>
      <c r="N222" s="42" t="s">
        <v>6186</v>
      </c>
      <c r="O222" s="42" t="s">
        <v>6186</v>
      </c>
      <c r="P222" s="42" t="s">
        <v>6186</v>
      </c>
    </row>
    <row r="223" spans="1:16" ht="14.25" customHeight="1" x14ac:dyDescent="0.15">
      <c r="A223" s="42" t="s">
        <v>6231</v>
      </c>
      <c r="B223" s="40" t="s">
        <v>17</v>
      </c>
      <c r="C223" s="44">
        <v>0.33263888888177501</v>
      </c>
      <c r="D223" s="45" t="s">
        <v>6381</v>
      </c>
      <c r="E223" s="45" t="s">
        <v>6186</v>
      </c>
      <c r="F223" s="42" t="s">
        <v>6186</v>
      </c>
      <c r="G223" s="42" t="s">
        <v>6186</v>
      </c>
      <c r="H223" s="42" t="s">
        <v>6186</v>
      </c>
      <c r="I223" s="42" t="s">
        <v>6234</v>
      </c>
      <c r="J223" s="40" t="s">
        <v>11</v>
      </c>
      <c r="K223" s="42" t="s">
        <v>6186</v>
      </c>
      <c r="L223" s="42" t="s">
        <v>6186</v>
      </c>
      <c r="M223" s="42" t="s">
        <v>6186</v>
      </c>
      <c r="N223" s="42" t="s">
        <v>6186</v>
      </c>
      <c r="O223" s="42" t="s">
        <v>6186</v>
      </c>
      <c r="P223" s="42" t="s">
        <v>6186</v>
      </c>
    </row>
    <row r="224" spans="1:16" ht="14.25" customHeight="1" x14ac:dyDescent="0.15">
      <c r="A224" s="42" t="s">
        <v>6235</v>
      </c>
      <c r="B224" s="40" t="s">
        <v>18</v>
      </c>
      <c r="C224" s="44">
        <v>0.32986111112404598</v>
      </c>
      <c r="D224" s="45" t="s">
        <v>6435</v>
      </c>
      <c r="E224" s="45" t="s">
        <v>6186</v>
      </c>
      <c r="F224" s="42" t="s">
        <v>6186</v>
      </c>
      <c r="G224" s="42" t="s">
        <v>6186</v>
      </c>
      <c r="H224" s="42" t="s">
        <v>6186</v>
      </c>
      <c r="I224" s="42" t="s">
        <v>12</v>
      </c>
      <c r="J224" s="42" t="s">
        <v>12</v>
      </c>
      <c r="K224" s="42" t="s">
        <v>12</v>
      </c>
      <c r="L224" s="42" t="s">
        <v>12</v>
      </c>
      <c r="M224" s="42" t="s">
        <v>12</v>
      </c>
      <c r="N224" s="42" t="s">
        <v>12</v>
      </c>
      <c r="O224" s="42" t="s">
        <v>12</v>
      </c>
      <c r="P224" s="42" t="s">
        <v>12</v>
      </c>
    </row>
    <row r="225" spans="1:16" ht="14.25" customHeight="1" x14ac:dyDescent="0.15">
      <c r="A225" s="35"/>
      <c r="C225" s="46"/>
      <c r="D225" s="46"/>
      <c r="E225" s="46"/>
      <c r="F225" s="46"/>
      <c r="G225" s="47"/>
      <c r="H225" s="47"/>
      <c r="I225" s="36"/>
      <c r="M225" s="131" t="s">
        <v>6237</v>
      </c>
      <c r="N225" s="131"/>
      <c r="O225" s="131"/>
      <c r="P225" s="131"/>
    </row>
    <row r="226" spans="1:16" ht="14.25" customHeight="1" x14ac:dyDescent="0.15">
      <c r="A226" s="34"/>
    </row>
    <row r="227" spans="1:16" ht="14.25" customHeight="1" x14ac:dyDescent="0.15">
      <c r="A227" s="34"/>
    </row>
    <row r="228" spans="1:16" ht="14.25" customHeight="1" x14ac:dyDescent="0.15">
      <c r="A228" s="35"/>
      <c r="B228" s="36"/>
    </row>
    <row r="229" spans="1:16" ht="14.25" customHeight="1" x14ac:dyDescent="0.15">
      <c r="A229" s="124" t="s">
        <v>6178</v>
      </c>
      <c r="B229" s="125"/>
      <c r="C229" s="125"/>
      <c r="D229" s="126"/>
      <c r="E229" s="124" t="s">
        <v>6436</v>
      </c>
      <c r="F229" s="125"/>
      <c r="G229" s="126"/>
      <c r="H229" s="124" t="s">
        <v>6437</v>
      </c>
      <c r="I229" s="126"/>
      <c r="J229" s="125" t="s">
        <v>6181</v>
      </c>
      <c r="K229" s="125"/>
      <c r="L229" s="126"/>
      <c r="M229" s="124" t="s">
        <v>6182</v>
      </c>
      <c r="N229" s="125"/>
      <c r="O229" s="125"/>
      <c r="P229" s="126"/>
    </row>
    <row r="230" spans="1:16" ht="14.25" customHeight="1" x14ac:dyDescent="0.15">
      <c r="A230" s="124" t="s">
        <v>6314</v>
      </c>
      <c r="B230" s="125"/>
      <c r="C230" s="125"/>
      <c r="D230" s="125"/>
      <c r="E230" s="125"/>
      <c r="F230" s="125"/>
      <c r="G230" s="125"/>
      <c r="H230" s="125"/>
      <c r="I230" s="125"/>
      <c r="J230" s="125"/>
      <c r="K230" s="125"/>
      <c r="L230" s="125"/>
      <c r="M230" s="125"/>
      <c r="N230" s="125"/>
      <c r="O230" s="125"/>
      <c r="P230" s="126"/>
    </row>
    <row r="231" spans="1:16" ht="14.25" customHeight="1" x14ac:dyDescent="0.15">
      <c r="A231" s="124" t="s">
        <v>6184</v>
      </c>
      <c r="B231" s="125"/>
      <c r="C231" s="125"/>
      <c r="D231" s="125"/>
      <c r="E231" s="125"/>
      <c r="F231" s="125"/>
      <c r="G231" s="125"/>
      <c r="H231" s="125"/>
      <c r="I231" s="125"/>
      <c r="J231" s="125"/>
      <c r="K231" s="125"/>
      <c r="L231" s="125"/>
      <c r="M231" s="125"/>
      <c r="N231" s="125"/>
      <c r="O231" s="125"/>
      <c r="P231" s="126"/>
    </row>
    <row r="232" spans="1:16" ht="14.25" customHeight="1" x14ac:dyDescent="0.15">
      <c r="A232" s="37"/>
      <c r="B232" s="38"/>
      <c r="C232" s="127" t="s">
        <v>4</v>
      </c>
      <c r="D232" s="128"/>
      <c r="E232" s="129" t="s">
        <v>5</v>
      </c>
      <c r="F232" s="130"/>
      <c r="G232" s="129" t="s">
        <v>6</v>
      </c>
      <c r="H232" s="130"/>
      <c r="I232" s="38"/>
      <c r="J232" s="38"/>
      <c r="K232" s="127" t="s">
        <v>4</v>
      </c>
      <c r="L232" s="128"/>
      <c r="M232" s="129" t="s">
        <v>5</v>
      </c>
      <c r="N232" s="130"/>
      <c r="O232" s="129" t="s">
        <v>6</v>
      </c>
      <c r="P232" s="130"/>
    </row>
    <row r="233" spans="1:16" ht="24" customHeight="1" x14ac:dyDescent="0.15">
      <c r="A233" s="39" t="s">
        <v>7</v>
      </c>
      <c r="B233" s="40" t="s">
        <v>8</v>
      </c>
      <c r="C233" s="41" t="s">
        <v>9</v>
      </c>
      <c r="D233" s="41" t="s">
        <v>10</v>
      </c>
      <c r="E233" s="41" t="s">
        <v>9</v>
      </c>
      <c r="F233" s="41" t="s">
        <v>10</v>
      </c>
      <c r="G233" s="41" t="s">
        <v>9</v>
      </c>
      <c r="H233" s="41" t="s">
        <v>10</v>
      </c>
      <c r="I233" s="48" t="s">
        <v>7</v>
      </c>
      <c r="J233" s="40" t="s">
        <v>8</v>
      </c>
      <c r="K233" s="41" t="s">
        <v>9</v>
      </c>
      <c r="L233" s="41" t="s">
        <v>10</v>
      </c>
      <c r="M233" s="41" t="s">
        <v>9</v>
      </c>
      <c r="N233" s="41" t="s">
        <v>10</v>
      </c>
      <c r="O233" s="41" t="s">
        <v>9</v>
      </c>
      <c r="P233" s="41" t="s">
        <v>10</v>
      </c>
    </row>
    <row r="234" spans="1:16" ht="14.25" customHeight="1" x14ac:dyDescent="0.15">
      <c r="A234" s="42" t="s">
        <v>6185</v>
      </c>
      <c r="B234" s="40" t="s">
        <v>17</v>
      </c>
      <c r="C234" s="43"/>
      <c r="D234" s="42"/>
      <c r="E234" s="42" t="s">
        <v>6186</v>
      </c>
      <c r="F234" s="42" t="s">
        <v>6186</v>
      </c>
      <c r="G234" s="42" t="s">
        <v>6186</v>
      </c>
      <c r="H234" s="42" t="s">
        <v>6186</v>
      </c>
      <c r="I234" s="42" t="s">
        <v>6187</v>
      </c>
      <c r="J234" s="40" t="s">
        <v>11</v>
      </c>
      <c r="K234" s="42" t="s">
        <v>6315</v>
      </c>
      <c r="L234" s="42" t="s">
        <v>6438</v>
      </c>
      <c r="M234" s="42" t="s">
        <v>6186</v>
      </c>
      <c r="N234" s="42" t="s">
        <v>6186</v>
      </c>
      <c r="O234" s="42" t="s">
        <v>6186</v>
      </c>
      <c r="P234" s="42" t="s">
        <v>6186</v>
      </c>
    </row>
    <row r="235" spans="1:16" ht="14.25" customHeight="1" x14ac:dyDescent="0.15">
      <c r="A235" s="42" t="s">
        <v>6190</v>
      </c>
      <c r="B235" s="40" t="s">
        <v>18</v>
      </c>
      <c r="C235" s="42"/>
      <c r="D235" s="42"/>
      <c r="E235" s="42" t="s">
        <v>6186</v>
      </c>
      <c r="F235" s="42" t="s">
        <v>6186</v>
      </c>
      <c r="G235" s="42" t="s">
        <v>6186</v>
      </c>
      <c r="H235" s="42" t="s">
        <v>6186</v>
      </c>
      <c r="I235" s="42" t="s">
        <v>6191</v>
      </c>
      <c r="J235" s="40" t="s">
        <v>14</v>
      </c>
      <c r="K235" s="42" t="s">
        <v>6439</v>
      </c>
      <c r="L235" s="42" t="s">
        <v>6318</v>
      </c>
      <c r="M235" s="42" t="s">
        <v>6186</v>
      </c>
      <c r="N235" s="42" t="s">
        <v>6186</v>
      </c>
      <c r="O235" s="42" t="s">
        <v>6186</v>
      </c>
      <c r="P235" s="42" t="s">
        <v>6186</v>
      </c>
    </row>
    <row r="236" spans="1:16" ht="14.25" customHeight="1" x14ac:dyDescent="0.15">
      <c r="A236" s="42" t="s">
        <v>6194</v>
      </c>
      <c r="B236" s="40" t="s">
        <v>11</v>
      </c>
      <c r="C236" s="42"/>
      <c r="D236" s="42"/>
      <c r="E236" s="42" t="s">
        <v>6186</v>
      </c>
      <c r="F236" s="42" t="s">
        <v>6186</v>
      </c>
      <c r="G236" s="42" t="s">
        <v>6186</v>
      </c>
      <c r="H236" s="42" t="s">
        <v>6186</v>
      </c>
      <c r="I236" s="42" t="s">
        <v>6195</v>
      </c>
      <c r="J236" s="40" t="s">
        <v>13</v>
      </c>
      <c r="K236" s="42" t="s">
        <v>6378</v>
      </c>
      <c r="L236" s="42" t="s">
        <v>6440</v>
      </c>
      <c r="M236" s="42" t="s">
        <v>6186</v>
      </c>
      <c r="N236" s="42" t="s">
        <v>6186</v>
      </c>
      <c r="O236" s="42" t="s">
        <v>6186</v>
      </c>
      <c r="P236" s="42" t="s">
        <v>6186</v>
      </c>
    </row>
    <row r="237" spans="1:16" ht="14.25" customHeight="1" x14ac:dyDescent="0.15">
      <c r="A237" s="42" t="s">
        <v>6198</v>
      </c>
      <c r="B237" s="40" t="s">
        <v>14</v>
      </c>
      <c r="C237" s="42"/>
      <c r="D237" s="42"/>
      <c r="E237" s="42" t="s">
        <v>6186</v>
      </c>
      <c r="F237" s="42" t="s">
        <v>6186</v>
      </c>
      <c r="G237" s="42" t="s">
        <v>6186</v>
      </c>
      <c r="H237" s="42" t="s">
        <v>6186</v>
      </c>
      <c r="I237" s="42" t="s">
        <v>6199</v>
      </c>
      <c r="J237" s="40" t="s">
        <v>15</v>
      </c>
      <c r="K237" s="42" t="s">
        <v>6321</v>
      </c>
      <c r="L237" s="42" t="s">
        <v>6441</v>
      </c>
      <c r="M237" s="42" t="s">
        <v>6186</v>
      </c>
      <c r="N237" s="42" t="s">
        <v>6186</v>
      </c>
      <c r="O237" s="42" t="s">
        <v>6186</v>
      </c>
      <c r="P237" s="42" t="s">
        <v>6186</v>
      </c>
    </row>
    <row r="238" spans="1:16" ht="14.25" customHeight="1" x14ac:dyDescent="0.15">
      <c r="A238" s="42" t="s">
        <v>6202</v>
      </c>
      <c r="B238" s="40" t="s">
        <v>13</v>
      </c>
      <c r="C238" s="42"/>
      <c r="D238" s="42"/>
      <c r="E238" s="42" t="s">
        <v>6186</v>
      </c>
      <c r="F238" s="42" t="s">
        <v>6186</v>
      </c>
      <c r="G238" s="42" t="s">
        <v>6186</v>
      </c>
      <c r="H238" s="42" t="s">
        <v>6186</v>
      </c>
      <c r="I238" s="42" t="s">
        <v>6203</v>
      </c>
      <c r="J238" s="40" t="s">
        <v>16</v>
      </c>
      <c r="K238" s="42" t="s">
        <v>6323</v>
      </c>
      <c r="L238" s="42" t="s">
        <v>6324</v>
      </c>
      <c r="M238" s="42" t="s">
        <v>6186</v>
      </c>
      <c r="N238" s="42" t="s">
        <v>6186</v>
      </c>
      <c r="O238" s="42" t="s">
        <v>6186</v>
      </c>
      <c r="P238" s="42" t="s">
        <v>6186</v>
      </c>
    </row>
    <row r="239" spans="1:16" ht="14.25" customHeight="1" x14ac:dyDescent="0.15">
      <c r="A239" s="42" t="s">
        <v>6204</v>
      </c>
      <c r="B239" s="40" t="s">
        <v>15</v>
      </c>
      <c r="C239" s="42"/>
      <c r="D239" s="42"/>
      <c r="E239" s="42" t="s">
        <v>6186</v>
      </c>
      <c r="F239" s="42" t="s">
        <v>6186</v>
      </c>
      <c r="G239" s="42" t="s">
        <v>6186</v>
      </c>
      <c r="H239" s="42" t="s">
        <v>6186</v>
      </c>
      <c r="I239" s="42" t="s">
        <v>6205</v>
      </c>
      <c r="J239" s="40" t="s">
        <v>17</v>
      </c>
      <c r="K239" s="42" t="s">
        <v>6325</v>
      </c>
      <c r="L239" s="42" t="s">
        <v>6291</v>
      </c>
      <c r="M239" s="42" t="s">
        <v>6186</v>
      </c>
      <c r="N239" s="42" t="s">
        <v>6186</v>
      </c>
      <c r="O239" s="42" t="s">
        <v>6186</v>
      </c>
      <c r="P239" s="42" t="s">
        <v>6186</v>
      </c>
    </row>
    <row r="240" spans="1:16" ht="14.25" customHeight="1" x14ac:dyDescent="0.15">
      <c r="A240" s="42" t="s">
        <v>6206</v>
      </c>
      <c r="B240" s="40" t="s">
        <v>16</v>
      </c>
      <c r="C240" s="42"/>
      <c r="D240" s="42"/>
      <c r="E240" s="42" t="s">
        <v>6186</v>
      </c>
      <c r="F240" s="42" t="s">
        <v>6186</v>
      </c>
      <c r="G240" s="42" t="s">
        <v>6186</v>
      </c>
      <c r="H240" s="42" t="s">
        <v>6186</v>
      </c>
      <c r="I240" s="42" t="s">
        <v>6207</v>
      </c>
      <c r="J240" s="40" t="s">
        <v>18</v>
      </c>
      <c r="K240" s="42" t="s">
        <v>6326</v>
      </c>
      <c r="L240" s="42" t="s">
        <v>6442</v>
      </c>
      <c r="M240" s="42" t="s">
        <v>6186</v>
      </c>
      <c r="N240" s="42" t="s">
        <v>6186</v>
      </c>
      <c r="O240" s="42" t="s">
        <v>6186</v>
      </c>
      <c r="P240" s="42" t="s">
        <v>6186</v>
      </c>
    </row>
    <row r="241" spans="1:16" ht="14.25" customHeight="1" x14ac:dyDescent="0.15">
      <c r="A241" s="42" t="s">
        <v>6208</v>
      </c>
      <c r="B241" s="40" t="s">
        <v>17</v>
      </c>
      <c r="C241" s="42" t="s">
        <v>6443</v>
      </c>
      <c r="D241" s="42" t="s">
        <v>6441</v>
      </c>
      <c r="E241" s="42" t="s">
        <v>6186</v>
      </c>
      <c r="F241" s="42" t="s">
        <v>6186</v>
      </c>
      <c r="G241" s="42" t="s">
        <v>6186</v>
      </c>
      <c r="H241" s="42" t="s">
        <v>6186</v>
      </c>
      <c r="I241" s="42" t="s">
        <v>6211</v>
      </c>
      <c r="J241" s="40" t="s">
        <v>11</v>
      </c>
      <c r="K241" s="42" t="s">
        <v>6323</v>
      </c>
      <c r="L241" s="42" t="s">
        <v>6444</v>
      </c>
      <c r="M241" s="42" t="s">
        <v>6186</v>
      </c>
      <c r="N241" s="42" t="s">
        <v>6186</v>
      </c>
      <c r="O241" s="42" t="s">
        <v>6186</v>
      </c>
      <c r="P241" s="42" t="s">
        <v>6186</v>
      </c>
    </row>
    <row r="242" spans="1:16" ht="14.25" customHeight="1" x14ac:dyDescent="0.15">
      <c r="A242" s="42" t="s">
        <v>6212</v>
      </c>
      <c r="B242" s="40" t="s">
        <v>18</v>
      </c>
      <c r="C242" s="42" t="s">
        <v>6378</v>
      </c>
      <c r="D242" s="42" t="s">
        <v>6445</v>
      </c>
      <c r="E242" s="42" t="s">
        <v>6186</v>
      </c>
      <c r="F242" s="42" t="s">
        <v>6186</v>
      </c>
      <c r="G242" s="42" t="s">
        <v>6186</v>
      </c>
      <c r="H242" s="42" t="s">
        <v>6186</v>
      </c>
      <c r="I242" s="42" t="s">
        <v>6215</v>
      </c>
      <c r="J242" s="40" t="s">
        <v>14</v>
      </c>
      <c r="K242" s="42" t="s">
        <v>6325</v>
      </c>
      <c r="L242" s="42" t="s">
        <v>6343</v>
      </c>
      <c r="M242" s="42" t="s">
        <v>6186</v>
      </c>
      <c r="N242" s="42" t="s">
        <v>6186</v>
      </c>
      <c r="O242" s="42" t="s">
        <v>6186</v>
      </c>
      <c r="P242" s="42" t="s">
        <v>6186</v>
      </c>
    </row>
    <row r="243" spans="1:16" ht="14.25" customHeight="1" x14ac:dyDescent="0.15">
      <c r="A243" s="42" t="s">
        <v>6216</v>
      </c>
      <c r="B243" s="40" t="s">
        <v>11</v>
      </c>
      <c r="C243" s="42" t="s">
        <v>6321</v>
      </c>
      <c r="D243" s="42" t="s">
        <v>6446</v>
      </c>
      <c r="E243" s="42" t="s">
        <v>6186</v>
      </c>
      <c r="F243" s="42" t="s">
        <v>6186</v>
      </c>
      <c r="G243" s="42" t="s">
        <v>6186</v>
      </c>
      <c r="H243" s="42" t="s">
        <v>6186</v>
      </c>
      <c r="I243" s="42" t="s">
        <v>6219</v>
      </c>
      <c r="J243" s="40" t="s">
        <v>13</v>
      </c>
      <c r="K243" s="42" t="s">
        <v>6447</v>
      </c>
      <c r="L243" s="42" t="s">
        <v>6448</v>
      </c>
      <c r="M243" s="42" t="s">
        <v>6186</v>
      </c>
      <c r="N243" s="42" t="s">
        <v>6186</v>
      </c>
      <c r="O243" s="42" t="s">
        <v>6186</v>
      </c>
      <c r="P243" s="42" t="s">
        <v>6186</v>
      </c>
    </row>
    <row r="244" spans="1:16" ht="14.25" customHeight="1" x14ac:dyDescent="0.15">
      <c r="A244" s="42" t="s">
        <v>6220</v>
      </c>
      <c r="B244" s="40" t="s">
        <v>14</v>
      </c>
      <c r="C244" s="42" t="s">
        <v>6378</v>
      </c>
      <c r="D244" s="42" t="s">
        <v>6291</v>
      </c>
      <c r="E244" s="42" t="s">
        <v>6186</v>
      </c>
      <c r="F244" s="42" t="s">
        <v>6186</v>
      </c>
      <c r="G244" s="42" t="s">
        <v>6186</v>
      </c>
      <c r="H244" s="42" t="s">
        <v>6186</v>
      </c>
      <c r="I244" s="42" t="s">
        <v>6221</v>
      </c>
      <c r="J244" s="40" t="s">
        <v>15</v>
      </c>
      <c r="K244" s="42" t="s">
        <v>6315</v>
      </c>
      <c r="L244" s="42" t="s">
        <v>6449</v>
      </c>
      <c r="M244" s="42" t="s">
        <v>6186</v>
      </c>
      <c r="N244" s="42" t="s">
        <v>6186</v>
      </c>
      <c r="O244" s="42" t="s">
        <v>6186</v>
      </c>
      <c r="P244" s="42" t="s">
        <v>6186</v>
      </c>
    </row>
    <row r="245" spans="1:16" ht="14.25" customHeight="1" x14ac:dyDescent="0.15">
      <c r="A245" s="42" t="s">
        <v>6222</v>
      </c>
      <c r="B245" s="40" t="s">
        <v>13</v>
      </c>
      <c r="C245" s="42" t="s">
        <v>6355</v>
      </c>
      <c r="D245" s="42" t="s">
        <v>6336</v>
      </c>
      <c r="E245" s="42" t="s">
        <v>6186</v>
      </c>
      <c r="F245" s="42" t="s">
        <v>6186</v>
      </c>
      <c r="G245" s="42" t="s">
        <v>6186</v>
      </c>
      <c r="H245" s="42" t="s">
        <v>6186</v>
      </c>
      <c r="I245" s="42" t="s">
        <v>6224</v>
      </c>
      <c r="J245" s="40" t="s">
        <v>16</v>
      </c>
      <c r="K245" s="42" t="s">
        <v>6450</v>
      </c>
      <c r="L245" s="42" t="s">
        <v>6338</v>
      </c>
      <c r="M245" s="42" t="s">
        <v>6186</v>
      </c>
      <c r="N245" s="42" t="s">
        <v>6186</v>
      </c>
      <c r="O245" s="42" t="s">
        <v>6186</v>
      </c>
      <c r="P245" s="42" t="s">
        <v>6186</v>
      </c>
    </row>
    <row r="246" spans="1:16" ht="14.25" customHeight="1" x14ac:dyDescent="0.15">
      <c r="A246" s="42" t="s">
        <v>6225</v>
      </c>
      <c r="B246" s="40" t="s">
        <v>15</v>
      </c>
      <c r="C246" s="42" t="s">
        <v>6321</v>
      </c>
      <c r="D246" s="42" t="s">
        <v>6444</v>
      </c>
      <c r="E246" s="42" t="s">
        <v>6186</v>
      </c>
      <c r="F246" s="42" t="s">
        <v>6186</v>
      </c>
      <c r="G246" s="42" t="s">
        <v>6186</v>
      </c>
      <c r="H246" s="42" t="s">
        <v>6186</v>
      </c>
      <c r="I246" s="42" t="s">
        <v>6227</v>
      </c>
      <c r="J246" s="40" t="s">
        <v>17</v>
      </c>
      <c r="K246" s="42" t="s">
        <v>6450</v>
      </c>
      <c r="L246" s="42" t="s">
        <v>6451</v>
      </c>
      <c r="M246" s="42" t="s">
        <v>6186</v>
      </c>
      <c r="N246" s="42" t="s">
        <v>6186</v>
      </c>
      <c r="O246" s="42" t="s">
        <v>6186</v>
      </c>
      <c r="P246" s="42" t="s">
        <v>6186</v>
      </c>
    </row>
    <row r="247" spans="1:16" ht="14.25" customHeight="1" x14ac:dyDescent="0.15">
      <c r="A247" s="42" t="s">
        <v>6228</v>
      </c>
      <c r="B247" s="40" t="s">
        <v>16</v>
      </c>
      <c r="C247" s="42" t="s">
        <v>6443</v>
      </c>
      <c r="D247" s="42" t="s">
        <v>6343</v>
      </c>
      <c r="E247" s="42" t="s">
        <v>6186</v>
      </c>
      <c r="F247" s="42" t="s">
        <v>6186</v>
      </c>
      <c r="G247" s="42" t="s">
        <v>6186</v>
      </c>
      <c r="H247" s="42" t="s">
        <v>6186</v>
      </c>
      <c r="I247" s="42" t="s">
        <v>6230</v>
      </c>
      <c r="J247" s="40" t="s">
        <v>18</v>
      </c>
      <c r="K247" s="42" t="s">
        <v>6452</v>
      </c>
      <c r="L247" s="42" t="s">
        <v>6453</v>
      </c>
      <c r="M247" s="42" t="s">
        <v>6186</v>
      </c>
      <c r="N247" s="42" t="s">
        <v>6186</v>
      </c>
      <c r="O247" s="42" t="s">
        <v>6186</v>
      </c>
      <c r="P247" s="42" t="s">
        <v>6186</v>
      </c>
    </row>
    <row r="248" spans="1:16" ht="14.25" customHeight="1" x14ac:dyDescent="0.15">
      <c r="A248" s="42" t="s">
        <v>6231</v>
      </c>
      <c r="B248" s="40" t="s">
        <v>17</v>
      </c>
      <c r="C248" s="42" t="s">
        <v>6454</v>
      </c>
      <c r="D248" s="42" t="s">
        <v>6347</v>
      </c>
      <c r="E248" s="42" t="s">
        <v>6186</v>
      </c>
      <c r="F248" s="42" t="s">
        <v>6186</v>
      </c>
      <c r="G248" s="42" t="s">
        <v>6186</v>
      </c>
      <c r="H248" s="42" t="s">
        <v>6186</v>
      </c>
      <c r="I248" s="42" t="s">
        <v>6234</v>
      </c>
      <c r="J248" s="40" t="s">
        <v>11</v>
      </c>
      <c r="K248" s="42" t="s">
        <v>6431</v>
      </c>
      <c r="L248" s="42" t="s">
        <v>6455</v>
      </c>
      <c r="M248" s="42" t="s">
        <v>6186</v>
      </c>
      <c r="N248" s="42" t="s">
        <v>6186</v>
      </c>
      <c r="O248" s="42" t="s">
        <v>6186</v>
      </c>
      <c r="P248" s="42" t="s">
        <v>6186</v>
      </c>
    </row>
    <row r="249" spans="1:16" ht="14.25" customHeight="1" x14ac:dyDescent="0.15">
      <c r="A249" s="42" t="s">
        <v>6235</v>
      </c>
      <c r="B249" s="40" t="s">
        <v>18</v>
      </c>
      <c r="C249" s="42" t="s">
        <v>6317</v>
      </c>
      <c r="D249" s="42" t="s">
        <v>6449</v>
      </c>
      <c r="E249" s="42" t="s">
        <v>6186</v>
      </c>
      <c r="F249" s="42" t="s">
        <v>6186</v>
      </c>
      <c r="G249" s="42" t="s">
        <v>6186</v>
      </c>
      <c r="H249" s="42" t="s">
        <v>6186</v>
      </c>
      <c r="I249" s="42" t="s">
        <v>12</v>
      </c>
      <c r="J249" s="42" t="s">
        <v>12</v>
      </c>
      <c r="K249" s="42" t="s">
        <v>12</v>
      </c>
      <c r="L249" s="42" t="s">
        <v>12</v>
      </c>
      <c r="M249" s="42" t="s">
        <v>12</v>
      </c>
      <c r="N249" s="42" t="s">
        <v>12</v>
      </c>
      <c r="O249" s="42" t="s">
        <v>12</v>
      </c>
      <c r="P249" s="42" t="s">
        <v>12</v>
      </c>
    </row>
    <row r="250" spans="1:16" ht="14.25" customHeight="1" x14ac:dyDescent="0.15">
      <c r="A250" s="35"/>
      <c r="C250" s="46"/>
      <c r="D250" s="46"/>
      <c r="E250" s="46"/>
      <c r="F250" s="46"/>
      <c r="G250" s="47"/>
      <c r="H250" s="47"/>
      <c r="I250" s="36"/>
      <c r="M250" s="131" t="s">
        <v>6237</v>
      </c>
      <c r="N250" s="131"/>
      <c r="O250" s="131"/>
      <c r="P250" s="131"/>
    </row>
    <row r="251" spans="1:16" ht="14.25" customHeight="1" x14ac:dyDescent="0.15">
      <c r="A251" s="34"/>
    </row>
    <row r="252" spans="1:16" ht="14.25" customHeight="1" x14ac:dyDescent="0.15">
      <c r="A252" s="34"/>
    </row>
    <row r="253" spans="1:16" ht="14.25" customHeight="1" x14ac:dyDescent="0.15">
      <c r="A253" s="35"/>
      <c r="B253" s="36"/>
    </row>
    <row r="254" spans="1:16" ht="14.25" customHeight="1" x14ac:dyDescent="0.15">
      <c r="A254" s="124" t="s">
        <v>6178</v>
      </c>
      <c r="B254" s="125"/>
      <c r="C254" s="125"/>
      <c r="D254" s="126"/>
      <c r="E254" s="124" t="s">
        <v>6456</v>
      </c>
      <c r="F254" s="125"/>
      <c r="G254" s="126"/>
      <c r="H254" s="124" t="s">
        <v>6239</v>
      </c>
      <c r="I254" s="126"/>
      <c r="J254" s="125" t="s">
        <v>6181</v>
      </c>
      <c r="K254" s="125"/>
      <c r="L254" s="126"/>
      <c r="M254" s="124" t="s">
        <v>6182</v>
      </c>
      <c r="N254" s="125"/>
      <c r="O254" s="125"/>
      <c r="P254" s="126"/>
    </row>
    <row r="255" spans="1:16" ht="14.25" customHeight="1" x14ac:dyDescent="0.15">
      <c r="A255" s="124" t="s">
        <v>6457</v>
      </c>
      <c r="B255" s="125"/>
      <c r="C255" s="125"/>
      <c r="D255" s="125"/>
      <c r="E255" s="125"/>
      <c r="F255" s="125"/>
      <c r="G255" s="125"/>
      <c r="H255" s="125"/>
      <c r="I255" s="125"/>
      <c r="J255" s="125"/>
      <c r="K255" s="125"/>
      <c r="L255" s="125"/>
      <c r="M255" s="125"/>
      <c r="N255" s="125"/>
      <c r="O255" s="125"/>
      <c r="P255" s="126"/>
    </row>
    <row r="256" spans="1:16" ht="14.25" customHeight="1" x14ac:dyDescent="0.15">
      <c r="A256" s="124" t="s">
        <v>6184</v>
      </c>
      <c r="B256" s="125"/>
      <c r="C256" s="125"/>
      <c r="D256" s="125"/>
      <c r="E256" s="125"/>
      <c r="F256" s="125"/>
      <c r="G256" s="125"/>
      <c r="H256" s="125"/>
      <c r="I256" s="125"/>
      <c r="J256" s="125"/>
      <c r="K256" s="125"/>
      <c r="L256" s="125"/>
      <c r="M256" s="125"/>
      <c r="N256" s="125"/>
      <c r="O256" s="125"/>
      <c r="P256" s="126"/>
    </row>
    <row r="257" spans="1:16" ht="14.25" customHeight="1" x14ac:dyDescent="0.15">
      <c r="A257" s="37"/>
      <c r="B257" s="38"/>
      <c r="C257" s="127" t="s">
        <v>4</v>
      </c>
      <c r="D257" s="128"/>
      <c r="E257" s="129" t="s">
        <v>5</v>
      </c>
      <c r="F257" s="130"/>
      <c r="G257" s="129" t="s">
        <v>6</v>
      </c>
      <c r="H257" s="130"/>
      <c r="I257" s="38"/>
      <c r="J257" s="38"/>
      <c r="K257" s="127" t="s">
        <v>4</v>
      </c>
      <c r="L257" s="128"/>
      <c r="M257" s="129" t="s">
        <v>5</v>
      </c>
      <c r="N257" s="130"/>
      <c r="O257" s="129" t="s">
        <v>6</v>
      </c>
      <c r="P257" s="130"/>
    </row>
    <row r="258" spans="1:16" ht="24" customHeight="1" x14ac:dyDescent="0.15">
      <c r="A258" s="39" t="s">
        <v>7</v>
      </c>
      <c r="B258" s="40" t="s">
        <v>8</v>
      </c>
      <c r="C258" s="41" t="s">
        <v>9</v>
      </c>
      <c r="D258" s="41" t="s">
        <v>10</v>
      </c>
      <c r="E258" s="41" t="s">
        <v>9</v>
      </c>
      <c r="F258" s="41" t="s">
        <v>10</v>
      </c>
      <c r="G258" s="41" t="s">
        <v>9</v>
      </c>
      <c r="H258" s="41" t="s">
        <v>10</v>
      </c>
      <c r="I258" s="48" t="s">
        <v>7</v>
      </c>
      <c r="J258" s="40" t="s">
        <v>8</v>
      </c>
      <c r="K258" s="41" t="s">
        <v>9</v>
      </c>
      <c r="L258" s="41" t="s">
        <v>10</v>
      </c>
      <c r="M258" s="41" t="s">
        <v>9</v>
      </c>
      <c r="N258" s="41" t="s">
        <v>10</v>
      </c>
      <c r="O258" s="41" t="s">
        <v>9</v>
      </c>
      <c r="P258" s="41" t="s">
        <v>10</v>
      </c>
    </row>
    <row r="259" spans="1:16" ht="14.25" customHeight="1" x14ac:dyDescent="0.15">
      <c r="A259" s="42" t="s">
        <v>6185</v>
      </c>
      <c r="B259" s="40" t="s">
        <v>17</v>
      </c>
      <c r="C259" s="42" t="s">
        <v>6186</v>
      </c>
      <c r="D259" s="42" t="s">
        <v>6186</v>
      </c>
      <c r="E259" s="42" t="s">
        <v>6186</v>
      </c>
      <c r="F259" s="42" t="s">
        <v>6186</v>
      </c>
      <c r="G259" s="42" t="s">
        <v>6186</v>
      </c>
      <c r="H259" s="42" t="s">
        <v>6186</v>
      </c>
      <c r="I259" s="42" t="s">
        <v>6187</v>
      </c>
      <c r="J259" s="40" t="s">
        <v>11</v>
      </c>
      <c r="K259" s="42" t="s">
        <v>6186</v>
      </c>
      <c r="L259" s="42" t="s">
        <v>6186</v>
      </c>
      <c r="M259" s="42" t="s">
        <v>6186</v>
      </c>
      <c r="N259" s="42" t="s">
        <v>6186</v>
      </c>
      <c r="O259" s="42" t="s">
        <v>6186</v>
      </c>
      <c r="P259" s="42" t="s">
        <v>6186</v>
      </c>
    </row>
    <row r="260" spans="1:16" ht="14.25" customHeight="1" x14ac:dyDescent="0.15">
      <c r="A260" s="42" t="s">
        <v>6190</v>
      </c>
      <c r="B260" s="40" t="s">
        <v>18</v>
      </c>
      <c r="C260" s="42" t="s">
        <v>6186</v>
      </c>
      <c r="D260" s="42" t="s">
        <v>6186</v>
      </c>
      <c r="E260" s="42" t="s">
        <v>6186</v>
      </c>
      <c r="F260" s="42" t="s">
        <v>6186</v>
      </c>
      <c r="G260" s="42" t="s">
        <v>6186</v>
      </c>
      <c r="H260" s="42" t="s">
        <v>6186</v>
      </c>
      <c r="I260" s="42" t="s">
        <v>6191</v>
      </c>
      <c r="J260" s="40" t="s">
        <v>14</v>
      </c>
      <c r="K260" s="42" t="s">
        <v>6186</v>
      </c>
      <c r="L260" s="42" t="s">
        <v>6186</v>
      </c>
      <c r="M260" s="42" t="s">
        <v>6186</v>
      </c>
      <c r="N260" s="42" t="s">
        <v>6186</v>
      </c>
      <c r="O260" s="42" t="s">
        <v>6186</v>
      </c>
      <c r="P260" s="42" t="s">
        <v>6186</v>
      </c>
    </row>
    <row r="261" spans="1:16" ht="14.25" customHeight="1" x14ac:dyDescent="0.15">
      <c r="A261" s="42" t="s">
        <v>6194</v>
      </c>
      <c r="B261" s="40" t="s">
        <v>11</v>
      </c>
      <c r="C261" s="42" t="s">
        <v>6186</v>
      </c>
      <c r="D261" s="42" t="s">
        <v>6186</v>
      </c>
      <c r="E261" s="42" t="s">
        <v>6186</v>
      </c>
      <c r="F261" s="42" t="s">
        <v>6186</v>
      </c>
      <c r="G261" s="42" t="s">
        <v>6186</v>
      </c>
      <c r="H261" s="42" t="s">
        <v>6186</v>
      </c>
      <c r="I261" s="42" t="s">
        <v>6195</v>
      </c>
      <c r="J261" s="40" t="s">
        <v>13</v>
      </c>
      <c r="K261" s="42" t="s">
        <v>6186</v>
      </c>
      <c r="L261" s="42" t="s">
        <v>6186</v>
      </c>
      <c r="M261" s="42" t="s">
        <v>6186</v>
      </c>
      <c r="N261" s="42" t="s">
        <v>6186</v>
      </c>
      <c r="O261" s="42" t="s">
        <v>6186</v>
      </c>
      <c r="P261" s="42" t="s">
        <v>6186</v>
      </c>
    </row>
    <row r="262" spans="1:16" ht="14.25" customHeight="1" x14ac:dyDescent="0.15">
      <c r="A262" s="42" t="s">
        <v>6198</v>
      </c>
      <c r="B262" s="40" t="s">
        <v>14</v>
      </c>
      <c r="C262" s="42" t="s">
        <v>6186</v>
      </c>
      <c r="D262" s="42" t="s">
        <v>6186</v>
      </c>
      <c r="E262" s="42" t="s">
        <v>6186</v>
      </c>
      <c r="F262" s="42" t="s">
        <v>6186</v>
      </c>
      <c r="G262" s="42" t="s">
        <v>6186</v>
      </c>
      <c r="H262" s="42" t="s">
        <v>6186</v>
      </c>
      <c r="I262" s="42" t="s">
        <v>6199</v>
      </c>
      <c r="J262" s="40" t="s">
        <v>15</v>
      </c>
      <c r="K262" s="42" t="s">
        <v>6186</v>
      </c>
      <c r="L262" s="42" t="s">
        <v>6186</v>
      </c>
      <c r="M262" s="42" t="s">
        <v>6186</v>
      </c>
      <c r="N262" s="42" t="s">
        <v>6186</v>
      </c>
      <c r="O262" s="42" t="s">
        <v>6186</v>
      </c>
      <c r="P262" s="42" t="s">
        <v>6186</v>
      </c>
    </row>
    <row r="263" spans="1:16" ht="14.25" customHeight="1" x14ac:dyDescent="0.15">
      <c r="A263" s="42" t="s">
        <v>6202</v>
      </c>
      <c r="B263" s="40" t="s">
        <v>13</v>
      </c>
      <c r="C263" s="42" t="s">
        <v>6186</v>
      </c>
      <c r="D263" s="42" t="s">
        <v>6186</v>
      </c>
      <c r="E263" s="42" t="s">
        <v>6186</v>
      </c>
      <c r="F263" s="42" t="s">
        <v>6186</v>
      </c>
      <c r="G263" s="42" t="s">
        <v>6186</v>
      </c>
      <c r="H263" s="42" t="s">
        <v>6186</v>
      </c>
      <c r="I263" s="42" t="s">
        <v>6203</v>
      </c>
      <c r="J263" s="40" t="s">
        <v>16</v>
      </c>
      <c r="K263" s="42" t="s">
        <v>6186</v>
      </c>
      <c r="L263" s="42" t="s">
        <v>6186</v>
      </c>
      <c r="M263" s="42" t="s">
        <v>6186</v>
      </c>
      <c r="N263" s="42" t="s">
        <v>6186</v>
      </c>
      <c r="O263" s="42" t="s">
        <v>6186</v>
      </c>
      <c r="P263" s="42" t="s">
        <v>6186</v>
      </c>
    </row>
    <row r="264" spans="1:16" ht="14.25" customHeight="1" x14ac:dyDescent="0.15">
      <c r="A264" s="42" t="s">
        <v>6204</v>
      </c>
      <c r="B264" s="40" t="s">
        <v>15</v>
      </c>
      <c r="C264" s="42" t="s">
        <v>6186</v>
      </c>
      <c r="D264" s="42" t="s">
        <v>6186</v>
      </c>
      <c r="E264" s="42" t="s">
        <v>6186</v>
      </c>
      <c r="F264" s="42" t="s">
        <v>6186</v>
      </c>
      <c r="G264" s="42" t="s">
        <v>6186</v>
      </c>
      <c r="H264" s="42" t="s">
        <v>6186</v>
      </c>
      <c r="I264" s="42" t="s">
        <v>6205</v>
      </c>
      <c r="J264" s="40" t="s">
        <v>17</v>
      </c>
      <c r="K264" s="42" t="s">
        <v>6186</v>
      </c>
      <c r="L264" s="42" t="s">
        <v>6186</v>
      </c>
      <c r="M264" s="42" t="s">
        <v>6186</v>
      </c>
      <c r="N264" s="42" t="s">
        <v>6186</v>
      </c>
      <c r="O264" s="42" t="s">
        <v>6186</v>
      </c>
      <c r="P264" s="42" t="s">
        <v>6186</v>
      </c>
    </row>
    <row r="265" spans="1:16" ht="14.25" customHeight="1" x14ac:dyDescent="0.15">
      <c r="A265" s="42" t="s">
        <v>6206</v>
      </c>
      <c r="B265" s="40" t="s">
        <v>16</v>
      </c>
      <c r="C265" s="42" t="s">
        <v>6186</v>
      </c>
      <c r="D265" s="42" t="s">
        <v>6186</v>
      </c>
      <c r="E265" s="42" t="s">
        <v>6186</v>
      </c>
      <c r="F265" s="42" t="s">
        <v>6186</v>
      </c>
      <c r="G265" s="42" t="s">
        <v>6186</v>
      </c>
      <c r="H265" s="42" t="s">
        <v>6186</v>
      </c>
      <c r="I265" s="42" t="s">
        <v>6207</v>
      </c>
      <c r="J265" s="40" t="s">
        <v>18</v>
      </c>
      <c r="K265" s="42" t="s">
        <v>6186</v>
      </c>
      <c r="L265" s="42" t="s">
        <v>6186</v>
      </c>
      <c r="M265" s="42" t="s">
        <v>6186</v>
      </c>
      <c r="N265" s="42" t="s">
        <v>6186</v>
      </c>
      <c r="O265" s="42" t="s">
        <v>6186</v>
      </c>
      <c r="P265" s="42" t="s">
        <v>6186</v>
      </c>
    </row>
    <row r="266" spans="1:16" ht="14.25" customHeight="1" x14ac:dyDescent="0.15">
      <c r="A266" s="42" t="s">
        <v>6208</v>
      </c>
      <c r="B266" s="40" t="s">
        <v>17</v>
      </c>
      <c r="C266" s="42" t="s">
        <v>6186</v>
      </c>
      <c r="D266" s="42" t="s">
        <v>6186</v>
      </c>
      <c r="E266" s="42" t="s">
        <v>6186</v>
      </c>
      <c r="F266" s="42" t="s">
        <v>6186</v>
      </c>
      <c r="G266" s="42" t="s">
        <v>6186</v>
      </c>
      <c r="H266" s="42" t="s">
        <v>6186</v>
      </c>
      <c r="I266" s="42" t="s">
        <v>6211</v>
      </c>
      <c r="J266" s="40" t="s">
        <v>11</v>
      </c>
      <c r="K266" s="42" t="s">
        <v>6186</v>
      </c>
      <c r="L266" s="42" t="s">
        <v>6186</v>
      </c>
      <c r="M266" s="42" t="s">
        <v>6186</v>
      </c>
      <c r="N266" s="42" t="s">
        <v>6186</v>
      </c>
      <c r="O266" s="42" t="s">
        <v>6186</v>
      </c>
      <c r="P266" s="42" t="s">
        <v>6186</v>
      </c>
    </row>
    <row r="267" spans="1:16" ht="14.25" customHeight="1" x14ac:dyDescent="0.15">
      <c r="A267" s="42" t="s">
        <v>6212</v>
      </c>
      <c r="B267" s="40" t="s">
        <v>18</v>
      </c>
      <c r="C267" s="42" t="s">
        <v>6186</v>
      </c>
      <c r="D267" s="42" t="s">
        <v>6186</v>
      </c>
      <c r="E267" s="42" t="s">
        <v>6186</v>
      </c>
      <c r="F267" s="42" t="s">
        <v>6186</v>
      </c>
      <c r="G267" s="42" t="s">
        <v>6186</v>
      </c>
      <c r="H267" s="42" t="s">
        <v>6186</v>
      </c>
      <c r="I267" s="42" t="s">
        <v>6215</v>
      </c>
      <c r="J267" s="40" t="s">
        <v>14</v>
      </c>
      <c r="K267" s="42" t="s">
        <v>6186</v>
      </c>
      <c r="L267" s="42" t="s">
        <v>6186</v>
      </c>
      <c r="M267" s="42" t="s">
        <v>6186</v>
      </c>
      <c r="N267" s="42" t="s">
        <v>6186</v>
      </c>
      <c r="O267" s="42" t="s">
        <v>6186</v>
      </c>
      <c r="P267" s="42" t="s">
        <v>6186</v>
      </c>
    </row>
    <row r="268" spans="1:16" ht="14.25" customHeight="1" x14ac:dyDescent="0.15">
      <c r="A268" s="42" t="s">
        <v>6216</v>
      </c>
      <c r="B268" s="40" t="s">
        <v>11</v>
      </c>
      <c r="C268" s="42" t="s">
        <v>6186</v>
      </c>
      <c r="D268" s="42" t="s">
        <v>6186</v>
      </c>
      <c r="E268" s="42" t="s">
        <v>6186</v>
      </c>
      <c r="F268" s="42" t="s">
        <v>6186</v>
      </c>
      <c r="G268" s="42" t="s">
        <v>6186</v>
      </c>
      <c r="H268" s="42" t="s">
        <v>6186</v>
      </c>
      <c r="I268" s="42" t="s">
        <v>6219</v>
      </c>
      <c r="J268" s="40" t="s">
        <v>13</v>
      </c>
      <c r="K268" s="42" t="s">
        <v>6186</v>
      </c>
      <c r="L268" s="42" t="s">
        <v>6186</v>
      </c>
      <c r="M268" s="42" t="s">
        <v>6186</v>
      </c>
      <c r="N268" s="42" t="s">
        <v>6186</v>
      </c>
      <c r="O268" s="42" t="s">
        <v>6186</v>
      </c>
      <c r="P268" s="42" t="s">
        <v>6186</v>
      </c>
    </row>
    <row r="269" spans="1:16" ht="14.25" customHeight="1" x14ac:dyDescent="0.15">
      <c r="A269" s="42" t="s">
        <v>6220</v>
      </c>
      <c r="B269" s="40" t="s">
        <v>14</v>
      </c>
      <c r="C269" s="42" t="s">
        <v>6458</v>
      </c>
      <c r="D269" s="42" t="s">
        <v>6459</v>
      </c>
      <c r="E269" s="42" t="s">
        <v>6186</v>
      </c>
      <c r="F269" s="42" t="s">
        <v>6186</v>
      </c>
      <c r="G269" s="42" t="s">
        <v>6186</v>
      </c>
      <c r="H269" s="42" t="s">
        <v>6186</v>
      </c>
      <c r="I269" s="42" t="s">
        <v>6221</v>
      </c>
      <c r="J269" s="40" t="s">
        <v>15</v>
      </c>
      <c r="K269" s="42" t="s">
        <v>6186</v>
      </c>
      <c r="L269" s="42" t="s">
        <v>6186</v>
      </c>
      <c r="M269" s="42" t="s">
        <v>6186</v>
      </c>
      <c r="N269" s="42" t="s">
        <v>6186</v>
      </c>
      <c r="O269" s="42" t="s">
        <v>6186</v>
      </c>
      <c r="P269" s="42" t="s">
        <v>6186</v>
      </c>
    </row>
    <row r="270" spans="1:16" ht="14.25" customHeight="1" x14ac:dyDescent="0.15">
      <c r="A270" s="42" t="s">
        <v>6222</v>
      </c>
      <c r="B270" s="40" t="s">
        <v>13</v>
      </c>
      <c r="C270" s="42" t="s">
        <v>6186</v>
      </c>
      <c r="D270" s="42" t="s">
        <v>6186</v>
      </c>
      <c r="E270" s="42" t="s">
        <v>6186</v>
      </c>
      <c r="F270" s="42" t="s">
        <v>6186</v>
      </c>
      <c r="G270" s="42" t="s">
        <v>6186</v>
      </c>
      <c r="H270" s="42" t="s">
        <v>6186</v>
      </c>
      <c r="I270" s="42" t="s">
        <v>6224</v>
      </c>
      <c r="J270" s="40" t="s">
        <v>16</v>
      </c>
      <c r="K270" s="42" t="s">
        <v>6186</v>
      </c>
      <c r="L270" s="42" t="s">
        <v>6186</v>
      </c>
      <c r="M270" s="42" t="s">
        <v>6186</v>
      </c>
      <c r="N270" s="42" t="s">
        <v>6186</v>
      </c>
      <c r="O270" s="42" t="s">
        <v>6186</v>
      </c>
      <c r="P270" s="42" t="s">
        <v>6186</v>
      </c>
    </row>
    <row r="271" spans="1:16" ht="14.25" customHeight="1" x14ac:dyDescent="0.15">
      <c r="A271" s="42" t="s">
        <v>6225</v>
      </c>
      <c r="B271" s="40" t="s">
        <v>15</v>
      </c>
      <c r="C271" s="42" t="s">
        <v>6186</v>
      </c>
      <c r="D271" s="42" t="s">
        <v>6186</v>
      </c>
      <c r="E271" s="42" t="s">
        <v>6186</v>
      </c>
      <c r="F271" s="42" t="s">
        <v>6186</v>
      </c>
      <c r="G271" s="42" t="s">
        <v>6186</v>
      </c>
      <c r="H271" s="42" t="s">
        <v>6186</v>
      </c>
      <c r="I271" s="42" t="s">
        <v>6227</v>
      </c>
      <c r="J271" s="40" t="s">
        <v>17</v>
      </c>
      <c r="K271" s="42" t="s">
        <v>6186</v>
      </c>
      <c r="L271" s="42" t="s">
        <v>6186</v>
      </c>
      <c r="M271" s="42" t="s">
        <v>6186</v>
      </c>
      <c r="N271" s="42" t="s">
        <v>6186</v>
      </c>
      <c r="O271" s="42" t="s">
        <v>6186</v>
      </c>
      <c r="P271" s="42" t="s">
        <v>6186</v>
      </c>
    </row>
    <row r="272" spans="1:16" ht="14.25" customHeight="1" x14ac:dyDescent="0.15">
      <c r="A272" s="42" t="s">
        <v>6228</v>
      </c>
      <c r="B272" s="40" t="s">
        <v>16</v>
      </c>
      <c r="C272" s="42" t="s">
        <v>6186</v>
      </c>
      <c r="D272" s="42" t="s">
        <v>6186</v>
      </c>
      <c r="E272" s="42" t="s">
        <v>6186</v>
      </c>
      <c r="F272" s="42" t="s">
        <v>6186</v>
      </c>
      <c r="G272" s="42" t="s">
        <v>6186</v>
      </c>
      <c r="H272" s="42" t="s">
        <v>6186</v>
      </c>
      <c r="I272" s="42" t="s">
        <v>6230</v>
      </c>
      <c r="J272" s="40" t="s">
        <v>18</v>
      </c>
      <c r="K272" s="42" t="s">
        <v>6186</v>
      </c>
      <c r="L272" s="42" t="s">
        <v>6186</v>
      </c>
      <c r="M272" s="42" t="s">
        <v>6186</v>
      </c>
      <c r="N272" s="42" t="s">
        <v>6186</v>
      </c>
      <c r="O272" s="42" t="s">
        <v>6186</v>
      </c>
      <c r="P272" s="42" t="s">
        <v>6186</v>
      </c>
    </row>
    <row r="273" spans="1:16" ht="14.25" customHeight="1" x14ac:dyDescent="0.15">
      <c r="A273" s="42" t="s">
        <v>6231</v>
      </c>
      <c r="B273" s="40" t="s">
        <v>17</v>
      </c>
      <c r="C273" s="42" t="s">
        <v>6186</v>
      </c>
      <c r="D273" s="42" t="s">
        <v>6186</v>
      </c>
      <c r="E273" s="42" t="s">
        <v>6186</v>
      </c>
      <c r="F273" s="42" t="s">
        <v>6186</v>
      </c>
      <c r="G273" s="42" t="s">
        <v>6186</v>
      </c>
      <c r="H273" s="42" t="s">
        <v>6186</v>
      </c>
      <c r="I273" s="42" t="s">
        <v>6234</v>
      </c>
      <c r="J273" s="40" t="s">
        <v>11</v>
      </c>
      <c r="K273" s="42" t="s">
        <v>6186</v>
      </c>
      <c r="L273" s="42" t="s">
        <v>6186</v>
      </c>
      <c r="M273" s="42" t="s">
        <v>6186</v>
      </c>
      <c r="N273" s="42" t="s">
        <v>6186</v>
      </c>
      <c r="O273" s="42" t="s">
        <v>6186</v>
      </c>
      <c r="P273" s="42" t="s">
        <v>6186</v>
      </c>
    </row>
    <row r="274" spans="1:16" ht="14.25" customHeight="1" x14ac:dyDescent="0.15">
      <c r="A274" s="42" t="s">
        <v>6235</v>
      </c>
      <c r="B274" s="40" t="s">
        <v>18</v>
      </c>
      <c r="C274" s="42" t="s">
        <v>6186</v>
      </c>
      <c r="D274" s="42" t="s">
        <v>6186</v>
      </c>
      <c r="E274" s="42" t="s">
        <v>6186</v>
      </c>
      <c r="F274" s="42" t="s">
        <v>6186</v>
      </c>
      <c r="G274" s="42" t="s">
        <v>6186</v>
      </c>
      <c r="H274" s="42" t="s">
        <v>6186</v>
      </c>
      <c r="I274" s="42" t="s">
        <v>12</v>
      </c>
      <c r="J274" s="42" t="s">
        <v>12</v>
      </c>
      <c r="K274" s="42" t="s">
        <v>12</v>
      </c>
      <c r="L274" s="42" t="s">
        <v>12</v>
      </c>
      <c r="M274" s="42" t="s">
        <v>12</v>
      </c>
      <c r="N274" s="42" t="s">
        <v>12</v>
      </c>
      <c r="O274" s="42" t="s">
        <v>12</v>
      </c>
      <c r="P274" s="42" t="s">
        <v>12</v>
      </c>
    </row>
    <row r="275" spans="1:16" ht="14.25" customHeight="1" x14ac:dyDescent="0.15">
      <c r="A275" s="35"/>
      <c r="C275" s="46"/>
      <c r="D275" s="46"/>
      <c r="E275" s="46"/>
      <c r="F275" s="46"/>
      <c r="G275" s="47"/>
      <c r="H275" s="47"/>
      <c r="I275" s="36"/>
      <c r="M275" s="131" t="s">
        <v>6237</v>
      </c>
      <c r="N275" s="131"/>
      <c r="O275" s="131"/>
      <c r="P275" s="131"/>
    </row>
    <row r="276" spans="1:16" ht="14.25" customHeight="1" x14ac:dyDescent="0.15">
      <c r="A276" s="34"/>
    </row>
    <row r="277" spans="1:16" ht="14.25" customHeight="1" x14ac:dyDescent="0.15">
      <c r="A277" s="34"/>
    </row>
    <row r="278" spans="1:16" ht="14.25" customHeight="1" x14ac:dyDescent="0.15">
      <c r="A278" s="35"/>
      <c r="B278" s="36"/>
    </row>
    <row r="279" spans="1:16" ht="14.25" customHeight="1" x14ac:dyDescent="0.15">
      <c r="A279" s="124" t="s">
        <v>6178</v>
      </c>
      <c r="B279" s="125"/>
      <c r="C279" s="125"/>
      <c r="D279" s="126"/>
      <c r="E279" s="124" t="s">
        <v>6460</v>
      </c>
      <c r="F279" s="125"/>
      <c r="G279" s="126"/>
      <c r="H279" s="124" t="s">
        <v>6461</v>
      </c>
      <c r="I279" s="126"/>
      <c r="J279" s="125" t="s">
        <v>6181</v>
      </c>
      <c r="K279" s="125"/>
      <c r="L279" s="126"/>
      <c r="M279" s="124" t="s">
        <v>6182</v>
      </c>
      <c r="N279" s="125"/>
      <c r="O279" s="125"/>
      <c r="P279" s="126"/>
    </row>
    <row r="280" spans="1:16" ht="14.25" customHeight="1" x14ac:dyDescent="0.15">
      <c r="A280" s="124" t="s">
        <v>6462</v>
      </c>
      <c r="B280" s="125"/>
      <c r="C280" s="125"/>
      <c r="D280" s="125"/>
      <c r="E280" s="125"/>
      <c r="F280" s="125"/>
      <c r="G280" s="125"/>
      <c r="H280" s="125"/>
      <c r="I280" s="125"/>
      <c r="J280" s="125"/>
      <c r="K280" s="125"/>
      <c r="L280" s="125"/>
      <c r="M280" s="125"/>
      <c r="N280" s="125"/>
      <c r="O280" s="125"/>
      <c r="P280" s="126"/>
    </row>
    <row r="281" spans="1:16" ht="14.25" customHeight="1" x14ac:dyDescent="0.15">
      <c r="A281" s="124" t="s">
        <v>6184</v>
      </c>
      <c r="B281" s="125"/>
      <c r="C281" s="125"/>
      <c r="D281" s="125"/>
      <c r="E281" s="125"/>
      <c r="F281" s="125"/>
      <c r="G281" s="125"/>
      <c r="H281" s="125"/>
      <c r="I281" s="125"/>
      <c r="J281" s="125"/>
      <c r="K281" s="125"/>
      <c r="L281" s="125"/>
      <c r="M281" s="125"/>
      <c r="N281" s="125"/>
      <c r="O281" s="125"/>
      <c r="P281" s="126"/>
    </row>
    <row r="282" spans="1:16" ht="14.25" customHeight="1" x14ac:dyDescent="0.15">
      <c r="A282" s="37"/>
      <c r="B282" s="38"/>
      <c r="C282" s="127" t="s">
        <v>4</v>
      </c>
      <c r="D282" s="128"/>
      <c r="E282" s="129" t="s">
        <v>5</v>
      </c>
      <c r="F282" s="130"/>
      <c r="G282" s="129" t="s">
        <v>6</v>
      </c>
      <c r="H282" s="130"/>
      <c r="I282" s="38"/>
      <c r="J282" s="38"/>
      <c r="K282" s="127" t="s">
        <v>4</v>
      </c>
      <c r="L282" s="128"/>
      <c r="M282" s="129" t="s">
        <v>5</v>
      </c>
      <c r="N282" s="130"/>
      <c r="O282" s="129" t="s">
        <v>6</v>
      </c>
      <c r="P282" s="130"/>
    </row>
    <row r="283" spans="1:16" ht="24" customHeight="1" x14ac:dyDescent="0.15">
      <c r="A283" s="39" t="s">
        <v>7</v>
      </c>
      <c r="B283" s="40" t="s">
        <v>8</v>
      </c>
      <c r="C283" s="41" t="s">
        <v>9</v>
      </c>
      <c r="D283" s="41" t="s">
        <v>10</v>
      </c>
      <c r="E283" s="41" t="s">
        <v>9</v>
      </c>
      <c r="F283" s="41" t="s">
        <v>10</v>
      </c>
      <c r="G283" s="41" t="s">
        <v>9</v>
      </c>
      <c r="H283" s="41" t="s">
        <v>10</v>
      </c>
      <c r="I283" s="48" t="s">
        <v>7</v>
      </c>
      <c r="J283" s="40" t="s">
        <v>8</v>
      </c>
      <c r="K283" s="41" t="s">
        <v>9</v>
      </c>
      <c r="L283" s="41" t="s">
        <v>10</v>
      </c>
      <c r="M283" s="41" t="s">
        <v>9</v>
      </c>
      <c r="N283" s="41" t="s">
        <v>10</v>
      </c>
      <c r="O283" s="41" t="s">
        <v>9</v>
      </c>
      <c r="P283" s="41" t="s">
        <v>10</v>
      </c>
    </row>
    <row r="284" spans="1:16" ht="14.25" customHeight="1" x14ac:dyDescent="0.15">
      <c r="A284" s="42" t="s">
        <v>6185</v>
      </c>
      <c r="B284" s="40" t="s">
        <v>17</v>
      </c>
      <c r="C284" s="42" t="s">
        <v>6186</v>
      </c>
      <c r="D284" s="42" t="s">
        <v>6186</v>
      </c>
      <c r="E284" s="42" t="s">
        <v>6186</v>
      </c>
      <c r="F284" s="42" t="s">
        <v>6186</v>
      </c>
      <c r="G284" s="42" t="s">
        <v>6186</v>
      </c>
      <c r="H284" s="42" t="s">
        <v>6186</v>
      </c>
      <c r="I284" s="42" t="s">
        <v>6187</v>
      </c>
      <c r="J284" s="40" t="s">
        <v>11</v>
      </c>
      <c r="K284" s="42" t="s">
        <v>6463</v>
      </c>
      <c r="L284" s="42" t="s">
        <v>6438</v>
      </c>
      <c r="M284" s="42" t="s">
        <v>6186</v>
      </c>
      <c r="N284" s="42" t="s">
        <v>6186</v>
      </c>
      <c r="O284" s="42" t="s">
        <v>6186</v>
      </c>
      <c r="P284" s="42" t="s">
        <v>6186</v>
      </c>
    </row>
    <row r="285" spans="1:16" ht="14.25" customHeight="1" x14ac:dyDescent="0.15">
      <c r="A285" s="42" t="s">
        <v>6190</v>
      </c>
      <c r="B285" s="40" t="s">
        <v>18</v>
      </c>
      <c r="C285" s="42" t="s">
        <v>6186</v>
      </c>
      <c r="D285" s="42" t="s">
        <v>6186</v>
      </c>
      <c r="E285" s="42" t="s">
        <v>6186</v>
      </c>
      <c r="F285" s="42" t="s">
        <v>6186</v>
      </c>
      <c r="G285" s="42" t="s">
        <v>6186</v>
      </c>
      <c r="H285" s="42" t="s">
        <v>6186</v>
      </c>
      <c r="I285" s="42" t="s">
        <v>6191</v>
      </c>
      <c r="J285" s="40" t="s">
        <v>14</v>
      </c>
      <c r="K285" s="42" t="s">
        <v>6464</v>
      </c>
      <c r="L285" s="42" t="s">
        <v>6465</v>
      </c>
      <c r="M285" s="42" t="s">
        <v>6186</v>
      </c>
      <c r="N285" s="42" t="s">
        <v>6186</v>
      </c>
      <c r="O285" s="42" t="s">
        <v>6186</v>
      </c>
      <c r="P285" s="42" t="s">
        <v>6186</v>
      </c>
    </row>
    <row r="286" spans="1:16" ht="14.25" customHeight="1" x14ac:dyDescent="0.15">
      <c r="A286" s="42" t="s">
        <v>6194</v>
      </c>
      <c r="B286" s="40" t="s">
        <v>11</v>
      </c>
      <c r="C286" s="42" t="s">
        <v>6186</v>
      </c>
      <c r="D286" s="42" t="s">
        <v>6186</v>
      </c>
      <c r="E286" s="42" t="s">
        <v>6186</v>
      </c>
      <c r="F286" s="42" t="s">
        <v>6186</v>
      </c>
      <c r="G286" s="42" t="s">
        <v>6186</v>
      </c>
      <c r="H286" s="42" t="s">
        <v>6186</v>
      </c>
      <c r="I286" s="42" t="s">
        <v>6195</v>
      </c>
      <c r="J286" s="40" t="s">
        <v>13</v>
      </c>
      <c r="K286" s="42" t="s">
        <v>6317</v>
      </c>
      <c r="L286" s="42" t="s">
        <v>6466</v>
      </c>
      <c r="M286" s="42" t="s">
        <v>6186</v>
      </c>
      <c r="N286" s="42" t="s">
        <v>6186</v>
      </c>
      <c r="O286" s="42" t="s">
        <v>6186</v>
      </c>
      <c r="P286" s="42" t="s">
        <v>6186</v>
      </c>
    </row>
    <row r="287" spans="1:16" ht="14.25" customHeight="1" x14ac:dyDescent="0.15">
      <c r="A287" s="42" t="s">
        <v>6198</v>
      </c>
      <c r="B287" s="40" t="s">
        <v>14</v>
      </c>
      <c r="C287" s="42" t="s">
        <v>6186</v>
      </c>
      <c r="D287" s="42" t="s">
        <v>6186</v>
      </c>
      <c r="E287" s="42" t="s">
        <v>6186</v>
      </c>
      <c r="F287" s="42" t="s">
        <v>6186</v>
      </c>
      <c r="G287" s="42" t="s">
        <v>6186</v>
      </c>
      <c r="H287" s="42" t="s">
        <v>6186</v>
      </c>
      <c r="I287" s="42" t="s">
        <v>6199</v>
      </c>
      <c r="J287" s="40" t="s">
        <v>15</v>
      </c>
      <c r="K287" s="42" t="s">
        <v>6467</v>
      </c>
      <c r="L287" s="42" t="s">
        <v>6329</v>
      </c>
      <c r="M287" s="42" t="s">
        <v>6186</v>
      </c>
      <c r="N287" s="42" t="s">
        <v>6186</v>
      </c>
      <c r="O287" s="42" t="s">
        <v>6186</v>
      </c>
      <c r="P287" s="42" t="s">
        <v>6186</v>
      </c>
    </row>
    <row r="288" spans="1:16" ht="14.25" customHeight="1" x14ac:dyDescent="0.15">
      <c r="A288" s="42" t="s">
        <v>6202</v>
      </c>
      <c r="B288" s="40" t="s">
        <v>13</v>
      </c>
      <c r="C288" s="42" t="s">
        <v>6186</v>
      </c>
      <c r="D288" s="42" t="s">
        <v>6186</v>
      </c>
      <c r="E288" s="42" t="s">
        <v>6186</v>
      </c>
      <c r="F288" s="42" t="s">
        <v>6186</v>
      </c>
      <c r="G288" s="42" t="s">
        <v>6186</v>
      </c>
      <c r="H288" s="42" t="s">
        <v>6186</v>
      </c>
      <c r="I288" s="42" t="s">
        <v>6203</v>
      </c>
      <c r="J288" s="40" t="s">
        <v>16</v>
      </c>
      <c r="K288" s="42" t="s">
        <v>6468</v>
      </c>
      <c r="L288" s="42" t="s">
        <v>6277</v>
      </c>
      <c r="M288" s="42" t="s">
        <v>6186</v>
      </c>
      <c r="N288" s="42" t="s">
        <v>6186</v>
      </c>
      <c r="O288" s="42" t="s">
        <v>6186</v>
      </c>
      <c r="P288" s="42" t="s">
        <v>6186</v>
      </c>
    </row>
    <row r="289" spans="1:16" ht="14.25" customHeight="1" x14ac:dyDescent="0.15">
      <c r="A289" s="42" t="s">
        <v>6204</v>
      </c>
      <c r="B289" s="40" t="s">
        <v>15</v>
      </c>
      <c r="C289" s="42" t="s">
        <v>6186</v>
      </c>
      <c r="D289" s="42" t="s">
        <v>6186</v>
      </c>
      <c r="E289" s="42" t="s">
        <v>6186</v>
      </c>
      <c r="F289" s="42" t="s">
        <v>6186</v>
      </c>
      <c r="G289" s="42" t="s">
        <v>6186</v>
      </c>
      <c r="H289" s="42" t="s">
        <v>6186</v>
      </c>
      <c r="I289" s="42" t="s">
        <v>6205</v>
      </c>
      <c r="J289" s="40" t="s">
        <v>17</v>
      </c>
      <c r="K289" s="42" t="s">
        <v>6469</v>
      </c>
      <c r="L289" s="42" t="s">
        <v>6470</v>
      </c>
      <c r="M289" s="42" t="s">
        <v>6186</v>
      </c>
      <c r="N289" s="42" t="s">
        <v>6186</v>
      </c>
      <c r="O289" s="42" t="s">
        <v>6186</v>
      </c>
      <c r="P289" s="42" t="s">
        <v>6186</v>
      </c>
    </row>
    <row r="290" spans="1:16" ht="14.25" customHeight="1" x14ac:dyDescent="0.15">
      <c r="A290" s="42" t="s">
        <v>6206</v>
      </c>
      <c r="B290" s="40" t="s">
        <v>16</v>
      </c>
      <c r="C290" s="42" t="s">
        <v>6186</v>
      </c>
      <c r="D290" s="42" t="s">
        <v>6186</v>
      </c>
      <c r="E290" s="42" t="s">
        <v>6186</v>
      </c>
      <c r="F290" s="42" t="s">
        <v>6186</v>
      </c>
      <c r="G290" s="42" t="s">
        <v>6186</v>
      </c>
      <c r="H290" s="42" t="s">
        <v>6186</v>
      </c>
      <c r="I290" s="42" t="s">
        <v>6207</v>
      </c>
      <c r="J290" s="40" t="s">
        <v>18</v>
      </c>
      <c r="K290" s="42" t="s">
        <v>6468</v>
      </c>
      <c r="L290" s="42" t="s">
        <v>6471</v>
      </c>
      <c r="M290" s="42" t="s">
        <v>6186</v>
      </c>
      <c r="N290" s="42" t="s">
        <v>6186</v>
      </c>
      <c r="O290" s="42" t="s">
        <v>6186</v>
      </c>
      <c r="P290" s="42" t="s">
        <v>6186</v>
      </c>
    </row>
    <row r="291" spans="1:16" ht="14.25" customHeight="1" x14ac:dyDescent="0.15">
      <c r="A291" s="42" t="s">
        <v>6208</v>
      </c>
      <c r="B291" s="40" t="s">
        <v>17</v>
      </c>
      <c r="C291" s="42" t="s">
        <v>6321</v>
      </c>
      <c r="D291" s="42" t="s">
        <v>6471</v>
      </c>
      <c r="E291" s="42" t="s">
        <v>6186</v>
      </c>
      <c r="F291" s="42" t="s">
        <v>6186</v>
      </c>
      <c r="G291" s="42" t="s">
        <v>6186</v>
      </c>
      <c r="H291" s="42" t="s">
        <v>6186</v>
      </c>
      <c r="I291" s="42" t="s">
        <v>6211</v>
      </c>
      <c r="J291" s="40" t="s">
        <v>11</v>
      </c>
      <c r="K291" s="42" t="s">
        <v>6472</v>
      </c>
      <c r="L291" s="42" t="s">
        <v>6142</v>
      </c>
      <c r="M291" s="42" t="s">
        <v>6186</v>
      </c>
      <c r="N291" s="42" t="s">
        <v>6186</v>
      </c>
      <c r="O291" s="42" t="s">
        <v>6186</v>
      </c>
      <c r="P291" s="42" t="s">
        <v>6186</v>
      </c>
    </row>
    <row r="292" spans="1:16" ht="14.25" customHeight="1" x14ac:dyDescent="0.15">
      <c r="A292" s="42" t="s">
        <v>6212</v>
      </c>
      <c r="B292" s="40" t="s">
        <v>18</v>
      </c>
      <c r="C292" s="42" t="s">
        <v>6439</v>
      </c>
      <c r="D292" s="42" t="s">
        <v>6356</v>
      </c>
      <c r="E292" s="42" t="s">
        <v>6186</v>
      </c>
      <c r="F292" s="42" t="s">
        <v>6186</v>
      </c>
      <c r="G292" s="42" t="s">
        <v>6186</v>
      </c>
      <c r="H292" s="42" t="s">
        <v>6186</v>
      </c>
      <c r="I292" s="42" t="s">
        <v>6215</v>
      </c>
      <c r="J292" s="40" t="s">
        <v>14</v>
      </c>
      <c r="K292" s="42" t="s">
        <v>6473</v>
      </c>
      <c r="L292" s="42" t="s">
        <v>6474</v>
      </c>
      <c r="M292" s="42" t="s">
        <v>6186</v>
      </c>
      <c r="N292" s="42" t="s">
        <v>6186</v>
      </c>
      <c r="O292" s="42" t="s">
        <v>6186</v>
      </c>
      <c r="P292" s="42" t="s">
        <v>6186</v>
      </c>
    </row>
    <row r="293" spans="1:16" ht="14.25" customHeight="1" x14ac:dyDescent="0.15">
      <c r="A293" s="42" t="s">
        <v>6216</v>
      </c>
      <c r="B293" s="40" t="s">
        <v>11</v>
      </c>
      <c r="C293" s="42" t="s">
        <v>6475</v>
      </c>
      <c r="D293" s="42" t="s">
        <v>6476</v>
      </c>
      <c r="E293" s="42" t="s">
        <v>6186</v>
      </c>
      <c r="F293" s="42" t="s">
        <v>6186</v>
      </c>
      <c r="G293" s="42" t="s">
        <v>6186</v>
      </c>
      <c r="H293" s="42" t="s">
        <v>6186</v>
      </c>
      <c r="I293" s="42" t="s">
        <v>6219</v>
      </c>
      <c r="J293" s="40" t="s">
        <v>13</v>
      </c>
      <c r="K293" s="42" t="s">
        <v>6469</v>
      </c>
      <c r="L293" s="42" t="s">
        <v>6477</v>
      </c>
      <c r="M293" s="42" t="s">
        <v>6186</v>
      </c>
      <c r="N293" s="42" t="s">
        <v>6186</v>
      </c>
      <c r="O293" s="42" t="s">
        <v>6186</v>
      </c>
      <c r="P293" s="42" t="s">
        <v>6186</v>
      </c>
    </row>
    <row r="294" spans="1:16" ht="14.25" customHeight="1" x14ac:dyDescent="0.15">
      <c r="A294" s="42" t="s">
        <v>6220</v>
      </c>
      <c r="B294" s="40" t="s">
        <v>14</v>
      </c>
      <c r="C294" s="42" t="s">
        <v>6475</v>
      </c>
      <c r="D294" s="42" t="s">
        <v>6248</v>
      </c>
      <c r="E294" s="42" t="s">
        <v>6186</v>
      </c>
      <c r="F294" s="42" t="s">
        <v>6186</v>
      </c>
      <c r="G294" s="42" t="s">
        <v>6186</v>
      </c>
      <c r="H294" s="42" t="s">
        <v>6186</v>
      </c>
      <c r="I294" s="42" t="s">
        <v>6221</v>
      </c>
      <c r="J294" s="40" t="s">
        <v>15</v>
      </c>
      <c r="K294" s="42" t="s">
        <v>6186</v>
      </c>
      <c r="L294" s="42" t="s">
        <v>6186</v>
      </c>
      <c r="M294" s="42" t="s">
        <v>6186</v>
      </c>
      <c r="N294" s="42" t="s">
        <v>6186</v>
      </c>
      <c r="O294" s="42" t="s">
        <v>6186</v>
      </c>
      <c r="P294" s="42" t="s">
        <v>6186</v>
      </c>
    </row>
    <row r="295" spans="1:16" ht="14.25" customHeight="1" x14ac:dyDescent="0.15">
      <c r="A295" s="42" t="s">
        <v>6222</v>
      </c>
      <c r="B295" s="40" t="s">
        <v>13</v>
      </c>
      <c r="C295" s="44">
        <v>0.32638888887595402</v>
      </c>
      <c r="D295" s="42" t="s">
        <v>6142</v>
      </c>
      <c r="E295" s="42" t="s">
        <v>6186</v>
      </c>
      <c r="F295" s="42" t="s">
        <v>6186</v>
      </c>
      <c r="G295" s="42" t="s">
        <v>6186</v>
      </c>
      <c r="H295" s="42" t="s">
        <v>6186</v>
      </c>
      <c r="I295" s="42" t="s">
        <v>6224</v>
      </c>
      <c r="J295" s="40" t="s">
        <v>16</v>
      </c>
      <c r="K295" s="42" t="s">
        <v>6186</v>
      </c>
      <c r="L295" s="42" t="s">
        <v>6186</v>
      </c>
      <c r="M295" s="42" t="s">
        <v>6186</v>
      </c>
      <c r="N295" s="42" t="s">
        <v>6186</v>
      </c>
      <c r="O295" s="42" t="s">
        <v>6186</v>
      </c>
      <c r="P295" s="42" t="s">
        <v>6186</v>
      </c>
    </row>
    <row r="296" spans="1:16" ht="14.25" customHeight="1" x14ac:dyDescent="0.15">
      <c r="A296" s="42" t="s">
        <v>6225</v>
      </c>
      <c r="B296" s="40" t="s">
        <v>15</v>
      </c>
      <c r="C296" s="42" t="s">
        <v>6475</v>
      </c>
      <c r="D296" s="42" t="s">
        <v>6478</v>
      </c>
      <c r="E296" s="42" t="s">
        <v>6186</v>
      </c>
      <c r="F296" s="42" t="s">
        <v>6186</v>
      </c>
      <c r="G296" s="42" t="s">
        <v>6186</v>
      </c>
      <c r="H296" s="42" t="s">
        <v>6186</v>
      </c>
      <c r="I296" s="42" t="s">
        <v>6227</v>
      </c>
      <c r="J296" s="40" t="s">
        <v>17</v>
      </c>
      <c r="K296" s="42" t="s">
        <v>6186</v>
      </c>
      <c r="L296" s="42" t="s">
        <v>6186</v>
      </c>
      <c r="M296" s="42" t="s">
        <v>6186</v>
      </c>
      <c r="N296" s="42" t="s">
        <v>6186</v>
      </c>
      <c r="O296" s="42" t="s">
        <v>6186</v>
      </c>
      <c r="P296" s="42" t="s">
        <v>6186</v>
      </c>
    </row>
    <row r="297" spans="1:16" ht="14.25" customHeight="1" x14ac:dyDescent="0.15">
      <c r="A297" s="42" t="s">
        <v>6228</v>
      </c>
      <c r="B297" s="40" t="s">
        <v>16</v>
      </c>
      <c r="C297" s="42" t="s">
        <v>6464</v>
      </c>
      <c r="D297" s="42" t="s">
        <v>6214</v>
      </c>
      <c r="E297" s="42" t="s">
        <v>6186</v>
      </c>
      <c r="F297" s="42" t="s">
        <v>6186</v>
      </c>
      <c r="G297" s="42" t="s">
        <v>6186</v>
      </c>
      <c r="H297" s="42" t="s">
        <v>6186</v>
      </c>
      <c r="I297" s="42" t="s">
        <v>6230</v>
      </c>
      <c r="J297" s="40" t="s">
        <v>18</v>
      </c>
      <c r="K297" s="42" t="s">
        <v>6186</v>
      </c>
      <c r="L297" s="42" t="s">
        <v>6186</v>
      </c>
      <c r="M297" s="42" t="s">
        <v>6186</v>
      </c>
      <c r="N297" s="42" t="s">
        <v>6186</v>
      </c>
      <c r="O297" s="42" t="s">
        <v>6186</v>
      </c>
      <c r="P297" s="42" t="s">
        <v>6186</v>
      </c>
    </row>
    <row r="298" spans="1:16" ht="14.25" customHeight="1" x14ac:dyDescent="0.15">
      <c r="A298" s="42" t="s">
        <v>6231</v>
      </c>
      <c r="B298" s="40" t="s">
        <v>17</v>
      </c>
      <c r="C298" s="42" t="s">
        <v>6315</v>
      </c>
      <c r="D298" s="42" t="s">
        <v>6479</v>
      </c>
      <c r="E298" s="42" t="s">
        <v>6186</v>
      </c>
      <c r="F298" s="42" t="s">
        <v>6186</v>
      </c>
      <c r="G298" s="42" t="s">
        <v>6186</v>
      </c>
      <c r="H298" s="42" t="s">
        <v>6186</v>
      </c>
      <c r="I298" s="42" t="s">
        <v>6234</v>
      </c>
      <c r="J298" s="40" t="s">
        <v>11</v>
      </c>
      <c r="K298" s="42" t="s">
        <v>6186</v>
      </c>
      <c r="L298" s="42" t="s">
        <v>6186</v>
      </c>
      <c r="M298" s="42" t="s">
        <v>6186</v>
      </c>
      <c r="N298" s="42" t="s">
        <v>6186</v>
      </c>
      <c r="O298" s="42" t="s">
        <v>6186</v>
      </c>
      <c r="P298" s="42" t="s">
        <v>6186</v>
      </c>
    </row>
    <row r="299" spans="1:16" ht="14.25" customHeight="1" x14ac:dyDescent="0.15">
      <c r="A299" s="42" t="s">
        <v>6235</v>
      </c>
      <c r="B299" s="40" t="s">
        <v>18</v>
      </c>
      <c r="C299" s="42" t="s">
        <v>6475</v>
      </c>
      <c r="D299" s="42" t="s">
        <v>6335</v>
      </c>
      <c r="E299" s="42" t="s">
        <v>6186</v>
      </c>
      <c r="F299" s="42" t="s">
        <v>6186</v>
      </c>
      <c r="G299" s="42" t="s">
        <v>6186</v>
      </c>
      <c r="H299" s="42" t="s">
        <v>6186</v>
      </c>
      <c r="I299" s="42" t="s">
        <v>12</v>
      </c>
      <c r="J299" s="42" t="s">
        <v>12</v>
      </c>
      <c r="K299" s="42" t="s">
        <v>12</v>
      </c>
      <c r="L299" s="42" t="s">
        <v>12</v>
      </c>
      <c r="M299" s="42" t="s">
        <v>12</v>
      </c>
      <c r="N299" s="42" t="s">
        <v>12</v>
      </c>
      <c r="O299" s="42" t="s">
        <v>12</v>
      </c>
      <c r="P299" s="42" t="s">
        <v>12</v>
      </c>
    </row>
    <row r="300" spans="1:16" ht="14.25" customHeight="1" x14ac:dyDescent="0.15">
      <c r="A300" s="35"/>
      <c r="C300" s="46"/>
      <c r="D300" s="46"/>
      <c r="E300" s="46"/>
      <c r="F300" s="46"/>
      <c r="G300" s="47"/>
      <c r="H300" s="47"/>
      <c r="I300" s="36"/>
      <c r="M300" s="131" t="s">
        <v>6237</v>
      </c>
      <c r="N300" s="131"/>
      <c r="O300" s="131"/>
      <c r="P300" s="131"/>
    </row>
    <row r="301" spans="1:16" ht="14.25" customHeight="1" x14ac:dyDescent="0.15">
      <c r="A301" s="34"/>
    </row>
    <row r="302" spans="1:16" ht="14.25" customHeight="1" x14ac:dyDescent="0.15">
      <c r="A302" s="34"/>
    </row>
    <row r="303" spans="1:16" ht="14.25" customHeight="1" x14ac:dyDescent="0.15">
      <c r="A303" s="35"/>
      <c r="B303" s="36"/>
    </row>
    <row r="304" spans="1:16" ht="14.25" customHeight="1" x14ac:dyDescent="0.15">
      <c r="A304" s="124" t="s">
        <v>6178</v>
      </c>
      <c r="B304" s="125"/>
      <c r="C304" s="125"/>
      <c r="D304" s="126"/>
      <c r="E304" s="124" t="s">
        <v>6480</v>
      </c>
      <c r="F304" s="125"/>
      <c r="G304" s="126"/>
      <c r="H304" s="124" t="s">
        <v>6254</v>
      </c>
      <c r="I304" s="126"/>
      <c r="J304" s="125" t="s">
        <v>6181</v>
      </c>
      <c r="K304" s="125"/>
      <c r="L304" s="126"/>
      <c r="M304" s="124" t="s">
        <v>6182</v>
      </c>
      <c r="N304" s="125"/>
      <c r="O304" s="125"/>
      <c r="P304" s="126"/>
    </row>
    <row r="305" spans="1:16" ht="14.25" customHeight="1" x14ac:dyDescent="0.15">
      <c r="A305" s="124" t="s">
        <v>6314</v>
      </c>
      <c r="B305" s="125"/>
      <c r="C305" s="125"/>
      <c r="D305" s="125"/>
      <c r="E305" s="125"/>
      <c r="F305" s="125"/>
      <c r="G305" s="125"/>
      <c r="H305" s="125"/>
      <c r="I305" s="125"/>
      <c r="J305" s="125"/>
      <c r="K305" s="125"/>
      <c r="L305" s="125"/>
      <c r="M305" s="125"/>
      <c r="N305" s="125"/>
      <c r="O305" s="125"/>
      <c r="P305" s="126"/>
    </row>
    <row r="306" spans="1:16" ht="14.25" customHeight="1" x14ac:dyDescent="0.15">
      <c r="A306" s="124" t="s">
        <v>6184</v>
      </c>
      <c r="B306" s="125"/>
      <c r="C306" s="125"/>
      <c r="D306" s="125"/>
      <c r="E306" s="125"/>
      <c r="F306" s="125"/>
      <c r="G306" s="125"/>
      <c r="H306" s="125"/>
      <c r="I306" s="125"/>
      <c r="J306" s="125"/>
      <c r="K306" s="125"/>
      <c r="L306" s="125"/>
      <c r="M306" s="125"/>
      <c r="N306" s="125"/>
      <c r="O306" s="125"/>
      <c r="P306" s="126"/>
    </row>
    <row r="307" spans="1:16" ht="14.25" customHeight="1" x14ac:dyDescent="0.15">
      <c r="A307" s="37"/>
      <c r="B307" s="38"/>
      <c r="C307" s="127" t="s">
        <v>4</v>
      </c>
      <c r="D307" s="128"/>
      <c r="E307" s="129" t="s">
        <v>5</v>
      </c>
      <c r="F307" s="130"/>
      <c r="G307" s="129" t="s">
        <v>6</v>
      </c>
      <c r="H307" s="130"/>
      <c r="I307" s="38"/>
      <c r="J307" s="38"/>
      <c r="K307" s="127" t="s">
        <v>4</v>
      </c>
      <c r="L307" s="128"/>
      <c r="M307" s="129" t="s">
        <v>5</v>
      </c>
      <c r="N307" s="130"/>
      <c r="O307" s="129" t="s">
        <v>6</v>
      </c>
      <c r="P307" s="130"/>
    </row>
    <row r="308" spans="1:16" ht="24" customHeight="1" x14ac:dyDescent="0.15">
      <c r="A308" s="39" t="s">
        <v>7</v>
      </c>
      <c r="B308" s="40" t="s">
        <v>8</v>
      </c>
      <c r="C308" s="41" t="s">
        <v>9</v>
      </c>
      <c r="D308" s="41" t="s">
        <v>10</v>
      </c>
      <c r="E308" s="41" t="s">
        <v>9</v>
      </c>
      <c r="F308" s="41" t="s">
        <v>10</v>
      </c>
      <c r="G308" s="41" t="s">
        <v>9</v>
      </c>
      <c r="H308" s="41" t="s">
        <v>10</v>
      </c>
      <c r="I308" s="48" t="s">
        <v>7</v>
      </c>
      <c r="J308" s="40" t="s">
        <v>8</v>
      </c>
      <c r="K308" s="41" t="s">
        <v>9</v>
      </c>
      <c r="L308" s="41" t="s">
        <v>10</v>
      </c>
      <c r="M308" s="41" t="s">
        <v>9</v>
      </c>
      <c r="N308" s="41" t="s">
        <v>10</v>
      </c>
      <c r="O308" s="41" t="s">
        <v>9</v>
      </c>
      <c r="P308" s="41" t="s">
        <v>10</v>
      </c>
    </row>
    <row r="309" spans="1:16" ht="14.25" customHeight="1" x14ac:dyDescent="0.15">
      <c r="A309" s="42" t="s">
        <v>6185</v>
      </c>
      <c r="B309" s="40" t="s">
        <v>17</v>
      </c>
      <c r="C309" s="42" t="s">
        <v>6186</v>
      </c>
      <c r="D309" s="42" t="s">
        <v>6186</v>
      </c>
      <c r="E309" s="42" t="s">
        <v>6186</v>
      </c>
      <c r="F309" s="42" t="s">
        <v>6186</v>
      </c>
      <c r="G309" s="42" t="s">
        <v>6186</v>
      </c>
      <c r="H309" s="42" t="s">
        <v>6186</v>
      </c>
      <c r="I309" s="42" t="s">
        <v>6187</v>
      </c>
      <c r="J309" s="40" t="s">
        <v>11</v>
      </c>
      <c r="K309" s="42" t="s">
        <v>6463</v>
      </c>
      <c r="L309" s="42" t="s">
        <v>6481</v>
      </c>
      <c r="M309" s="42" t="s">
        <v>6186</v>
      </c>
      <c r="N309" s="42" t="s">
        <v>6186</v>
      </c>
      <c r="O309" s="42" t="s">
        <v>6186</v>
      </c>
      <c r="P309" s="42" t="s">
        <v>6186</v>
      </c>
    </row>
    <row r="310" spans="1:16" ht="14.25" customHeight="1" x14ac:dyDescent="0.15">
      <c r="A310" s="42" t="s">
        <v>6190</v>
      </c>
      <c r="B310" s="40" t="s">
        <v>18</v>
      </c>
      <c r="C310" s="42" t="s">
        <v>6186</v>
      </c>
      <c r="D310" s="42" t="s">
        <v>6186</v>
      </c>
      <c r="E310" s="42" t="s">
        <v>6186</v>
      </c>
      <c r="F310" s="42" t="s">
        <v>6186</v>
      </c>
      <c r="G310" s="42" t="s">
        <v>6186</v>
      </c>
      <c r="H310" s="42" t="s">
        <v>6186</v>
      </c>
      <c r="I310" s="42" t="s">
        <v>6191</v>
      </c>
      <c r="J310" s="40" t="s">
        <v>14</v>
      </c>
      <c r="K310" s="42" t="s">
        <v>6463</v>
      </c>
      <c r="L310" s="42" t="s">
        <v>6465</v>
      </c>
      <c r="M310" s="42" t="s">
        <v>6186</v>
      </c>
      <c r="N310" s="42" t="s">
        <v>6186</v>
      </c>
      <c r="O310" s="42" t="s">
        <v>6186</v>
      </c>
      <c r="P310" s="42" t="s">
        <v>6186</v>
      </c>
    </row>
    <row r="311" spans="1:16" ht="14.25" customHeight="1" x14ac:dyDescent="0.15">
      <c r="A311" s="42" t="s">
        <v>6194</v>
      </c>
      <c r="B311" s="40" t="s">
        <v>11</v>
      </c>
      <c r="C311" s="42" t="s">
        <v>6186</v>
      </c>
      <c r="D311" s="42" t="s">
        <v>6186</v>
      </c>
      <c r="E311" s="42" t="s">
        <v>6186</v>
      </c>
      <c r="F311" s="42" t="s">
        <v>6186</v>
      </c>
      <c r="G311" s="42" t="s">
        <v>6186</v>
      </c>
      <c r="H311" s="42" t="s">
        <v>6186</v>
      </c>
      <c r="I311" s="42" t="s">
        <v>6195</v>
      </c>
      <c r="J311" s="40" t="s">
        <v>13</v>
      </c>
      <c r="K311" s="42" t="s">
        <v>6482</v>
      </c>
      <c r="L311" s="42" t="s">
        <v>6157</v>
      </c>
      <c r="M311" s="42" t="s">
        <v>6186</v>
      </c>
      <c r="N311" s="42" t="s">
        <v>6186</v>
      </c>
      <c r="O311" s="42" t="s">
        <v>6186</v>
      </c>
      <c r="P311" s="42" t="s">
        <v>6186</v>
      </c>
    </row>
    <row r="312" spans="1:16" ht="14.25" customHeight="1" x14ac:dyDescent="0.15">
      <c r="A312" s="42" t="s">
        <v>6198</v>
      </c>
      <c r="B312" s="40" t="s">
        <v>14</v>
      </c>
      <c r="C312" s="42" t="s">
        <v>6186</v>
      </c>
      <c r="D312" s="42" t="s">
        <v>6186</v>
      </c>
      <c r="E312" s="42" t="s">
        <v>6186</v>
      </c>
      <c r="F312" s="42" t="s">
        <v>6186</v>
      </c>
      <c r="G312" s="42" t="s">
        <v>6186</v>
      </c>
      <c r="H312" s="42" t="s">
        <v>6186</v>
      </c>
      <c r="I312" s="42" t="s">
        <v>6199</v>
      </c>
      <c r="J312" s="40" t="s">
        <v>15</v>
      </c>
      <c r="K312" s="42" t="s">
        <v>6483</v>
      </c>
      <c r="L312" s="42" t="s">
        <v>6484</v>
      </c>
      <c r="M312" s="42" t="s">
        <v>6186</v>
      </c>
      <c r="N312" s="42" t="s">
        <v>6186</v>
      </c>
      <c r="O312" s="42" t="s">
        <v>6186</v>
      </c>
      <c r="P312" s="42" t="s">
        <v>6186</v>
      </c>
    </row>
    <row r="313" spans="1:16" ht="14.25" customHeight="1" x14ac:dyDescent="0.15">
      <c r="A313" s="42" t="s">
        <v>6202</v>
      </c>
      <c r="B313" s="40" t="s">
        <v>13</v>
      </c>
      <c r="C313" s="42" t="s">
        <v>6186</v>
      </c>
      <c r="D313" s="42" t="s">
        <v>6186</v>
      </c>
      <c r="E313" s="42" t="s">
        <v>6186</v>
      </c>
      <c r="F313" s="42" t="s">
        <v>6186</v>
      </c>
      <c r="G313" s="42" t="s">
        <v>6186</v>
      </c>
      <c r="H313" s="42" t="s">
        <v>6186</v>
      </c>
      <c r="I313" s="42" t="s">
        <v>6203</v>
      </c>
      <c r="J313" s="40" t="s">
        <v>16</v>
      </c>
      <c r="K313" s="42" t="s">
        <v>6485</v>
      </c>
      <c r="L313" s="42" t="s">
        <v>6486</v>
      </c>
      <c r="M313" s="42" t="s">
        <v>6186</v>
      </c>
      <c r="N313" s="42" t="s">
        <v>6186</v>
      </c>
      <c r="O313" s="42" t="s">
        <v>6186</v>
      </c>
      <c r="P313" s="42" t="s">
        <v>6186</v>
      </c>
    </row>
    <row r="314" spans="1:16" ht="14.25" customHeight="1" x14ac:dyDescent="0.15">
      <c r="A314" s="42" t="s">
        <v>6204</v>
      </c>
      <c r="B314" s="40" t="s">
        <v>15</v>
      </c>
      <c r="C314" s="42" t="s">
        <v>6186</v>
      </c>
      <c r="D314" s="42" t="s">
        <v>6186</v>
      </c>
      <c r="E314" s="42" t="s">
        <v>6186</v>
      </c>
      <c r="F314" s="42" t="s">
        <v>6186</v>
      </c>
      <c r="G314" s="42" t="s">
        <v>6186</v>
      </c>
      <c r="H314" s="42" t="s">
        <v>6186</v>
      </c>
      <c r="I314" s="42" t="s">
        <v>6205</v>
      </c>
      <c r="J314" s="40" t="s">
        <v>17</v>
      </c>
      <c r="K314" s="42" t="s">
        <v>6487</v>
      </c>
      <c r="L314" s="42" t="s">
        <v>6486</v>
      </c>
      <c r="M314" s="42" t="s">
        <v>6186</v>
      </c>
      <c r="N314" s="42" t="s">
        <v>6186</v>
      </c>
      <c r="O314" s="42" t="s">
        <v>6186</v>
      </c>
      <c r="P314" s="42" t="s">
        <v>6186</v>
      </c>
    </row>
    <row r="315" spans="1:16" ht="14.25" customHeight="1" x14ac:dyDescent="0.15">
      <c r="A315" s="42" t="s">
        <v>6206</v>
      </c>
      <c r="B315" s="40" t="s">
        <v>16</v>
      </c>
      <c r="C315" s="42"/>
      <c r="D315" s="42"/>
      <c r="E315" s="42" t="s">
        <v>6186</v>
      </c>
      <c r="F315" s="42" t="s">
        <v>6186</v>
      </c>
      <c r="G315" s="42" t="s">
        <v>6186</v>
      </c>
      <c r="H315" s="42" t="s">
        <v>6186</v>
      </c>
      <c r="I315" s="42" t="s">
        <v>6207</v>
      </c>
      <c r="J315" s="40" t="s">
        <v>18</v>
      </c>
      <c r="K315" s="42" t="s">
        <v>6344</v>
      </c>
      <c r="L315" s="42" t="s">
        <v>6488</v>
      </c>
      <c r="M315" s="42" t="s">
        <v>6186</v>
      </c>
      <c r="N315" s="42" t="s">
        <v>6186</v>
      </c>
      <c r="O315" s="42" t="s">
        <v>6186</v>
      </c>
      <c r="P315" s="42" t="s">
        <v>6186</v>
      </c>
    </row>
    <row r="316" spans="1:16" ht="14.25" customHeight="1" x14ac:dyDescent="0.15">
      <c r="A316" s="42" t="s">
        <v>6208</v>
      </c>
      <c r="B316" s="40" t="s">
        <v>17</v>
      </c>
      <c r="C316" s="42" t="s">
        <v>6355</v>
      </c>
      <c r="D316" s="42" t="s">
        <v>6441</v>
      </c>
      <c r="E316" s="42" t="s">
        <v>6186</v>
      </c>
      <c r="F316" s="42" t="s">
        <v>6186</v>
      </c>
      <c r="G316" s="42" t="s">
        <v>6186</v>
      </c>
      <c r="H316" s="42" t="s">
        <v>6186</v>
      </c>
      <c r="I316" s="42" t="s">
        <v>6211</v>
      </c>
      <c r="J316" s="40" t="s">
        <v>11</v>
      </c>
      <c r="K316" s="42" t="s">
        <v>6326</v>
      </c>
      <c r="L316" s="42" t="s">
        <v>6489</v>
      </c>
      <c r="M316" s="42" t="s">
        <v>6186</v>
      </c>
      <c r="N316" s="42" t="s">
        <v>6186</v>
      </c>
      <c r="O316" s="42" t="s">
        <v>6186</v>
      </c>
      <c r="P316" s="42" t="s">
        <v>6186</v>
      </c>
    </row>
    <row r="317" spans="1:16" ht="14.25" customHeight="1" x14ac:dyDescent="0.15">
      <c r="A317" s="42" t="s">
        <v>6212</v>
      </c>
      <c r="B317" s="40" t="s">
        <v>18</v>
      </c>
      <c r="C317" s="42" t="s">
        <v>6483</v>
      </c>
      <c r="D317" s="42" t="s">
        <v>6322</v>
      </c>
      <c r="E317" s="42" t="s">
        <v>6186</v>
      </c>
      <c r="F317" s="42" t="s">
        <v>6186</v>
      </c>
      <c r="G317" s="42" t="s">
        <v>6186</v>
      </c>
      <c r="H317" s="42" t="s">
        <v>6186</v>
      </c>
      <c r="I317" s="42" t="s">
        <v>6215</v>
      </c>
      <c r="J317" s="40" t="s">
        <v>14</v>
      </c>
      <c r="K317" s="42" t="s">
        <v>6323</v>
      </c>
      <c r="L317" s="42" t="s">
        <v>6490</v>
      </c>
      <c r="M317" s="42" t="s">
        <v>6186</v>
      </c>
      <c r="N317" s="42" t="s">
        <v>6186</v>
      </c>
      <c r="O317" s="42" t="s">
        <v>6186</v>
      </c>
      <c r="P317" s="42" t="s">
        <v>6186</v>
      </c>
    </row>
    <row r="318" spans="1:16" ht="14.25" customHeight="1" x14ac:dyDescent="0.15">
      <c r="A318" s="42" t="s">
        <v>6216</v>
      </c>
      <c r="B318" s="40" t="s">
        <v>11</v>
      </c>
      <c r="C318" s="42" t="s">
        <v>6491</v>
      </c>
      <c r="D318" s="42" t="s">
        <v>6375</v>
      </c>
      <c r="E318" s="42" t="s">
        <v>6186</v>
      </c>
      <c r="F318" s="42" t="s">
        <v>6186</v>
      </c>
      <c r="G318" s="42" t="s">
        <v>6186</v>
      </c>
      <c r="H318" s="42" t="s">
        <v>6186</v>
      </c>
      <c r="I318" s="42" t="s">
        <v>6219</v>
      </c>
      <c r="J318" s="40" t="s">
        <v>13</v>
      </c>
      <c r="K318" s="42" t="s">
        <v>6492</v>
      </c>
      <c r="L318" s="42" t="s">
        <v>6493</v>
      </c>
      <c r="M318" s="42" t="s">
        <v>6186</v>
      </c>
      <c r="N318" s="42" t="s">
        <v>6186</v>
      </c>
      <c r="O318" s="42" t="s">
        <v>6186</v>
      </c>
      <c r="P318" s="42" t="s">
        <v>6186</v>
      </c>
    </row>
    <row r="319" spans="1:16" ht="14.25" customHeight="1" x14ac:dyDescent="0.15">
      <c r="A319" s="42" t="s">
        <v>6220</v>
      </c>
      <c r="B319" s="40" t="s">
        <v>14</v>
      </c>
      <c r="C319" s="42" t="s">
        <v>6458</v>
      </c>
      <c r="D319" s="42" t="s">
        <v>6494</v>
      </c>
      <c r="E319" s="42" t="s">
        <v>6186</v>
      </c>
      <c r="F319" s="42" t="s">
        <v>6186</v>
      </c>
      <c r="G319" s="42" t="s">
        <v>6186</v>
      </c>
      <c r="H319" s="42" t="s">
        <v>6186</v>
      </c>
      <c r="I319" s="42" t="s">
        <v>6221</v>
      </c>
      <c r="J319" s="40" t="s">
        <v>15</v>
      </c>
      <c r="K319" s="42" t="s">
        <v>6326</v>
      </c>
      <c r="L319" s="42" t="s">
        <v>6493</v>
      </c>
      <c r="M319" s="42" t="s">
        <v>6186</v>
      </c>
      <c r="N319" s="42" t="s">
        <v>6186</v>
      </c>
      <c r="O319" s="42" t="s">
        <v>6186</v>
      </c>
      <c r="P319" s="42" t="s">
        <v>6186</v>
      </c>
    </row>
    <row r="320" spans="1:16" ht="14.25" customHeight="1" x14ac:dyDescent="0.15">
      <c r="A320" s="42" t="s">
        <v>6222</v>
      </c>
      <c r="B320" s="40" t="s">
        <v>13</v>
      </c>
      <c r="C320" s="42" t="s">
        <v>6475</v>
      </c>
      <c r="D320" s="42" t="s">
        <v>6377</v>
      </c>
      <c r="E320" s="42" t="s">
        <v>6186</v>
      </c>
      <c r="F320" s="42" t="s">
        <v>6186</v>
      </c>
      <c r="G320" s="42" t="s">
        <v>6186</v>
      </c>
      <c r="H320" s="42" t="s">
        <v>6186</v>
      </c>
      <c r="I320" s="42" t="s">
        <v>6224</v>
      </c>
      <c r="J320" s="40" t="s">
        <v>16</v>
      </c>
      <c r="K320" s="42" t="s">
        <v>6326</v>
      </c>
      <c r="L320" s="42" t="s">
        <v>6495</v>
      </c>
      <c r="M320" s="42" t="s">
        <v>6186</v>
      </c>
      <c r="N320" s="42" t="s">
        <v>6186</v>
      </c>
      <c r="O320" s="42" t="s">
        <v>6186</v>
      </c>
      <c r="P320" s="42" t="s">
        <v>6186</v>
      </c>
    </row>
    <row r="321" spans="1:16" ht="14.25" customHeight="1" x14ac:dyDescent="0.15">
      <c r="A321" s="42" t="s">
        <v>6225</v>
      </c>
      <c r="B321" s="40" t="s">
        <v>15</v>
      </c>
      <c r="C321" s="42" t="s">
        <v>6390</v>
      </c>
      <c r="D321" s="42" t="s">
        <v>6496</v>
      </c>
      <c r="E321" s="42" t="s">
        <v>6186</v>
      </c>
      <c r="F321" s="42" t="s">
        <v>6186</v>
      </c>
      <c r="G321" s="42" t="s">
        <v>6186</v>
      </c>
      <c r="H321" s="42" t="s">
        <v>6186</v>
      </c>
      <c r="I321" s="42" t="s">
        <v>6227</v>
      </c>
      <c r="J321" s="40" t="s">
        <v>17</v>
      </c>
      <c r="K321" s="42" t="s">
        <v>6492</v>
      </c>
      <c r="L321" s="42" t="s">
        <v>6497</v>
      </c>
      <c r="M321" s="42" t="s">
        <v>6186</v>
      </c>
      <c r="N321" s="42" t="s">
        <v>6186</v>
      </c>
      <c r="O321" s="42" t="s">
        <v>6186</v>
      </c>
      <c r="P321" s="42" t="s">
        <v>6186</v>
      </c>
    </row>
    <row r="322" spans="1:16" ht="14.25" customHeight="1" x14ac:dyDescent="0.15">
      <c r="A322" s="42" t="s">
        <v>6228</v>
      </c>
      <c r="B322" s="40" t="s">
        <v>16</v>
      </c>
      <c r="C322" s="42" t="s">
        <v>6467</v>
      </c>
      <c r="D322" s="42" t="s">
        <v>6496</v>
      </c>
      <c r="E322" s="42" t="s">
        <v>6186</v>
      </c>
      <c r="F322" s="42" t="s">
        <v>6186</v>
      </c>
      <c r="G322" s="42" t="s">
        <v>6186</v>
      </c>
      <c r="H322" s="42" t="s">
        <v>6186</v>
      </c>
      <c r="I322" s="42" t="s">
        <v>6230</v>
      </c>
      <c r="J322" s="40" t="s">
        <v>18</v>
      </c>
      <c r="K322" s="42" t="s">
        <v>6325</v>
      </c>
      <c r="L322" s="42" t="s">
        <v>6438</v>
      </c>
      <c r="M322" s="42" t="s">
        <v>6186</v>
      </c>
      <c r="N322" s="42" t="s">
        <v>6186</v>
      </c>
      <c r="O322" s="42" t="s">
        <v>6186</v>
      </c>
      <c r="P322" s="42" t="s">
        <v>6186</v>
      </c>
    </row>
    <row r="323" spans="1:16" ht="14.25" customHeight="1" x14ac:dyDescent="0.15">
      <c r="A323" s="42" t="s">
        <v>6231</v>
      </c>
      <c r="B323" s="40" t="s">
        <v>17</v>
      </c>
      <c r="C323" s="42" t="s">
        <v>6340</v>
      </c>
      <c r="D323" s="42" t="s">
        <v>6498</v>
      </c>
      <c r="E323" s="42" t="s">
        <v>6186</v>
      </c>
      <c r="F323" s="42" t="s">
        <v>6186</v>
      </c>
      <c r="G323" s="42" t="s">
        <v>6186</v>
      </c>
      <c r="H323" s="42" t="s">
        <v>6186</v>
      </c>
      <c r="I323" s="42" t="s">
        <v>6234</v>
      </c>
      <c r="J323" s="40" t="s">
        <v>11</v>
      </c>
      <c r="K323" s="42" t="s">
        <v>6315</v>
      </c>
      <c r="L323" s="42" t="s">
        <v>6496</v>
      </c>
      <c r="M323" s="42" t="s">
        <v>6186</v>
      </c>
      <c r="N323" s="42" t="s">
        <v>6186</v>
      </c>
      <c r="O323" s="42" t="s">
        <v>6186</v>
      </c>
      <c r="P323" s="42" t="s">
        <v>6186</v>
      </c>
    </row>
    <row r="324" spans="1:16" ht="14.25" customHeight="1" x14ac:dyDescent="0.15">
      <c r="A324" s="42" t="s">
        <v>6235</v>
      </c>
      <c r="B324" s="40" t="s">
        <v>18</v>
      </c>
      <c r="C324" s="42" t="s">
        <v>6340</v>
      </c>
      <c r="D324" s="42" t="s">
        <v>6499</v>
      </c>
      <c r="E324" s="42" t="s">
        <v>6186</v>
      </c>
      <c r="F324" s="42" t="s">
        <v>6186</v>
      </c>
      <c r="G324" s="42" t="s">
        <v>6186</v>
      </c>
      <c r="H324" s="42" t="s">
        <v>6186</v>
      </c>
      <c r="I324" s="42" t="s">
        <v>12</v>
      </c>
      <c r="J324" s="42" t="s">
        <v>12</v>
      </c>
      <c r="K324" s="42" t="s">
        <v>12</v>
      </c>
      <c r="L324" s="42" t="s">
        <v>12</v>
      </c>
      <c r="M324" s="42" t="s">
        <v>12</v>
      </c>
      <c r="N324" s="42" t="s">
        <v>12</v>
      </c>
      <c r="O324" s="42" t="s">
        <v>12</v>
      </c>
      <c r="P324" s="42" t="s">
        <v>12</v>
      </c>
    </row>
    <row r="325" spans="1:16" ht="14.25" customHeight="1" x14ac:dyDescent="0.15">
      <c r="A325" s="35"/>
      <c r="C325" s="46"/>
      <c r="D325" s="46"/>
      <c r="E325" s="46"/>
      <c r="F325" s="46"/>
      <c r="G325" s="47"/>
      <c r="H325" s="47"/>
      <c r="I325" s="36"/>
      <c r="M325" s="131" t="s">
        <v>6237</v>
      </c>
      <c r="N325" s="131"/>
      <c r="O325" s="131"/>
      <c r="P325" s="131"/>
    </row>
    <row r="326" spans="1:16" ht="14.25" customHeight="1" x14ac:dyDescent="0.15">
      <c r="A326" s="34"/>
    </row>
    <row r="327" spans="1:16" ht="14.25" customHeight="1" x14ac:dyDescent="0.15">
      <c r="A327" s="34"/>
    </row>
    <row r="328" spans="1:16" ht="14.25" customHeight="1" x14ac:dyDescent="0.15">
      <c r="A328" s="35"/>
      <c r="B328" s="36"/>
    </row>
    <row r="329" spans="1:16" ht="14.25" customHeight="1" x14ac:dyDescent="0.15">
      <c r="A329" s="124" t="s">
        <v>6178</v>
      </c>
      <c r="B329" s="125"/>
      <c r="C329" s="125"/>
      <c r="D329" s="126"/>
      <c r="E329" s="124" t="s">
        <v>6500</v>
      </c>
      <c r="F329" s="125"/>
      <c r="G329" s="126"/>
      <c r="H329" s="124" t="s">
        <v>6258</v>
      </c>
      <c r="I329" s="126"/>
      <c r="J329" s="125" t="s">
        <v>6181</v>
      </c>
      <c r="K329" s="125"/>
      <c r="L329" s="126"/>
      <c r="M329" s="124" t="s">
        <v>6182</v>
      </c>
      <c r="N329" s="125"/>
      <c r="O329" s="125"/>
      <c r="P329" s="126"/>
    </row>
    <row r="330" spans="1:16" ht="14.25" customHeight="1" x14ac:dyDescent="0.15">
      <c r="A330" s="124" t="s">
        <v>6273</v>
      </c>
      <c r="B330" s="125"/>
      <c r="C330" s="125"/>
      <c r="D330" s="125"/>
      <c r="E330" s="125"/>
      <c r="F330" s="125"/>
      <c r="G330" s="125"/>
      <c r="H330" s="125"/>
      <c r="I330" s="125"/>
      <c r="J330" s="125"/>
      <c r="K330" s="125"/>
      <c r="L330" s="125"/>
      <c r="M330" s="125"/>
      <c r="N330" s="125"/>
      <c r="O330" s="125"/>
      <c r="P330" s="126"/>
    </row>
    <row r="331" spans="1:16" ht="14.25" customHeight="1" x14ac:dyDescent="0.15">
      <c r="A331" s="124" t="s">
        <v>6184</v>
      </c>
      <c r="B331" s="125"/>
      <c r="C331" s="125"/>
      <c r="D331" s="125"/>
      <c r="E331" s="125"/>
      <c r="F331" s="125"/>
      <c r="G331" s="125"/>
      <c r="H331" s="125"/>
      <c r="I331" s="125"/>
      <c r="J331" s="125"/>
      <c r="K331" s="125"/>
      <c r="L331" s="125"/>
      <c r="M331" s="125"/>
      <c r="N331" s="125"/>
      <c r="O331" s="125"/>
      <c r="P331" s="126"/>
    </row>
    <row r="332" spans="1:16" ht="14.25" customHeight="1" x14ac:dyDescent="0.15">
      <c r="A332" s="37"/>
      <c r="B332" s="38"/>
      <c r="C332" s="127" t="s">
        <v>4</v>
      </c>
      <c r="D332" s="128"/>
      <c r="E332" s="129" t="s">
        <v>5</v>
      </c>
      <c r="F332" s="130"/>
      <c r="G332" s="129" t="s">
        <v>6</v>
      </c>
      <c r="H332" s="130"/>
      <c r="I332" s="38"/>
      <c r="J332" s="38"/>
      <c r="K332" s="127" t="s">
        <v>4</v>
      </c>
      <c r="L332" s="128"/>
      <c r="M332" s="129" t="s">
        <v>5</v>
      </c>
      <c r="N332" s="130"/>
      <c r="O332" s="129" t="s">
        <v>6</v>
      </c>
      <c r="P332" s="130"/>
    </row>
    <row r="333" spans="1:16" ht="24" customHeight="1" x14ac:dyDescent="0.15">
      <c r="A333" s="39" t="s">
        <v>7</v>
      </c>
      <c r="B333" s="40" t="s">
        <v>8</v>
      </c>
      <c r="C333" s="41" t="s">
        <v>9</v>
      </c>
      <c r="D333" s="41" t="s">
        <v>10</v>
      </c>
      <c r="E333" s="41" t="s">
        <v>9</v>
      </c>
      <c r="F333" s="41" t="s">
        <v>10</v>
      </c>
      <c r="G333" s="41" t="s">
        <v>9</v>
      </c>
      <c r="H333" s="41" t="s">
        <v>10</v>
      </c>
      <c r="I333" s="48" t="s">
        <v>7</v>
      </c>
      <c r="J333" s="40" t="s">
        <v>8</v>
      </c>
      <c r="K333" s="41" t="s">
        <v>9</v>
      </c>
      <c r="L333" s="41" t="s">
        <v>10</v>
      </c>
      <c r="M333" s="41" t="s">
        <v>9</v>
      </c>
      <c r="N333" s="41" t="s">
        <v>10</v>
      </c>
      <c r="O333" s="41" t="s">
        <v>9</v>
      </c>
      <c r="P333" s="41" t="s">
        <v>10</v>
      </c>
    </row>
    <row r="334" spans="1:16" ht="14.25" customHeight="1" x14ac:dyDescent="0.15">
      <c r="A334" s="42" t="s">
        <v>6185</v>
      </c>
      <c r="B334" s="55" t="s">
        <v>17</v>
      </c>
      <c r="C334" s="44" t="s">
        <v>6186</v>
      </c>
      <c r="D334" s="44" t="s">
        <v>6186</v>
      </c>
      <c r="E334" s="44" t="s">
        <v>6186</v>
      </c>
      <c r="F334" s="44" t="s">
        <v>6186</v>
      </c>
      <c r="G334" s="44" t="s">
        <v>6186</v>
      </c>
      <c r="H334" s="44" t="s">
        <v>6186</v>
      </c>
      <c r="I334" s="45" t="s">
        <v>6187</v>
      </c>
      <c r="J334" s="55" t="s">
        <v>11</v>
      </c>
      <c r="K334" s="44">
        <v>0.32361111111822499</v>
      </c>
      <c r="L334" s="44">
        <v>0.84027777778101198</v>
      </c>
      <c r="M334" s="43" t="s">
        <v>6186</v>
      </c>
      <c r="N334" s="43" t="s">
        <v>6186</v>
      </c>
      <c r="O334" s="43" t="s">
        <v>6186</v>
      </c>
      <c r="P334" s="43" t="s">
        <v>6186</v>
      </c>
    </row>
    <row r="335" spans="1:16" ht="14.25" customHeight="1" x14ac:dyDescent="0.15">
      <c r="A335" s="42" t="s">
        <v>6190</v>
      </c>
      <c r="B335" s="55" t="s">
        <v>18</v>
      </c>
      <c r="C335" s="44" t="s">
        <v>6186</v>
      </c>
      <c r="D335" s="44" t="s">
        <v>6186</v>
      </c>
      <c r="E335" s="44" t="s">
        <v>6186</v>
      </c>
      <c r="F335" s="44" t="s">
        <v>6186</v>
      </c>
      <c r="G335" s="44" t="s">
        <v>6186</v>
      </c>
      <c r="H335" s="44" t="s">
        <v>6186</v>
      </c>
      <c r="I335" s="45" t="s">
        <v>6191</v>
      </c>
      <c r="J335" s="55" t="s">
        <v>14</v>
      </c>
      <c r="K335" s="44">
        <v>0.32638888887595402</v>
      </c>
      <c r="L335" s="44">
        <v>0.72361111111240495</v>
      </c>
      <c r="M335" s="43" t="s">
        <v>6186</v>
      </c>
      <c r="N335" s="43" t="s">
        <v>6186</v>
      </c>
      <c r="O335" s="43" t="s">
        <v>6186</v>
      </c>
      <c r="P335" s="43" t="s">
        <v>6186</v>
      </c>
    </row>
    <row r="336" spans="1:16" ht="14.25" customHeight="1" x14ac:dyDescent="0.15">
      <c r="A336" s="42" t="s">
        <v>6194</v>
      </c>
      <c r="B336" s="55" t="s">
        <v>11</v>
      </c>
      <c r="C336" s="44" t="s">
        <v>6186</v>
      </c>
      <c r="D336" s="44" t="s">
        <v>6186</v>
      </c>
      <c r="E336" s="44" t="s">
        <v>6186</v>
      </c>
      <c r="F336" s="44" t="s">
        <v>6186</v>
      </c>
      <c r="G336" s="44" t="s">
        <v>6186</v>
      </c>
      <c r="H336" s="44" t="s">
        <v>6186</v>
      </c>
      <c r="I336" s="45" t="s">
        <v>6195</v>
      </c>
      <c r="J336" s="55" t="s">
        <v>13</v>
      </c>
      <c r="K336" s="44">
        <v>0.33194444444961801</v>
      </c>
      <c r="L336" s="45" t="s">
        <v>6377</v>
      </c>
      <c r="M336" s="42" t="s">
        <v>6186</v>
      </c>
      <c r="N336" s="42" t="s">
        <v>6186</v>
      </c>
      <c r="O336" s="42" t="s">
        <v>6186</v>
      </c>
      <c r="P336" s="42" t="s">
        <v>6186</v>
      </c>
    </row>
    <row r="337" spans="1:16" ht="14.25" customHeight="1" x14ac:dyDescent="0.15">
      <c r="A337" s="42" t="s">
        <v>6198</v>
      </c>
      <c r="B337" s="55" t="s">
        <v>14</v>
      </c>
      <c r="C337" s="45" t="s">
        <v>6186</v>
      </c>
      <c r="D337" s="45" t="s">
        <v>6186</v>
      </c>
      <c r="E337" s="45" t="s">
        <v>6186</v>
      </c>
      <c r="F337" s="45" t="s">
        <v>6186</v>
      </c>
      <c r="G337" s="45" t="s">
        <v>6186</v>
      </c>
      <c r="H337" s="45" t="s">
        <v>6186</v>
      </c>
      <c r="I337" s="45" t="s">
        <v>6199</v>
      </c>
      <c r="J337" s="55" t="s">
        <v>15</v>
      </c>
      <c r="K337" s="44">
        <v>0.33263888888177501</v>
      </c>
      <c r="L337" s="45" t="s">
        <v>6501</v>
      </c>
      <c r="M337" s="42" t="s">
        <v>6186</v>
      </c>
      <c r="N337" s="42" t="s">
        <v>6186</v>
      </c>
      <c r="O337" s="42" t="s">
        <v>6186</v>
      </c>
      <c r="P337" s="42" t="s">
        <v>6186</v>
      </c>
    </row>
    <row r="338" spans="1:16" ht="14.25" customHeight="1" x14ac:dyDescent="0.15">
      <c r="A338" s="42" t="s">
        <v>6202</v>
      </c>
      <c r="B338" s="55" t="s">
        <v>13</v>
      </c>
      <c r="C338" s="45" t="s">
        <v>6186</v>
      </c>
      <c r="D338" s="45" t="s">
        <v>6186</v>
      </c>
      <c r="E338" s="45" t="s">
        <v>6186</v>
      </c>
      <c r="F338" s="45" t="s">
        <v>6186</v>
      </c>
      <c r="G338" s="45" t="s">
        <v>6186</v>
      </c>
      <c r="H338" s="45" t="s">
        <v>6186</v>
      </c>
      <c r="I338" s="45" t="s">
        <v>6203</v>
      </c>
      <c r="J338" s="55" t="s">
        <v>16</v>
      </c>
      <c r="K338" s="45" t="s">
        <v>6502</v>
      </c>
      <c r="L338" s="42" t="s">
        <v>6503</v>
      </c>
      <c r="M338" s="42" t="s">
        <v>6186</v>
      </c>
      <c r="N338" s="42" t="s">
        <v>6186</v>
      </c>
      <c r="O338" s="42" t="s">
        <v>6186</v>
      </c>
      <c r="P338" s="42" t="s">
        <v>6186</v>
      </c>
    </row>
    <row r="339" spans="1:16" ht="14.25" customHeight="1" x14ac:dyDescent="0.15">
      <c r="A339" s="42" t="s">
        <v>6204</v>
      </c>
      <c r="B339" s="55" t="s">
        <v>15</v>
      </c>
      <c r="C339" s="45" t="s">
        <v>6186</v>
      </c>
      <c r="D339" s="45" t="s">
        <v>6186</v>
      </c>
      <c r="E339" s="45" t="s">
        <v>6186</v>
      </c>
      <c r="F339" s="45" t="s">
        <v>6186</v>
      </c>
      <c r="G339" s="45" t="s">
        <v>6186</v>
      </c>
      <c r="H339" s="45" t="s">
        <v>6186</v>
      </c>
      <c r="I339" s="45" t="s">
        <v>6205</v>
      </c>
      <c r="J339" s="55" t="s">
        <v>17</v>
      </c>
      <c r="K339" s="45" t="s">
        <v>6458</v>
      </c>
      <c r="L339" s="42" t="s">
        <v>6504</v>
      </c>
      <c r="M339" s="42" t="s">
        <v>6186</v>
      </c>
      <c r="N339" s="42" t="s">
        <v>6186</v>
      </c>
      <c r="O339" s="42" t="s">
        <v>6186</v>
      </c>
      <c r="P339" s="42" t="s">
        <v>6186</v>
      </c>
    </row>
    <row r="340" spans="1:16" ht="14.25" customHeight="1" x14ac:dyDescent="0.15">
      <c r="A340" s="42" t="s">
        <v>6206</v>
      </c>
      <c r="B340" s="55" t="s">
        <v>16</v>
      </c>
      <c r="C340" s="45" t="s">
        <v>6186</v>
      </c>
      <c r="D340" s="45" t="s">
        <v>6186</v>
      </c>
      <c r="E340" s="45" t="s">
        <v>6186</v>
      </c>
      <c r="F340" s="45" t="s">
        <v>6186</v>
      </c>
      <c r="G340" s="45" t="s">
        <v>6186</v>
      </c>
      <c r="H340" s="45" t="s">
        <v>6186</v>
      </c>
      <c r="I340" s="45" t="s">
        <v>6207</v>
      </c>
      <c r="J340" s="55" t="s">
        <v>18</v>
      </c>
      <c r="K340" s="44">
        <v>0.32847222223063</v>
      </c>
      <c r="L340" s="42" t="s">
        <v>6504</v>
      </c>
      <c r="M340" s="42" t="s">
        <v>6186</v>
      </c>
      <c r="N340" s="42" t="s">
        <v>6186</v>
      </c>
      <c r="O340" s="42" t="s">
        <v>6186</v>
      </c>
      <c r="P340" s="42" t="s">
        <v>6186</v>
      </c>
    </row>
    <row r="341" spans="1:16" ht="14.25" customHeight="1" x14ac:dyDescent="0.15">
      <c r="A341" s="42" t="s">
        <v>6208</v>
      </c>
      <c r="B341" s="55" t="s">
        <v>17</v>
      </c>
      <c r="C341" s="45" t="s">
        <v>6186</v>
      </c>
      <c r="D341" s="45" t="s">
        <v>6186</v>
      </c>
      <c r="E341" s="45" t="s">
        <v>6186</v>
      </c>
      <c r="F341" s="45" t="s">
        <v>6186</v>
      </c>
      <c r="G341" s="45" t="s">
        <v>6186</v>
      </c>
      <c r="H341" s="45" t="s">
        <v>6186</v>
      </c>
      <c r="I341" s="45" t="s">
        <v>6211</v>
      </c>
      <c r="J341" s="55" t="s">
        <v>11</v>
      </c>
      <c r="K341" s="44">
        <v>0.33124999998835802</v>
      </c>
      <c r="L341" s="42" t="s">
        <v>6505</v>
      </c>
      <c r="M341" s="42" t="s">
        <v>6186</v>
      </c>
      <c r="N341" s="42" t="s">
        <v>6186</v>
      </c>
      <c r="O341" s="42" t="s">
        <v>6186</v>
      </c>
      <c r="P341" s="42" t="s">
        <v>6186</v>
      </c>
    </row>
    <row r="342" spans="1:16" ht="14.25" customHeight="1" x14ac:dyDescent="0.15">
      <c r="A342" s="42" t="s">
        <v>6212</v>
      </c>
      <c r="B342" s="55" t="s">
        <v>18</v>
      </c>
      <c r="C342" s="45" t="s">
        <v>6186</v>
      </c>
      <c r="D342" s="45" t="s">
        <v>6186</v>
      </c>
      <c r="E342" s="45" t="s">
        <v>6186</v>
      </c>
      <c r="F342" s="45" t="s">
        <v>6186</v>
      </c>
      <c r="G342" s="45" t="s">
        <v>6186</v>
      </c>
      <c r="H342" s="45" t="s">
        <v>6186</v>
      </c>
      <c r="I342" s="45" t="s">
        <v>6215</v>
      </c>
      <c r="J342" s="55" t="s">
        <v>14</v>
      </c>
      <c r="K342" s="45"/>
      <c r="L342" s="42" t="s">
        <v>6186</v>
      </c>
      <c r="M342" s="42" t="s">
        <v>6186</v>
      </c>
      <c r="N342" s="42" t="s">
        <v>6186</v>
      </c>
      <c r="O342" s="42" t="s">
        <v>6186</v>
      </c>
      <c r="P342" s="42" t="s">
        <v>6186</v>
      </c>
    </row>
    <row r="343" spans="1:16" ht="14.25" customHeight="1" x14ac:dyDescent="0.15">
      <c r="A343" s="42" t="s">
        <v>6216</v>
      </c>
      <c r="B343" s="55" t="s">
        <v>11</v>
      </c>
      <c r="C343" s="45" t="s">
        <v>6186</v>
      </c>
      <c r="D343" s="45" t="s">
        <v>6186</v>
      </c>
      <c r="E343" s="45" t="s">
        <v>6186</v>
      </c>
      <c r="F343" s="45" t="s">
        <v>6186</v>
      </c>
      <c r="G343" s="45" t="s">
        <v>6186</v>
      </c>
      <c r="H343" s="45" t="s">
        <v>6186</v>
      </c>
      <c r="I343" s="45" t="s">
        <v>6219</v>
      </c>
      <c r="J343" s="55" t="s">
        <v>13</v>
      </c>
      <c r="K343" s="45" t="s">
        <v>6431</v>
      </c>
      <c r="L343" s="42" t="s">
        <v>6506</v>
      </c>
      <c r="M343" s="43" t="s">
        <v>6186</v>
      </c>
      <c r="N343" s="43" t="s">
        <v>6186</v>
      </c>
      <c r="O343" s="43" t="s">
        <v>6186</v>
      </c>
      <c r="P343" s="43" t="s">
        <v>6186</v>
      </c>
    </row>
    <row r="344" spans="1:16" ht="14.25" customHeight="1" x14ac:dyDescent="0.15">
      <c r="A344" s="42" t="s">
        <v>6220</v>
      </c>
      <c r="B344" s="55" t="s">
        <v>14</v>
      </c>
      <c r="C344" s="44" t="s">
        <v>6186</v>
      </c>
      <c r="D344" s="44" t="s">
        <v>6186</v>
      </c>
      <c r="E344" s="44" t="s">
        <v>6186</v>
      </c>
      <c r="F344" s="44" t="s">
        <v>6186</v>
      </c>
      <c r="G344" s="44" t="s">
        <v>6186</v>
      </c>
      <c r="H344" s="44" t="s">
        <v>6186</v>
      </c>
      <c r="I344" s="45" t="s">
        <v>6221</v>
      </c>
      <c r="J344" s="55" t="s">
        <v>15</v>
      </c>
      <c r="K344" s="44">
        <v>0.32361111111111102</v>
      </c>
      <c r="L344" s="42" t="s">
        <v>6507</v>
      </c>
      <c r="M344" s="43" t="s">
        <v>6186</v>
      </c>
      <c r="N344" s="43" t="s">
        <v>6186</v>
      </c>
      <c r="O344" s="43" t="s">
        <v>6186</v>
      </c>
      <c r="P344" s="43" t="s">
        <v>6186</v>
      </c>
    </row>
    <row r="345" spans="1:16" ht="14.25" customHeight="1" x14ac:dyDescent="0.15">
      <c r="A345" s="42" t="s">
        <v>6222</v>
      </c>
      <c r="B345" s="55" t="s">
        <v>13</v>
      </c>
      <c r="C345" s="44" t="s">
        <v>6186</v>
      </c>
      <c r="D345" s="44" t="s">
        <v>6186</v>
      </c>
      <c r="E345" s="44" t="s">
        <v>6186</v>
      </c>
      <c r="F345" s="44" t="s">
        <v>6186</v>
      </c>
      <c r="G345" s="44" t="s">
        <v>6186</v>
      </c>
      <c r="H345" s="44" t="s">
        <v>6186</v>
      </c>
      <c r="I345" s="45" t="s">
        <v>6224</v>
      </c>
      <c r="J345" s="55" t="s">
        <v>16</v>
      </c>
      <c r="K345" s="44">
        <v>0.32638888888888901</v>
      </c>
      <c r="L345" s="42" t="s">
        <v>6241</v>
      </c>
      <c r="M345" s="43" t="s">
        <v>6186</v>
      </c>
      <c r="N345" s="43" t="s">
        <v>6186</v>
      </c>
      <c r="O345" s="43" t="s">
        <v>6186</v>
      </c>
      <c r="P345" s="43" t="s">
        <v>6186</v>
      </c>
    </row>
    <row r="346" spans="1:16" ht="14.25" customHeight="1" x14ac:dyDescent="0.15">
      <c r="A346" s="42" t="s">
        <v>6225</v>
      </c>
      <c r="B346" s="55" t="s">
        <v>15</v>
      </c>
      <c r="C346" s="44" t="s">
        <v>6186</v>
      </c>
      <c r="D346" s="44" t="s">
        <v>6186</v>
      </c>
      <c r="E346" s="44" t="s">
        <v>6186</v>
      </c>
      <c r="F346" s="44" t="s">
        <v>6186</v>
      </c>
      <c r="G346" s="44" t="s">
        <v>6186</v>
      </c>
      <c r="H346" s="44" t="s">
        <v>6186</v>
      </c>
      <c r="I346" s="45" t="s">
        <v>6227</v>
      </c>
      <c r="J346" s="55" t="s">
        <v>17</v>
      </c>
      <c r="K346" s="44">
        <v>0.33194444444444399</v>
      </c>
      <c r="L346" s="42" t="s">
        <v>6508</v>
      </c>
      <c r="M346" s="43" t="s">
        <v>6186</v>
      </c>
      <c r="N346" s="43" t="s">
        <v>6186</v>
      </c>
      <c r="O346" s="43" t="s">
        <v>6186</v>
      </c>
      <c r="P346" s="43" t="s">
        <v>6186</v>
      </c>
    </row>
    <row r="347" spans="1:16" ht="14.25" customHeight="1" x14ac:dyDescent="0.15">
      <c r="A347" s="42" t="s">
        <v>6228</v>
      </c>
      <c r="B347" s="55" t="s">
        <v>16</v>
      </c>
      <c r="C347" s="44">
        <v>0.318055555544561</v>
      </c>
      <c r="D347" s="44">
        <v>0.72361111111240495</v>
      </c>
      <c r="E347" s="44" t="s">
        <v>6186</v>
      </c>
      <c r="F347" s="44" t="s">
        <v>6186</v>
      </c>
      <c r="G347" s="44" t="s">
        <v>6186</v>
      </c>
      <c r="H347" s="44" t="s">
        <v>6186</v>
      </c>
      <c r="I347" s="45" t="s">
        <v>6230</v>
      </c>
      <c r="J347" s="55" t="s">
        <v>18</v>
      </c>
      <c r="K347" s="44">
        <v>0.33263888888888898</v>
      </c>
      <c r="L347" s="42" t="s">
        <v>6509</v>
      </c>
      <c r="M347" s="43" t="s">
        <v>6186</v>
      </c>
      <c r="N347" s="43" t="s">
        <v>6186</v>
      </c>
      <c r="O347" s="43" t="s">
        <v>6186</v>
      </c>
      <c r="P347" s="43" t="s">
        <v>6186</v>
      </c>
    </row>
    <row r="348" spans="1:16" ht="14.25" customHeight="1" x14ac:dyDescent="0.15">
      <c r="A348" s="42" t="s">
        <v>6231</v>
      </c>
      <c r="B348" s="55" t="s">
        <v>17</v>
      </c>
      <c r="C348" s="44">
        <v>0.32083333333139302</v>
      </c>
      <c r="D348" s="44">
        <v>0.72777777776354902</v>
      </c>
      <c r="E348" s="44" t="s">
        <v>6186</v>
      </c>
      <c r="F348" s="44" t="s">
        <v>6186</v>
      </c>
      <c r="G348" s="44" t="s">
        <v>6186</v>
      </c>
      <c r="H348" s="44" t="s">
        <v>6186</v>
      </c>
      <c r="I348" s="45" t="s">
        <v>6234</v>
      </c>
      <c r="J348" s="55" t="s">
        <v>11</v>
      </c>
      <c r="K348" s="45"/>
      <c r="L348" s="44" t="s">
        <v>6186</v>
      </c>
      <c r="M348" s="43" t="s">
        <v>6186</v>
      </c>
      <c r="N348" s="43" t="s">
        <v>6186</v>
      </c>
      <c r="O348" s="43" t="s">
        <v>6186</v>
      </c>
      <c r="P348" s="43" t="s">
        <v>6186</v>
      </c>
    </row>
    <row r="349" spans="1:16" ht="14.25" customHeight="1" x14ac:dyDescent="0.15">
      <c r="A349" s="42" t="s">
        <v>6235</v>
      </c>
      <c r="B349" s="55" t="s">
        <v>18</v>
      </c>
      <c r="C349" s="44">
        <v>0.322916666656965</v>
      </c>
      <c r="D349" s="44">
        <v>0.72916666665696495</v>
      </c>
      <c r="E349" s="44" t="s">
        <v>6186</v>
      </c>
      <c r="F349" s="44" t="s">
        <v>6186</v>
      </c>
      <c r="G349" s="44" t="s">
        <v>6186</v>
      </c>
      <c r="H349" s="44" t="s">
        <v>6186</v>
      </c>
      <c r="I349" s="45" t="s">
        <v>12</v>
      </c>
      <c r="J349" s="45" t="s">
        <v>12</v>
      </c>
      <c r="K349" s="45" t="s">
        <v>12</v>
      </c>
      <c r="L349" s="45" t="s">
        <v>12</v>
      </c>
      <c r="M349" s="42" t="s">
        <v>12</v>
      </c>
      <c r="N349" s="42" t="s">
        <v>12</v>
      </c>
      <c r="O349" s="42" t="s">
        <v>12</v>
      </c>
      <c r="P349" s="42" t="s">
        <v>12</v>
      </c>
    </row>
    <row r="350" spans="1:16" ht="14.25" customHeight="1" x14ac:dyDescent="0.15">
      <c r="A350" s="35"/>
      <c r="C350" s="46"/>
      <c r="D350" s="46"/>
      <c r="E350" s="46"/>
      <c r="F350" s="46"/>
      <c r="G350" s="47"/>
      <c r="H350" s="47"/>
      <c r="I350" s="36"/>
      <c r="M350" s="131" t="s">
        <v>6237</v>
      </c>
      <c r="N350" s="131"/>
      <c r="O350" s="131"/>
      <c r="P350" s="131"/>
    </row>
    <row r="351" spans="1:16" ht="14.25" customHeight="1" x14ac:dyDescent="0.15">
      <c r="A351" s="34"/>
    </row>
    <row r="352" spans="1:16" ht="14.25" customHeight="1" x14ac:dyDescent="0.15">
      <c r="A352" s="34"/>
    </row>
    <row r="353" spans="1:16" ht="14.25" customHeight="1" x14ac:dyDescent="0.15">
      <c r="A353" s="35"/>
      <c r="B353" s="36"/>
    </row>
    <row r="354" spans="1:16" ht="14.25" customHeight="1" x14ac:dyDescent="0.15">
      <c r="A354" s="124" t="s">
        <v>6178</v>
      </c>
      <c r="B354" s="125"/>
      <c r="C354" s="125"/>
      <c r="D354" s="126"/>
      <c r="E354" s="124" t="s">
        <v>6510</v>
      </c>
      <c r="F354" s="125"/>
      <c r="G354" s="126"/>
      <c r="H354" s="124" t="s">
        <v>6264</v>
      </c>
      <c r="I354" s="126"/>
      <c r="J354" s="125" t="s">
        <v>6181</v>
      </c>
      <c r="K354" s="125"/>
      <c r="L354" s="126"/>
      <c r="M354" s="124" t="s">
        <v>6182</v>
      </c>
      <c r="N354" s="125"/>
      <c r="O354" s="125"/>
      <c r="P354" s="126"/>
    </row>
    <row r="355" spans="1:16" ht="14.25" customHeight="1" x14ac:dyDescent="0.15">
      <c r="A355" s="124" t="s">
        <v>6314</v>
      </c>
      <c r="B355" s="125"/>
      <c r="C355" s="125"/>
      <c r="D355" s="125"/>
      <c r="E355" s="125"/>
      <c r="F355" s="125"/>
      <c r="G355" s="125"/>
      <c r="H355" s="125"/>
      <c r="I355" s="125"/>
      <c r="J355" s="125"/>
      <c r="K355" s="125"/>
      <c r="L355" s="125"/>
      <c r="M355" s="125"/>
      <c r="N355" s="125"/>
      <c r="O355" s="125"/>
      <c r="P355" s="126"/>
    </row>
    <row r="356" spans="1:16" ht="14.25" customHeight="1" x14ac:dyDescent="0.15">
      <c r="A356" s="124" t="s">
        <v>6184</v>
      </c>
      <c r="B356" s="125"/>
      <c r="C356" s="125"/>
      <c r="D356" s="125"/>
      <c r="E356" s="125"/>
      <c r="F356" s="125"/>
      <c r="G356" s="125"/>
      <c r="H356" s="125"/>
      <c r="I356" s="125"/>
      <c r="J356" s="125"/>
      <c r="K356" s="125"/>
      <c r="L356" s="125"/>
      <c r="M356" s="125"/>
      <c r="N356" s="125"/>
      <c r="O356" s="125"/>
      <c r="P356" s="126"/>
    </row>
    <row r="357" spans="1:16" ht="14.25" customHeight="1" x14ac:dyDescent="0.15">
      <c r="A357" s="37"/>
      <c r="B357" s="38"/>
      <c r="C357" s="127" t="s">
        <v>4</v>
      </c>
      <c r="D357" s="128"/>
      <c r="E357" s="129" t="s">
        <v>5</v>
      </c>
      <c r="F357" s="130"/>
      <c r="G357" s="129" t="s">
        <v>6</v>
      </c>
      <c r="H357" s="130"/>
      <c r="I357" s="38"/>
      <c r="J357" s="38"/>
      <c r="K357" s="127" t="s">
        <v>4</v>
      </c>
      <c r="L357" s="128"/>
      <c r="M357" s="129" t="s">
        <v>5</v>
      </c>
      <c r="N357" s="130"/>
      <c r="O357" s="129" t="s">
        <v>6</v>
      </c>
      <c r="P357" s="130"/>
    </row>
    <row r="358" spans="1:16" ht="24" customHeight="1" x14ac:dyDescent="0.15">
      <c r="A358" s="39" t="s">
        <v>7</v>
      </c>
      <c r="B358" s="40" t="s">
        <v>8</v>
      </c>
      <c r="C358" s="41" t="s">
        <v>9</v>
      </c>
      <c r="D358" s="41" t="s">
        <v>10</v>
      </c>
      <c r="E358" s="41" t="s">
        <v>9</v>
      </c>
      <c r="F358" s="41" t="s">
        <v>10</v>
      </c>
      <c r="G358" s="41" t="s">
        <v>9</v>
      </c>
      <c r="H358" s="41" t="s">
        <v>10</v>
      </c>
      <c r="I358" s="48" t="s">
        <v>7</v>
      </c>
      <c r="J358" s="40" t="s">
        <v>8</v>
      </c>
      <c r="K358" s="41" t="s">
        <v>9</v>
      </c>
      <c r="L358" s="41" t="s">
        <v>10</v>
      </c>
      <c r="M358" s="41" t="s">
        <v>9</v>
      </c>
      <c r="N358" s="41" t="s">
        <v>10</v>
      </c>
      <c r="O358" s="41" t="s">
        <v>9</v>
      </c>
      <c r="P358" s="41" t="s">
        <v>10</v>
      </c>
    </row>
    <row r="359" spans="1:16" ht="14.25" customHeight="1" x14ac:dyDescent="0.15">
      <c r="A359" s="42" t="s">
        <v>6185</v>
      </c>
      <c r="B359" s="40" t="s">
        <v>17</v>
      </c>
      <c r="C359" s="43" t="s">
        <v>6186</v>
      </c>
      <c r="D359" s="43" t="s">
        <v>6186</v>
      </c>
      <c r="E359" s="43" t="s">
        <v>6186</v>
      </c>
      <c r="F359" s="43" t="s">
        <v>6186</v>
      </c>
      <c r="G359" s="43" t="s">
        <v>6186</v>
      </c>
      <c r="H359" s="43" t="s">
        <v>6186</v>
      </c>
      <c r="I359" s="42" t="s">
        <v>6187</v>
      </c>
      <c r="J359" s="40" t="s">
        <v>11</v>
      </c>
      <c r="K359" s="44">
        <v>0.32777777776937</v>
      </c>
      <c r="L359" s="45" t="s">
        <v>6157</v>
      </c>
      <c r="M359" s="42" t="s">
        <v>6186</v>
      </c>
      <c r="N359" s="42" t="s">
        <v>6186</v>
      </c>
      <c r="O359" s="42" t="s">
        <v>6186</v>
      </c>
      <c r="P359" s="42" t="s">
        <v>6186</v>
      </c>
    </row>
    <row r="360" spans="1:16" ht="14.25" customHeight="1" x14ac:dyDescent="0.15">
      <c r="A360" s="42" t="s">
        <v>6190</v>
      </c>
      <c r="B360" s="40" t="s">
        <v>18</v>
      </c>
      <c r="C360" s="42" t="s">
        <v>6186</v>
      </c>
      <c r="D360" s="42" t="s">
        <v>6186</v>
      </c>
      <c r="E360" s="42" t="s">
        <v>6186</v>
      </c>
      <c r="F360" s="42" t="s">
        <v>6186</v>
      </c>
      <c r="G360" s="42" t="s">
        <v>6186</v>
      </c>
      <c r="H360" s="42" t="s">
        <v>6186</v>
      </c>
      <c r="I360" s="42" t="s">
        <v>6191</v>
      </c>
      <c r="J360" s="40" t="s">
        <v>14</v>
      </c>
      <c r="K360" s="44">
        <v>0.33194444444961801</v>
      </c>
      <c r="L360" s="44">
        <v>0.87222222221316803</v>
      </c>
      <c r="M360" s="43" t="s">
        <v>6186</v>
      </c>
      <c r="N360" s="43" t="s">
        <v>6186</v>
      </c>
      <c r="O360" s="43" t="s">
        <v>6186</v>
      </c>
      <c r="P360" s="43" t="s">
        <v>6186</v>
      </c>
    </row>
    <row r="361" spans="1:16" ht="14.25" customHeight="1" x14ac:dyDescent="0.15">
      <c r="A361" s="42" t="s">
        <v>6194</v>
      </c>
      <c r="B361" s="40" t="s">
        <v>11</v>
      </c>
      <c r="C361" s="43" t="s">
        <v>6186</v>
      </c>
      <c r="D361" s="43" t="s">
        <v>6186</v>
      </c>
      <c r="E361" s="43" t="s">
        <v>6186</v>
      </c>
      <c r="F361" s="43" t="s">
        <v>6186</v>
      </c>
      <c r="G361" s="43" t="s">
        <v>6186</v>
      </c>
      <c r="H361" s="43" t="s">
        <v>6186</v>
      </c>
      <c r="I361" s="42" t="s">
        <v>6195</v>
      </c>
      <c r="J361" s="40" t="s">
        <v>13</v>
      </c>
      <c r="K361" s="45" t="s">
        <v>6511</v>
      </c>
      <c r="L361" s="45" t="s">
        <v>6484</v>
      </c>
      <c r="M361" s="42" t="s">
        <v>6186</v>
      </c>
      <c r="N361" s="42" t="s">
        <v>6186</v>
      </c>
      <c r="O361" s="42" t="s">
        <v>6186</v>
      </c>
      <c r="P361" s="42" t="s">
        <v>6186</v>
      </c>
    </row>
    <row r="362" spans="1:16" ht="14.25" customHeight="1" x14ac:dyDescent="0.15">
      <c r="A362" s="42" t="s">
        <v>6198</v>
      </c>
      <c r="B362" s="40" t="s">
        <v>14</v>
      </c>
      <c r="C362" s="42" t="s">
        <v>6186</v>
      </c>
      <c r="D362" s="42" t="s">
        <v>6186</v>
      </c>
      <c r="E362" s="42" t="s">
        <v>6186</v>
      </c>
      <c r="F362" s="42" t="s">
        <v>6186</v>
      </c>
      <c r="G362" s="42" t="s">
        <v>6186</v>
      </c>
      <c r="H362" s="42" t="s">
        <v>6186</v>
      </c>
      <c r="I362" s="42" t="s">
        <v>6199</v>
      </c>
      <c r="J362" s="40" t="s">
        <v>15</v>
      </c>
      <c r="K362" s="45" t="s">
        <v>6393</v>
      </c>
      <c r="L362" s="45" t="s">
        <v>6484</v>
      </c>
      <c r="M362" s="42" t="s">
        <v>6186</v>
      </c>
      <c r="N362" s="42" t="s">
        <v>6186</v>
      </c>
      <c r="O362" s="42" t="s">
        <v>6186</v>
      </c>
      <c r="P362" s="42" t="s">
        <v>6186</v>
      </c>
    </row>
    <row r="363" spans="1:16" ht="14.25" customHeight="1" x14ac:dyDescent="0.15">
      <c r="A363" s="42" t="s">
        <v>6202</v>
      </c>
      <c r="B363" s="40" t="s">
        <v>13</v>
      </c>
      <c r="C363" s="42" t="s">
        <v>6186</v>
      </c>
      <c r="D363" s="42" t="s">
        <v>6186</v>
      </c>
      <c r="E363" s="42" t="s">
        <v>6186</v>
      </c>
      <c r="F363" s="42" t="s">
        <v>6186</v>
      </c>
      <c r="G363" s="42" t="s">
        <v>6186</v>
      </c>
      <c r="H363" s="42" t="s">
        <v>6186</v>
      </c>
      <c r="I363" s="42" t="s">
        <v>6203</v>
      </c>
      <c r="J363" s="40" t="s">
        <v>16</v>
      </c>
      <c r="K363" s="45" t="s">
        <v>6483</v>
      </c>
      <c r="L363" s="42" t="s">
        <v>6512</v>
      </c>
      <c r="M363" s="42" t="s">
        <v>6186</v>
      </c>
      <c r="N363" s="42" t="s">
        <v>6186</v>
      </c>
      <c r="O363" s="42" t="s">
        <v>6186</v>
      </c>
      <c r="P363" s="42" t="s">
        <v>6186</v>
      </c>
    </row>
    <row r="364" spans="1:16" ht="14.25" customHeight="1" x14ac:dyDescent="0.15">
      <c r="A364" s="42" t="s">
        <v>6204</v>
      </c>
      <c r="B364" s="40" t="s">
        <v>15</v>
      </c>
      <c r="C364" s="42" t="s">
        <v>6186</v>
      </c>
      <c r="D364" s="42" t="s">
        <v>6186</v>
      </c>
      <c r="E364" s="42" t="s">
        <v>6186</v>
      </c>
      <c r="F364" s="42" t="s">
        <v>6186</v>
      </c>
      <c r="G364" s="42" t="s">
        <v>6186</v>
      </c>
      <c r="H364" s="42" t="s">
        <v>6186</v>
      </c>
      <c r="I364" s="42" t="s">
        <v>6205</v>
      </c>
      <c r="J364" s="40" t="s">
        <v>17</v>
      </c>
      <c r="K364" s="45" t="s">
        <v>6502</v>
      </c>
      <c r="L364" s="42" t="s">
        <v>6513</v>
      </c>
      <c r="M364" s="42" t="s">
        <v>6186</v>
      </c>
      <c r="N364" s="42" t="s">
        <v>6186</v>
      </c>
      <c r="O364" s="42" t="s">
        <v>6186</v>
      </c>
      <c r="P364" s="42" t="s">
        <v>6186</v>
      </c>
    </row>
    <row r="365" spans="1:16" ht="14.25" customHeight="1" x14ac:dyDescent="0.15">
      <c r="A365" s="42" t="s">
        <v>6206</v>
      </c>
      <c r="B365" s="40" t="s">
        <v>16</v>
      </c>
      <c r="C365" s="45" t="s">
        <v>6186</v>
      </c>
      <c r="D365" s="45" t="s">
        <v>6186</v>
      </c>
      <c r="E365" s="42" t="s">
        <v>6186</v>
      </c>
      <c r="F365" s="42" t="s">
        <v>6186</v>
      </c>
      <c r="G365" s="42" t="s">
        <v>6186</v>
      </c>
      <c r="H365" s="42" t="s">
        <v>6186</v>
      </c>
      <c r="I365" s="42" t="s">
        <v>6207</v>
      </c>
      <c r="J365" s="40" t="s">
        <v>18</v>
      </c>
      <c r="K365" s="45" t="s">
        <v>6433</v>
      </c>
      <c r="L365" s="45" t="s">
        <v>6514</v>
      </c>
      <c r="M365" s="42" t="s">
        <v>6186</v>
      </c>
      <c r="N365" s="42" t="s">
        <v>6186</v>
      </c>
      <c r="O365" s="42" t="s">
        <v>6186</v>
      </c>
      <c r="P365" s="42" t="s">
        <v>6186</v>
      </c>
    </row>
    <row r="366" spans="1:16" ht="14.25" customHeight="1" x14ac:dyDescent="0.15">
      <c r="A366" s="42" t="s">
        <v>6208</v>
      </c>
      <c r="B366" s="40" t="s">
        <v>17</v>
      </c>
      <c r="C366" s="44">
        <v>0.32986111112404598</v>
      </c>
      <c r="D366" s="45" t="s">
        <v>6441</v>
      </c>
      <c r="E366" s="42"/>
      <c r="F366" s="42" t="s">
        <v>6186</v>
      </c>
      <c r="G366" s="42" t="s">
        <v>6186</v>
      </c>
      <c r="H366" s="42" t="s">
        <v>6186</v>
      </c>
      <c r="I366" s="42" t="s">
        <v>6211</v>
      </c>
      <c r="J366" s="40" t="s">
        <v>11</v>
      </c>
      <c r="K366" s="44">
        <v>0.328472222222222</v>
      </c>
      <c r="L366" s="45" t="s">
        <v>6316</v>
      </c>
      <c r="M366" s="42" t="s">
        <v>6186</v>
      </c>
      <c r="N366" s="42" t="s">
        <v>6186</v>
      </c>
      <c r="O366" s="42" t="s">
        <v>6186</v>
      </c>
      <c r="P366" s="42" t="s">
        <v>6186</v>
      </c>
    </row>
    <row r="367" spans="1:16" ht="14.25" customHeight="1" x14ac:dyDescent="0.15">
      <c r="A367" s="42" t="s">
        <v>6212</v>
      </c>
      <c r="B367" s="40" t="s">
        <v>18</v>
      </c>
      <c r="C367" s="45" t="s">
        <v>6483</v>
      </c>
      <c r="D367" s="45" t="s">
        <v>6466</v>
      </c>
      <c r="E367" s="42"/>
      <c r="F367" s="42" t="s">
        <v>6186</v>
      </c>
      <c r="G367" s="42" t="s">
        <v>6186</v>
      </c>
      <c r="H367" s="42" t="s">
        <v>6186</v>
      </c>
      <c r="I367" s="42" t="s">
        <v>6215</v>
      </c>
      <c r="J367" s="40" t="s">
        <v>14</v>
      </c>
      <c r="K367" s="44">
        <v>0.33124999999999999</v>
      </c>
      <c r="L367" s="45" t="s">
        <v>6278</v>
      </c>
      <c r="M367" s="42" t="s">
        <v>6186</v>
      </c>
      <c r="N367" s="42" t="s">
        <v>6186</v>
      </c>
      <c r="O367" s="42" t="s">
        <v>6186</v>
      </c>
      <c r="P367" s="42" t="s">
        <v>6186</v>
      </c>
    </row>
    <row r="368" spans="1:16" ht="14.25" customHeight="1" x14ac:dyDescent="0.15">
      <c r="A368" s="42" t="s">
        <v>6216</v>
      </c>
      <c r="B368" s="40" t="s">
        <v>11</v>
      </c>
      <c r="C368" s="45" t="s">
        <v>6502</v>
      </c>
      <c r="D368" s="45" t="s">
        <v>6369</v>
      </c>
      <c r="E368" s="42"/>
      <c r="F368" s="42" t="s">
        <v>6186</v>
      </c>
      <c r="G368" s="42" t="s">
        <v>6186</v>
      </c>
      <c r="H368" s="42" t="s">
        <v>6186</v>
      </c>
      <c r="I368" s="42" t="s">
        <v>6219</v>
      </c>
      <c r="J368" s="40" t="s">
        <v>13</v>
      </c>
      <c r="K368" s="45" t="s">
        <v>6393</v>
      </c>
      <c r="L368" s="42" t="s">
        <v>6515</v>
      </c>
      <c r="M368" s="43" t="s">
        <v>6186</v>
      </c>
      <c r="N368" s="43" t="s">
        <v>6186</v>
      </c>
      <c r="O368" s="43" t="s">
        <v>6186</v>
      </c>
      <c r="P368" s="43" t="s">
        <v>6186</v>
      </c>
    </row>
    <row r="369" spans="1:16" ht="14.25" customHeight="1" x14ac:dyDescent="0.15">
      <c r="A369" s="42" t="s">
        <v>6220</v>
      </c>
      <c r="B369" s="40" t="s">
        <v>14</v>
      </c>
      <c r="C369" s="45" t="s">
        <v>6458</v>
      </c>
      <c r="D369" s="45" t="s">
        <v>6494</v>
      </c>
      <c r="E369" s="42"/>
      <c r="F369" s="42" t="s">
        <v>6186</v>
      </c>
      <c r="G369" s="42" t="s">
        <v>6186</v>
      </c>
      <c r="H369" s="42" t="s">
        <v>6186</v>
      </c>
      <c r="I369" s="42" t="s">
        <v>6221</v>
      </c>
      <c r="J369" s="40" t="s">
        <v>15</v>
      </c>
      <c r="K369" s="45" t="s">
        <v>6458</v>
      </c>
      <c r="L369" s="42" t="s">
        <v>6516</v>
      </c>
      <c r="M369" s="42" t="s">
        <v>6186</v>
      </c>
      <c r="N369" s="42" t="s">
        <v>6186</v>
      </c>
      <c r="O369" s="42" t="s">
        <v>6186</v>
      </c>
      <c r="P369" s="42" t="s">
        <v>6186</v>
      </c>
    </row>
    <row r="370" spans="1:16" ht="14.25" customHeight="1" x14ac:dyDescent="0.15">
      <c r="A370" s="42" t="s">
        <v>6222</v>
      </c>
      <c r="B370" s="40" t="s">
        <v>13</v>
      </c>
      <c r="C370" s="44">
        <v>0.32847222223063</v>
      </c>
      <c r="D370" s="45" t="s">
        <v>6517</v>
      </c>
      <c r="E370" s="42"/>
      <c r="F370" s="42" t="s">
        <v>6186</v>
      </c>
      <c r="G370" s="42" t="s">
        <v>6186</v>
      </c>
      <c r="H370" s="42" t="s">
        <v>6186</v>
      </c>
      <c r="I370" s="42" t="s">
        <v>6224</v>
      </c>
      <c r="J370" s="40" t="s">
        <v>16</v>
      </c>
      <c r="K370" s="45" t="s">
        <v>6433</v>
      </c>
      <c r="L370" s="42" t="s">
        <v>6470</v>
      </c>
      <c r="M370" s="42" t="s">
        <v>6186</v>
      </c>
      <c r="N370" s="42" t="s">
        <v>6186</v>
      </c>
      <c r="O370" s="42" t="s">
        <v>6186</v>
      </c>
      <c r="P370" s="42" t="s">
        <v>6186</v>
      </c>
    </row>
    <row r="371" spans="1:16" ht="14.25" customHeight="1" x14ac:dyDescent="0.15">
      <c r="A371" s="42" t="s">
        <v>6225</v>
      </c>
      <c r="B371" s="40" t="s">
        <v>15</v>
      </c>
      <c r="C371" s="44">
        <v>0.33124999998835802</v>
      </c>
      <c r="D371" s="44">
        <v>0.99652777778101198</v>
      </c>
      <c r="E371" s="43"/>
      <c r="F371" s="43" t="s">
        <v>6186</v>
      </c>
      <c r="G371" s="43" t="s">
        <v>6186</v>
      </c>
      <c r="H371" s="43" t="s">
        <v>6186</v>
      </c>
      <c r="I371" s="42" t="s">
        <v>6227</v>
      </c>
      <c r="J371" s="40" t="s">
        <v>17</v>
      </c>
      <c r="K371" s="44">
        <v>0.327777777777778</v>
      </c>
      <c r="L371" s="42" t="s">
        <v>6518</v>
      </c>
      <c r="M371" s="43" t="s">
        <v>6186</v>
      </c>
      <c r="N371" s="43" t="s">
        <v>6186</v>
      </c>
      <c r="O371" s="43" t="s">
        <v>6186</v>
      </c>
      <c r="P371" s="43" t="s">
        <v>6186</v>
      </c>
    </row>
    <row r="372" spans="1:16" ht="14.25" customHeight="1" x14ac:dyDescent="0.15">
      <c r="A372" s="42" t="s">
        <v>6228</v>
      </c>
      <c r="B372" s="40" t="s">
        <v>16</v>
      </c>
      <c r="C372" s="45" t="s">
        <v>6393</v>
      </c>
      <c r="D372" s="45" t="s">
        <v>6514</v>
      </c>
      <c r="E372" s="42"/>
      <c r="F372" s="42" t="s">
        <v>6186</v>
      </c>
      <c r="G372" s="42" t="s">
        <v>6186</v>
      </c>
      <c r="H372" s="42" t="s">
        <v>6186</v>
      </c>
      <c r="I372" s="42" t="s">
        <v>6230</v>
      </c>
      <c r="J372" s="40" t="s">
        <v>18</v>
      </c>
      <c r="K372" s="44">
        <v>0.33194444444961801</v>
      </c>
      <c r="L372" s="42" t="s">
        <v>6516</v>
      </c>
      <c r="M372" s="42" t="s">
        <v>6186</v>
      </c>
      <c r="N372" s="42" t="s">
        <v>6186</v>
      </c>
      <c r="O372" s="42" t="s">
        <v>6186</v>
      </c>
      <c r="P372" s="42" t="s">
        <v>6186</v>
      </c>
    </row>
    <row r="373" spans="1:16" ht="14.25" customHeight="1" x14ac:dyDescent="0.15">
      <c r="A373" s="42" t="s">
        <v>6231</v>
      </c>
      <c r="B373" s="40" t="s">
        <v>17</v>
      </c>
      <c r="C373" s="45" t="s">
        <v>6393</v>
      </c>
      <c r="D373" s="45" t="s">
        <v>6316</v>
      </c>
      <c r="E373" s="42"/>
      <c r="F373" s="42" t="s">
        <v>6186</v>
      </c>
      <c r="G373" s="42" t="s">
        <v>6186</v>
      </c>
      <c r="H373" s="42" t="s">
        <v>6186</v>
      </c>
      <c r="I373" s="42" t="s">
        <v>6234</v>
      </c>
      <c r="J373" s="40" t="s">
        <v>11</v>
      </c>
      <c r="K373" s="45" t="s">
        <v>6511</v>
      </c>
      <c r="L373" s="42" t="s">
        <v>6495</v>
      </c>
      <c r="M373" s="42" t="s">
        <v>6186</v>
      </c>
      <c r="N373" s="42" t="s">
        <v>6186</v>
      </c>
      <c r="O373" s="42" t="s">
        <v>6186</v>
      </c>
      <c r="P373" s="42" t="s">
        <v>6186</v>
      </c>
    </row>
    <row r="374" spans="1:16" ht="14.25" customHeight="1" x14ac:dyDescent="0.15">
      <c r="A374" s="42" t="s">
        <v>6235</v>
      </c>
      <c r="B374" s="40" t="s">
        <v>18</v>
      </c>
      <c r="C374" s="45" t="s">
        <v>6458</v>
      </c>
      <c r="D374" s="45" t="s">
        <v>6484</v>
      </c>
      <c r="E374" s="42"/>
      <c r="F374" s="42" t="s">
        <v>6186</v>
      </c>
      <c r="G374" s="42" t="s">
        <v>6186</v>
      </c>
      <c r="H374" s="42" t="s">
        <v>6186</v>
      </c>
      <c r="I374" s="42" t="s">
        <v>12</v>
      </c>
      <c r="J374" s="42" t="s">
        <v>12</v>
      </c>
      <c r="K374" s="42" t="s">
        <v>12</v>
      </c>
      <c r="L374" s="42" t="s">
        <v>12</v>
      </c>
      <c r="M374" s="42" t="s">
        <v>12</v>
      </c>
      <c r="N374" s="42" t="s">
        <v>12</v>
      </c>
      <c r="O374" s="42" t="s">
        <v>12</v>
      </c>
      <c r="P374" s="42" t="s">
        <v>12</v>
      </c>
    </row>
    <row r="375" spans="1:16" ht="14.25" customHeight="1" x14ac:dyDescent="0.15">
      <c r="A375" s="35"/>
      <c r="C375" s="46"/>
      <c r="D375" s="46"/>
      <c r="E375" s="46"/>
      <c r="F375" s="46"/>
      <c r="G375" s="47"/>
      <c r="H375" s="47"/>
      <c r="I375" s="36"/>
      <c r="M375" s="131" t="s">
        <v>6237</v>
      </c>
      <c r="N375" s="131"/>
      <c r="O375" s="131"/>
      <c r="P375" s="131"/>
    </row>
    <row r="376" spans="1:16" ht="14.25" customHeight="1" x14ac:dyDescent="0.15">
      <c r="A376" s="34"/>
    </row>
    <row r="377" spans="1:16" ht="14.25" customHeight="1" x14ac:dyDescent="0.15">
      <c r="A377" s="34"/>
    </row>
    <row r="378" spans="1:16" ht="14.25" customHeight="1" x14ac:dyDescent="0.15">
      <c r="A378" s="35"/>
      <c r="B378" s="36"/>
    </row>
    <row r="379" spans="1:16" ht="14.25" customHeight="1" x14ac:dyDescent="0.15">
      <c r="A379" s="124" t="s">
        <v>6178</v>
      </c>
      <c r="B379" s="125"/>
      <c r="C379" s="125"/>
      <c r="D379" s="126"/>
      <c r="E379" s="124" t="s">
        <v>6519</v>
      </c>
      <c r="F379" s="125"/>
      <c r="G379" s="126"/>
      <c r="H379" s="124" t="s">
        <v>6266</v>
      </c>
      <c r="I379" s="126"/>
      <c r="J379" s="125" t="s">
        <v>6181</v>
      </c>
      <c r="K379" s="125"/>
      <c r="L379" s="126"/>
      <c r="M379" s="124" t="s">
        <v>6182</v>
      </c>
      <c r="N379" s="125"/>
      <c r="O379" s="125"/>
      <c r="P379" s="126"/>
    </row>
    <row r="380" spans="1:16" ht="14.25" customHeight="1" x14ac:dyDescent="0.15">
      <c r="A380" s="124" t="s">
        <v>6314</v>
      </c>
      <c r="B380" s="125"/>
      <c r="C380" s="125"/>
      <c r="D380" s="125"/>
      <c r="E380" s="125"/>
      <c r="F380" s="125"/>
      <c r="G380" s="125"/>
      <c r="H380" s="125"/>
      <c r="I380" s="125"/>
      <c r="J380" s="125"/>
      <c r="K380" s="125"/>
      <c r="L380" s="125"/>
      <c r="M380" s="125"/>
      <c r="N380" s="125"/>
      <c r="O380" s="125"/>
      <c r="P380" s="126"/>
    </row>
    <row r="381" spans="1:16" ht="14.25" customHeight="1" x14ac:dyDescent="0.15">
      <c r="A381" s="124" t="s">
        <v>6184</v>
      </c>
      <c r="B381" s="125"/>
      <c r="C381" s="125"/>
      <c r="D381" s="125"/>
      <c r="E381" s="125"/>
      <c r="F381" s="125"/>
      <c r="G381" s="125"/>
      <c r="H381" s="125"/>
      <c r="I381" s="125"/>
      <c r="J381" s="125"/>
      <c r="K381" s="125"/>
      <c r="L381" s="125"/>
      <c r="M381" s="125"/>
      <c r="N381" s="125"/>
      <c r="O381" s="125"/>
      <c r="P381" s="126"/>
    </row>
    <row r="382" spans="1:16" ht="14.25" customHeight="1" x14ac:dyDescent="0.15">
      <c r="A382" s="37"/>
      <c r="B382" s="38"/>
      <c r="C382" s="127" t="s">
        <v>4</v>
      </c>
      <c r="D382" s="128"/>
      <c r="E382" s="129" t="s">
        <v>5</v>
      </c>
      <c r="F382" s="130"/>
      <c r="G382" s="129" t="s">
        <v>6</v>
      </c>
      <c r="H382" s="130"/>
      <c r="I382" s="38"/>
      <c r="J382" s="38"/>
      <c r="K382" s="127" t="s">
        <v>4</v>
      </c>
      <c r="L382" s="128"/>
      <c r="M382" s="129" t="s">
        <v>5</v>
      </c>
      <c r="N382" s="130"/>
      <c r="O382" s="129" t="s">
        <v>6</v>
      </c>
      <c r="P382" s="130"/>
    </row>
    <row r="383" spans="1:16" ht="24" customHeight="1" x14ac:dyDescent="0.15">
      <c r="A383" s="39" t="s">
        <v>7</v>
      </c>
      <c r="B383" s="40" t="s">
        <v>8</v>
      </c>
      <c r="C383" s="41" t="s">
        <v>9</v>
      </c>
      <c r="D383" s="41" t="s">
        <v>10</v>
      </c>
      <c r="E383" s="41" t="s">
        <v>9</v>
      </c>
      <c r="F383" s="41" t="s">
        <v>10</v>
      </c>
      <c r="G383" s="41" t="s">
        <v>9</v>
      </c>
      <c r="H383" s="41" t="s">
        <v>10</v>
      </c>
      <c r="I383" s="48" t="s">
        <v>7</v>
      </c>
      <c r="J383" s="40" t="s">
        <v>8</v>
      </c>
      <c r="K383" s="41" t="s">
        <v>9</v>
      </c>
      <c r="L383" s="41" t="s">
        <v>10</v>
      </c>
      <c r="M383" s="41" t="s">
        <v>9</v>
      </c>
      <c r="N383" s="41" t="s">
        <v>10</v>
      </c>
      <c r="O383" s="41" t="s">
        <v>9</v>
      </c>
      <c r="P383" s="41" t="s">
        <v>10</v>
      </c>
    </row>
    <row r="384" spans="1:16" ht="14.25" customHeight="1" x14ac:dyDescent="0.15">
      <c r="A384" s="42" t="s">
        <v>6185</v>
      </c>
      <c r="B384" s="40" t="s">
        <v>17</v>
      </c>
      <c r="C384" s="42" t="s">
        <v>6186</v>
      </c>
      <c r="D384" s="42" t="s">
        <v>6186</v>
      </c>
      <c r="E384" s="42" t="s">
        <v>6186</v>
      </c>
      <c r="F384" s="42" t="s">
        <v>6186</v>
      </c>
      <c r="G384" s="42" t="s">
        <v>6186</v>
      </c>
      <c r="H384" s="42" t="s">
        <v>6186</v>
      </c>
      <c r="I384" s="42" t="s">
        <v>6187</v>
      </c>
      <c r="J384" s="40" t="s">
        <v>11</v>
      </c>
      <c r="K384" s="42" t="s">
        <v>6502</v>
      </c>
      <c r="L384" s="42" t="s">
        <v>6157</v>
      </c>
      <c r="M384" s="42" t="s">
        <v>6186</v>
      </c>
      <c r="N384" s="42" t="s">
        <v>6186</v>
      </c>
      <c r="O384" s="42" t="s">
        <v>6186</v>
      </c>
      <c r="P384" s="42" t="s">
        <v>6186</v>
      </c>
    </row>
    <row r="385" spans="1:16" ht="14.25" customHeight="1" x14ac:dyDescent="0.15">
      <c r="A385" s="42" t="s">
        <v>6190</v>
      </c>
      <c r="B385" s="40" t="s">
        <v>18</v>
      </c>
      <c r="C385" s="42" t="s">
        <v>6186</v>
      </c>
      <c r="D385" s="42" t="s">
        <v>6186</v>
      </c>
      <c r="E385" s="42" t="s">
        <v>6186</v>
      </c>
      <c r="F385" s="42" t="s">
        <v>6186</v>
      </c>
      <c r="G385" s="42" t="s">
        <v>6186</v>
      </c>
      <c r="H385" s="42" t="s">
        <v>6186</v>
      </c>
      <c r="I385" s="42" t="s">
        <v>6191</v>
      </c>
      <c r="J385" s="40" t="s">
        <v>14</v>
      </c>
      <c r="K385" s="42" t="s">
        <v>6400</v>
      </c>
      <c r="L385" s="42" t="s">
        <v>6520</v>
      </c>
      <c r="M385" s="42" t="s">
        <v>6186</v>
      </c>
      <c r="N385" s="42" t="s">
        <v>6186</v>
      </c>
      <c r="O385" s="42" t="s">
        <v>6186</v>
      </c>
      <c r="P385" s="42" t="s">
        <v>6186</v>
      </c>
    </row>
    <row r="386" spans="1:16" ht="14.25" customHeight="1" x14ac:dyDescent="0.15">
      <c r="A386" s="42" t="s">
        <v>6194</v>
      </c>
      <c r="B386" s="40" t="s">
        <v>11</v>
      </c>
      <c r="C386" s="42" t="s">
        <v>6186</v>
      </c>
      <c r="D386" s="42" t="s">
        <v>6186</v>
      </c>
      <c r="E386" s="42" t="s">
        <v>6186</v>
      </c>
      <c r="F386" s="42" t="s">
        <v>6186</v>
      </c>
      <c r="G386" s="42" t="s">
        <v>6186</v>
      </c>
      <c r="H386" s="42" t="s">
        <v>6186</v>
      </c>
      <c r="I386" s="42" t="s">
        <v>6195</v>
      </c>
      <c r="J386" s="40" t="s">
        <v>13</v>
      </c>
      <c r="K386" s="42" t="s">
        <v>6433</v>
      </c>
      <c r="L386" s="42" t="s">
        <v>6484</v>
      </c>
      <c r="M386" s="42" t="s">
        <v>6186</v>
      </c>
      <c r="N386" s="42" t="s">
        <v>6186</v>
      </c>
      <c r="O386" s="42" t="s">
        <v>6186</v>
      </c>
      <c r="P386" s="42" t="s">
        <v>6186</v>
      </c>
    </row>
    <row r="387" spans="1:16" ht="14.25" customHeight="1" x14ac:dyDescent="0.15">
      <c r="A387" s="42" t="s">
        <v>6198</v>
      </c>
      <c r="B387" s="40" t="s">
        <v>14</v>
      </c>
      <c r="C387" s="42"/>
      <c r="D387" s="42"/>
      <c r="E387" s="42" t="s">
        <v>6186</v>
      </c>
      <c r="F387" s="42" t="s">
        <v>6186</v>
      </c>
      <c r="G387" s="42" t="s">
        <v>6186</v>
      </c>
      <c r="H387" s="42" t="s">
        <v>6186</v>
      </c>
      <c r="I387" s="42" t="s">
        <v>6199</v>
      </c>
      <c r="J387" s="40" t="s">
        <v>15</v>
      </c>
      <c r="K387" s="42" t="s">
        <v>6400</v>
      </c>
      <c r="L387" s="42" t="s">
        <v>6484</v>
      </c>
      <c r="M387" s="42" t="s">
        <v>6186</v>
      </c>
      <c r="N387" s="42" t="s">
        <v>6186</v>
      </c>
      <c r="O387" s="42" t="s">
        <v>6186</v>
      </c>
      <c r="P387" s="42" t="s">
        <v>6186</v>
      </c>
    </row>
    <row r="388" spans="1:16" ht="14.25" customHeight="1" x14ac:dyDescent="0.15">
      <c r="A388" s="42" t="s">
        <v>6202</v>
      </c>
      <c r="B388" s="40" t="s">
        <v>13</v>
      </c>
      <c r="C388" s="42"/>
      <c r="D388" s="42"/>
      <c r="E388" s="42" t="s">
        <v>6186</v>
      </c>
      <c r="F388" s="42" t="s">
        <v>6186</v>
      </c>
      <c r="G388" s="42" t="s">
        <v>6186</v>
      </c>
      <c r="H388" s="42" t="s">
        <v>6186</v>
      </c>
      <c r="I388" s="42" t="s">
        <v>6203</v>
      </c>
      <c r="J388" s="40" t="s">
        <v>16</v>
      </c>
      <c r="K388" s="42" t="s">
        <v>6521</v>
      </c>
      <c r="L388" s="42" t="s">
        <v>6512</v>
      </c>
      <c r="M388" s="42" t="s">
        <v>6186</v>
      </c>
      <c r="N388" s="42" t="s">
        <v>6186</v>
      </c>
      <c r="O388" s="42" t="s">
        <v>6186</v>
      </c>
      <c r="P388" s="42" t="s">
        <v>6186</v>
      </c>
    </row>
    <row r="389" spans="1:16" ht="14.25" customHeight="1" x14ac:dyDescent="0.15">
      <c r="A389" s="42" t="s">
        <v>6204</v>
      </c>
      <c r="B389" s="40" t="s">
        <v>15</v>
      </c>
      <c r="C389" s="42"/>
      <c r="D389" s="42"/>
      <c r="E389" s="42" t="s">
        <v>6186</v>
      </c>
      <c r="F389" s="42" t="s">
        <v>6186</v>
      </c>
      <c r="G389" s="42" t="s">
        <v>6186</v>
      </c>
      <c r="H389" s="42" t="s">
        <v>6186</v>
      </c>
      <c r="I389" s="42" t="s">
        <v>6205</v>
      </c>
      <c r="J389" s="40" t="s">
        <v>17</v>
      </c>
      <c r="K389" s="42" t="s">
        <v>6522</v>
      </c>
      <c r="L389" s="42" t="s">
        <v>6523</v>
      </c>
      <c r="M389" s="42" t="s">
        <v>6186</v>
      </c>
      <c r="N389" s="42" t="s">
        <v>6186</v>
      </c>
      <c r="O389" s="42" t="s">
        <v>6186</v>
      </c>
      <c r="P389" s="42" t="s">
        <v>6186</v>
      </c>
    </row>
    <row r="390" spans="1:16" ht="14.25" customHeight="1" x14ac:dyDescent="0.15">
      <c r="A390" s="42" t="s">
        <v>6206</v>
      </c>
      <c r="B390" s="40" t="s">
        <v>16</v>
      </c>
      <c r="C390" s="42"/>
      <c r="D390" s="42"/>
      <c r="E390" s="42" t="s">
        <v>6186</v>
      </c>
      <c r="F390" s="42" t="s">
        <v>6186</v>
      </c>
      <c r="G390" s="42" t="s">
        <v>6186</v>
      </c>
      <c r="H390" s="42" t="s">
        <v>6186</v>
      </c>
      <c r="I390" s="42" t="s">
        <v>6207</v>
      </c>
      <c r="J390" s="40" t="s">
        <v>18</v>
      </c>
      <c r="K390" s="45" t="s">
        <v>6402</v>
      </c>
      <c r="L390" s="45" t="s">
        <v>6524</v>
      </c>
      <c r="M390" s="42" t="s">
        <v>6186</v>
      </c>
      <c r="N390" s="42" t="s">
        <v>6186</v>
      </c>
      <c r="O390" s="42" t="s">
        <v>6186</v>
      </c>
      <c r="P390" s="42" t="s">
        <v>6186</v>
      </c>
    </row>
    <row r="391" spans="1:16" ht="14.25" customHeight="1" x14ac:dyDescent="0.15">
      <c r="A391" s="42" t="s">
        <v>6208</v>
      </c>
      <c r="B391" s="40" t="s">
        <v>17</v>
      </c>
      <c r="C391" s="45" t="s">
        <v>6402</v>
      </c>
      <c r="D391" s="45" t="s">
        <v>6525</v>
      </c>
      <c r="E391" s="42" t="s">
        <v>6186</v>
      </c>
      <c r="F391" s="42" t="s">
        <v>6186</v>
      </c>
      <c r="G391" s="42" t="s">
        <v>6186</v>
      </c>
      <c r="H391" s="42" t="s">
        <v>6186</v>
      </c>
      <c r="I391" s="42" t="s">
        <v>6211</v>
      </c>
      <c r="J391" s="40" t="s">
        <v>11</v>
      </c>
      <c r="K391" s="45" t="s">
        <v>6390</v>
      </c>
      <c r="L391" s="42" t="s">
        <v>6514</v>
      </c>
      <c r="M391" s="42" t="s">
        <v>6186</v>
      </c>
      <c r="N391" s="42" t="s">
        <v>6186</v>
      </c>
      <c r="O391" s="42" t="s">
        <v>6186</v>
      </c>
      <c r="P391" s="42" t="s">
        <v>6186</v>
      </c>
    </row>
    <row r="392" spans="1:16" ht="14.25" customHeight="1" x14ac:dyDescent="0.15">
      <c r="A392" s="42" t="s">
        <v>6212</v>
      </c>
      <c r="B392" s="40" t="s">
        <v>18</v>
      </c>
      <c r="C392" s="45" t="s">
        <v>6390</v>
      </c>
      <c r="D392" s="45" t="s">
        <v>6333</v>
      </c>
      <c r="E392" s="42" t="s">
        <v>6186</v>
      </c>
      <c r="F392" s="42" t="s">
        <v>6186</v>
      </c>
      <c r="G392" s="42" t="s">
        <v>6186</v>
      </c>
      <c r="H392" s="42" t="s">
        <v>6186</v>
      </c>
      <c r="I392" s="42" t="s">
        <v>6215</v>
      </c>
      <c r="J392" s="40" t="s">
        <v>14</v>
      </c>
      <c r="K392" s="45" t="s">
        <v>6393</v>
      </c>
      <c r="L392" s="42" t="s">
        <v>6345</v>
      </c>
      <c r="M392" s="42" t="s">
        <v>6186</v>
      </c>
      <c r="N392" s="42" t="s">
        <v>6186</v>
      </c>
      <c r="O392" s="42" t="s">
        <v>6186</v>
      </c>
      <c r="P392" s="42" t="s">
        <v>6186</v>
      </c>
    </row>
    <row r="393" spans="1:16" ht="14.25" customHeight="1" x14ac:dyDescent="0.15">
      <c r="A393" s="42" t="s">
        <v>6216</v>
      </c>
      <c r="B393" s="40" t="s">
        <v>11</v>
      </c>
      <c r="C393" s="45" t="s">
        <v>6393</v>
      </c>
      <c r="D393" s="45" t="s">
        <v>6476</v>
      </c>
      <c r="E393" s="42" t="s">
        <v>6186</v>
      </c>
      <c r="F393" s="42" t="s">
        <v>6186</v>
      </c>
      <c r="G393" s="42" t="s">
        <v>6186</v>
      </c>
      <c r="H393" s="42" t="s">
        <v>6186</v>
      </c>
      <c r="I393" s="42" t="s">
        <v>6219</v>
      </c>
      <c r="J393" s="40" t="s">
        <v>13</v>
      </c>
      <c r="K393" s="44">
        <v>0.33263888888177501</v>
      </c>
      <c r="L393" s="42" t="s">
        <v>6526</v>
      </c>
      <c r="M393" s="42" t="s">
        <v>6186</v>
      </c>
      <c r="N393" s="42" t="s">
        <v>6186</v>
      </c>
      <c r="O393" s="42" t="s">
        <v>6186</v>
      </c>
      <c r="P393" s="42" t="s">
        <v>6186</v>
      </c>
    </row>
    <row r="394" spans="1:16" ht="14.25" customHeight="1" x14ac:dyDescent="0.15">
      <c r="A394" s="42" t="s">
        <v>6220</v>
      </c>
      <c r="B394" s="40" t="s">
        <v>14</v>
      </c>
      <c r="C394" s="44">
        <v>0.33263888888177501</v>
      </c>
      <c r="D394" s="45" t="s">
        <v>6527</v>
      </c>
      <c r="E394" s="42" t="s">
        <v>6186</v>
      </c>
      <c r="F394" s="42" t="s">
        <v>6186</v>
      </c>
      <c r="G394" s="42" t="s">
        <v>6186</v>
      </c>
      <c r="H394" s="42" t="s">
        <v>6186</v>
      </c>
      <c r="I394" s="42" t="s">
        <v>6221</v>
      </c>
      <c r="J394" s="40" t="s">
        <v>15</v>
      </c>
      <c r="K394" s="44">
        <v>0.32708333333721401</v>
      </c>
      <c r="L394" s="42" t="s">
        <v>6528</v>
      </c>
      <c r="M394" s="42" t="s">
        <v>6186</v>
      </c>
      <c r="N394" s="42" t="s">
        <v>6186</v>
      </c>
      <c r="O394" s="42" t="s">
        <v>6186</v>
      </c>
      <c r="P394" s="42" t="s">
        <v>6186</v>
      </c>
    </row>
    <row r="395" spans="1:16" ht="14.25" customHeight="1" x14ac:dyDescent="0.15">
      <c r="A395" s="42" t="s">
        <v>6222</v>
      </c>
      <c r="B395" s="40" t="s">
        <v>13</v>
      </c>
      <c r="C395" s="44">
        <v>0.32708333333721401</v>
      </c>
      <c r="D395" s="45" t="s">
        <v>6381</v>
      </c>
      <c r="E395" s="42" t="s">
        <v>6186</v>
      </c>
      <c r="F395" s="42" t="s">
        <v>6186</v>
      </c>
      <c r="G395" s="42" t="s">
        <v>6186</v>
      </c>
      <c r="H395" s="42" t="s">
        <v>6186</v>
      </c>
      <c r="I395" s="42" t="s">
        <v>6224</v>
      </c>
      <c r="J395" s="40" t="s">
        <v>16</v>
      </c>
      <c r="K395" s="45" t="s">
        <v>6357</v>
      </c>
      <c r="L395" s="45" t="s">
        <v>6524</v>
      </c>
      <c r="M395" s="42" t="s">
        <v>6186</v>
      </c>
      <c r="N395" s="42" t="s">
        <v>6186</v>
      </c>
      <c r="O395" s="42" t="s">
        <v>6186</v>
      </c>
      <c r="P395" s="42" t="s">
        <v>6186</v>
      </c>
    </row>
    <row r="396" spans="1:16" ht="14.25" customHeight="1" x14ac:dyDescent="0.15">
      <c r="A396" s="42" t="s">
        <v>6225</v>
      </c>
      <c r="B396" s="40" t="s">
        <v>15</v>
      </c>
      <c r="C396" s="45" t="s">
        <v>6357</v>
      </c>
      <c r="D396" s="45" t="s">
        <v>6524</v>
      </c>
      <c r="E396" s="42" t="s">
        <v>6186</v>
      </c>
      <c r="F396" s="42" t="s">
        <v>6186</v>
      </c>
      <c r="G396" s="42" t="s">
        <v>6186</v>
      </c>
      <c r="H396" s="42" t="s">
        <v>6186</v>
      </c>
      <c r="I396" s="42" t="s">
        <v>6227</v>
      </c>
      <c r="J396" s="40" t="s">
        <v>17</v>
      </c>
      <c r="K396" s="42" t="s">
        <v>6431</v>
      </c>
      <c r="L396" s="42" t="s">
        <v>6514</v>
      </c>
      <c r="M396" s="42" t="s">
        <v>6186</v>
      </c>
      <c r="N396" s="42" t="s">
        <v>6186</v>
      </c>
      <c r="O396" s="42" t="s">
        <v>6186</v>
      </c>
      <c r="P396" s="42" t="s">
        <v>6186</v>
      </c>
    </row>
    <row r="397" spans="1:16" ht="14.25" customHeight="1" x14ac:dyDescent="0.15">
      <c r="A397" s="42" t="s">
        <v>6228</v>
      </c>
      <c r="B397" s="40" t="s">
        <v>16</v>
      </c>
      <c r="C397" s="42" t="s">
        <v>6330</v>
      </c>
      <c r="D397" s="42" t="s">
        <v>6514</v>
      </c>
      <c r="E397" s="42" t="s">
        <v>6186</v>
      </c>
      <c r="F397" s="42" t="s">
        <v>6186</v>
      </c>
      <c r="G397" s="42" t="s">
        <v>6186</v>
      </c>
      <c r="H397" s="42" t="s">
        <v>6186</v>
      </c>
      <c r="I397" s="42" t="s">
        <v>6230</v>
      </c>
      <c r="J397" s="40" t="s">
        <v>18</v>
      </c>
      <c r="K397" s="42" t="s">
        <v>6346</v>
      </c>
      <c r="L397" s="42" t="s">
        <v>6529</v>
      </c>
      <c r="M397" s="42" t="s">
        <v>6186</v>
      </c>
      <c r="N397" s="42" t="s">
        <v>6186</v>
      </c>
      <c r="O397" s="42" t="s">
        <v>6186</v>
      </c>
      <c r="P397" s="42" t="s">
        <v>6186</v>
      </c>
    </row>
    <row r="398" spans="1:16" ht="14.25" customHeight="1" x14ac:dyDescent="0.15">
      <c r="A398" s="42" t="s">
        <v>6231</v>
      </c>
      <c r="B398" s="40" t="s">
        <v>17</v>
      </c>
      <c r="C398" s="42" t="s">
        <v>6346</v>
      </c>
      <c r="D398" s="42" t="s">
        <v>6167</v>
      </c>
      <c r="E398" s="42" t="s">
        <v>6186</v>
      </c>
      <c r="F398" s="42" t="s">
        <v>6186</v>
      </c>
      <c r="G398" s="42" t="s">
        <v>6186</v>
      </c>
      <c r="H398" s="42" t="s">
        <v>6186</v>
      </c>
      <c r="I398" s="42" t="s">
        <v>6234</v>
      </c>
      <c r="J398" s="40" t="s">
        <v>11</v>
      </c>
      <c r="K398" s="42" t="s">
        <v>6393</v>
      </c>
      <c r="L398" s="42" t="s">
        <v>6530</v>
      </c>
      <c r="M398" s="42" t="s">
        <v>6186</v>
      </c>
      <c r="N398" s="42" t="s">
        <v>6186</v>
      </c>
      <c r="O398" s="42" t="s">
        <v>6186</v>
      </c>
      <c r="P398" s="42" t="s">
        <v>6186</v>
      </c>
    </row>
    <row r="399" spans="1:16" ht="14.25" customHeight="1" x14ac:dyDescent="0.15">
      <c r="A399" s="42" t="s">
        <v>6235</v>
      </c>
      <c r="B399" s="40" t="s">
        <v>18</v>
      </c>
      <c r="C399" s="42" t="s">
        <v>6400</v>
      </c>
      <c r="D399" s="42" t="s">
        <v>6157</v>
      </c>
      <c r="E399" s="42" t="s">
        <v>6186</v>
      </c>
      <c r="F399" s="42" t="s">
        <v>6186</v>
      </c>
      <c r="G399" s="42" t="s">
        <v>6186</v>
      </c>
      <c r="H399" s="42" t="s">
        <v>6186</v>
      </c>
      <c r="I399" s="42" t="s">
        <v>12</v>
      </c>
      <c r="J399" s="42" t="s">
        <v>12</v>
      </c>
      <c r="K399" s="42" t="s">
        <v>12</v>
      </c>
      <c r="L399" s="42" t="s">
        <v>12</v>
      </c>
      <c r="M399" s="42" t="s">
        <v>12</v>
      </c>
      <c r="N399" s="42" t="s">
        <v>12</v>
      </c>
      <c r="O399" s="42" t="s">
        <v>12</v>
      </c>
      <c r="P399" s="42" t="s">
        <v>12</v>
      </c>
    </row>
    <row r="400" spans="1:16" ht="14.25" customHeight="1" x14ac:dyDescent="0.15">
      <c r="A400" s="35"/>
      <c r="C400" s="46"/>
      <c r="D400" s="46"/>
      <c r="E400" s="46"/>
      <c r="F400" s="46"/>
      <c r="G400" s="47"/>
      <c r="H400" s="47"/>
      <c r="I400" s="36"/>
      <c r="M400" s="131" t="s">
        <v>6237</v>
      </c>
      <c r="N400" s="131"/>
      <c r="O400" s="131"/>
      <c r="P400" s="131"/>
    </row>
    <row r="401" spans="1:16" ht="14.25" customHeight="1" x14ac:dyDescent="0.15">
      <c r="A401" s="34"/>
    </row>
    <row r="402" spans="1:16" ht="14.25" customHeight="1" x14ac:dyDescent="0.15">
      <c r="A402" s="34"/>
    </row>
    <row r="403" spans="1:16" ht="14.25" customHeight="1" x14ac:dyDescent="0.15">
      <c r="A403" s="35"/>
      <c r="B403" s="36"/>
    </row>
    <row r="404" spans="1:16" ht="14.25" customHeight="1" x14ac:dyDescent="0.15">
      <c r="A404" s="124" t="s">
        <v>6178</v>
      </c>
      <c r="B404" s="125"/>
      <c r="C404" s="125"/>
      <c r="D404" s="126"/>
      <c r="E404" s="124" t="s">
        <v>6531</v>
      </c>
      <c r="F404" s="125"/>
      <c r="G404" s="126"/>
      <c r="H404" s="124" t="s">
        <v>6270</v>
      </c>
      <c r="I404" s="126"/>
      <c r="J404" s="125" t="s">
        <v>6181</v>
      </c>
      <c r="K404" s="125"/>
      <c r="L404" s="126"/>
      <c r="M404" s="124" t="s">
        <v>6182</v>
      </c>
      <c r="N404" s="125"/>
      <c r="O404" s="125"/>
      <c r="P404" s="126"/>
    </row>
    <row r="405" spans="1:16" ht="14.25" customHeight="1" x14ac:dyDescent="0.15">
      <c r="A405" s="124" t="s">
        <v>6385</v>
      </c>
      <c r="B405" s="125"/>
      <c r="C405" s="125"/>
      <c r="D405" s="125"/>
      <c r="E405" s="125"/>
      <c r="F405" s="125"/>
      <c r="G405" s="125"/>
      <c r="H405" s="125"/>
      <c r="I405" s="125"/>
      <c r="J405" s="125"/>
      <c r="K405" s="125"/>
      <c r="L405" s="125"/>
      <c r="M405" s="125"/>
      <c r="N405" s="125"/>
      <c r="O405" s="125"/>
      <c r="P405" s="126"/>
    </row>
    <row r="406" spans="1:16" ht="14.25" customHeight="1" x14ac:dyDescent="0.15">
      <c r="A406" s="124" t="s">
        <v>6184</v>
      </c>
      <c r="B406" s="125"/>
      <c r="C406" s="125"/>
      <c r="D406" s="125"/>
      <c r="E406" s="125"/>
      <c r="F406" s="125"/>
      <c r="G406" s="125"/>
      <c r="H406" s="125"/>
      <c r="I406" s="125"/>
      <c r="J406" s="125"/>
      <c r="K406" s="125"/>
      <c r="L406" s="125"/>
      <c r="M406" s="125"/>
      <c r="N406" s="125"/>
      <c r="O406" s="125"/>
      <c r="P406" s="126"/>
    </row>
    <row r="407" spans="1:16" ht="14.25" customHeight="1" x14ac:dyDescent="0.15">
      <c r="A407" s="37"/>
      <c r="B407" s="38"/>
      <c r="C407" s="127" t="s">
        <v>4</v>
      </c>
      <c r="D407" s="128"/>
      <c r="E407" s="129" t="s">
        <v>5</v>
      </c>
      <c r="F407" s="130"/>
      <c r="G407" s="129" t="s">
        <v>6</v>
      </c>
      <c r="H407" s="130"/>
      <c r="I407" s="38"/>
      <c r="J407" s="38"/>
      <c r="K407" s="127" t="s">
        <v>4</v>
      </c>
      <c r="L407" s="128"/>
      <c r="M407" s="129" t="s">
        <v>5</v>
      </c>
      <c r="N407" s="130"/>
      <c r="O407" s="129" t="s">
        <v>6</v>
      </c>
      <c r="P407" s="130"/>
    </row>
    <row r="408" spans="1:16" ht="24" customHeight="1" x14ac:dyDescent="0.15">
      <c r="A408" s="39" t="s">
        <v>7</v>
      </c>
      <c r="B408" s="40" t="s">
        <v>8</v>
      </c>
      <c r="C408" s="41" t="s">
        <v>9</v>
      </c>
      <c r="D408" s="41" t="s">
        <v>10</v>
      </c>
      <c r="E408" s="41" t="s">
        <v>9</v>
      </c>
      <c r="F408" s="41" t="s">
        <v>10</v>
      </c>
      <c r="G408" s="41" t="s">
        <v>9</v>
      </c>
      <c r="H408" s="41" t="s">
        <v>10</v>
      </c>
      <c r="I408" s="48" t="s">
        <v>7</v>
      </c>
      <c r="J408" s="40" t="s">
        <v>8</v>
      </c>
      <c r="K408" s="41" t="s">
        <v>9</v>
      </c>
      <c r="L408" s="41" t="s">
        <v>10</v>
      </c>
      <c r="M408" s="41" t="s">
        <v>9</v>
      </c>
      <c r="N408" s="41" t="s">
        <v>10</v>
      </c>
      <c r="O408" s="41" t="s">
        <v>9</v>
      </c>
      <c r="P408" s="41" t="s">
        <v>10</v>
      </c>
    </row>
    <row r="409" spans="1:16" ht="14.25" customHeight="1" x14ac:dyDescent="0.15">
      <c r="A409" s="42" t="s">
        <v>6185</v>
      </c>
      <c r="B409" s="40" t="s">
        <v>17</v>
      </c>
      <c r="C409" s="42"/>
      <c r="D409" s="42" t="s">
        <v>6186</v>
      </c>
      <c r="E409" s="42" t="s">
        <v>6186</v>
      </c>
      <c r="F409" s="42" t="s">
        <v>6186</v>
      </c>
      <c r="G409" s="42" t="s">
        <v>6186</v>
      </c>
      <c r="H409" s="42" t="s">
        <v>6186</v>
      </c>
      <c r="I409" s="42" t="s">
        <v>6187</v>
      </c>
      <c r="J409" s="40" t="s">
        <v>11</v>
      </c>
      <c r="K409" s="42" t="s">
        <v>6186</v>
      </c>
      <c r="L409" s="42" t="s">
        <v>6186</v>
      </c>
      <c r="M409" s="42" t="s">
        <v>6186</v>
      </c>
      <c r="N409" s="42" t="s">
        <v>6186</v>
      </c>
      <c r="O409" s="42" t="s">
        <v>6186</v>
      </c>
      <c r="P409" s="42" t="s">
        <v>6186</v>
      </c>
    </row>
    <row r="410" spans="1:16" ht="14.25" customHeight="1" x14ac:dyDescent="0.15">
      <c r="A410" s="42" t="s">
        <v>6190</v>
      </c>
      <c r="B410" s="40" t="s">
        <v>18</v>
      </c>
      <c r="C410" s="42"/>
      <c r="D410" s="42" t="s">
        <v>6186</v>
      </c>
      <c r="E410" s="42" t="s">
        <v>6186</v>
      </c>
      <c r="F410" s="42" t="s">
        <v>6186</v>
      </c>
      <c r="G410" s="42" t="s">
        <v>6186</v>
      </c>
      <c r="H410" s="42" t="s">
        <v>6186</v>
      </c>
      <c r="I410" s="42" t="s">
        <v>6191</v>
      </c>
      <c r="J410" s="40" t="s">
        <v>14</v>
      </c>
      <c r="K410" s="42" t="s">
        <v>6186</v>
      </c>
      <c r="L410" s="42" t="s">
        <v>6186</v>
      </c>
      <c r="M410" s="42" t="s">
        <v>6186</v>
      </c>
      <c r="N410" s="42" t="s">
        <v>6186</v>
      </c>
      <c r="O410" s="42" t="s">
        <v>6186</v>
      </c>
      <c r="P410" s="42" t="s">
        <v>6186</v>
      </c>
    </row>
    <row r="411" spans="1:16" ht="14.25" customHeight="1" x14ac:dyDescent="0.15">
      <c r="A411" s="42" t="s">
        <v>6194</v>
      </c>
      <c r="B411" s="40" t="s">
        <v>11</v>
      </c>
      <c r="C411" s="42" t="s">
        <v>6186</v>
      </c>
      <c r="D411" s="42" t="s">
        <v>6186</v>
      </c>
      <c r="E411" s="42" t="s">
        <v>6186</v>
      </c>
      <c r="F411" s="42" t="s">
        <v>6186</v>
      </c>
      <c r="G411" s="42" t="s">
        <v>6186</v>
      </c>
      <c r="H411" s="42" t="s">
        <v>6186</v>
      </c>
      <c r="I411" s="42" t="s">
        <v>6195</v>
      </c>
      <c r="J411" s="40" t="s">
        <v>13</v>
      </c>
      <c r="K411" s="42" t="s">
        <v>6186</v>
      </c>
      <c r="L411" s="42" t="s">
        <v>6186</v>
      </c>
      <c r="M411" s="42" t="s">
        <v>6186</v>
      </c>
      <c r="N411" s="42" t="s">
        <v>6186</v>
      </c>
      <c r="O411" s="42" t="s">
        <v>6186</v>
      </c>
      <c r="P411" s="42" t="s">
        <v>6186</v>
      </c>
    </row>
    <row r="412" spans="1:16" ht="14.25" customHeight="1" x14ac:dyDescent="0.15">
      <c r="A412" s="42" t="s">
        <v>6198</v>
      </c>
      <c r="B412" s="40" t="s">
        <v>14</v>
      </c>
      <c r="C412" s="42" t="s">
        <v>6186</v>
      </c>
      <c r="D412" s="42" t="s">
        <v>6186</v>
      </c>
      <c r="E412" s="42" t="s">
        <v>6186</v>
      </c>
      <c r="F412" s="42" t="s">
        <v>6186</v>
      </c>
      <c r="G412" s="42" t="s">
        <v>6186</v>
      </c>
      <c r="H412" s="42" t="s">
        <v>6186</v>
      </c>
      <c r="I412" s="42" t="s">
        <v>6199</v>
      </c>
      <c r="J412" s="40" t="s">
        <v>15</v>
      </c>
      <c r="K412" s="42" t="s">
        <v>6186</v>
      </c>
      <c r="L412" s="42" t="s">
        <v>6186</v>
      </c>
      <c r="M412" s="42" t="s">
        <v>6186</v>
      </c>
      <c r="N412" s="42" t="s">
        <v>6186</v>
      </c>
      <c r="O412" s="42" t="s">
        <v>6186</v>
      </c>
      <c r="P412" s="42" t="s">
        <v>6186</v>
      </c>
    </row>
    <row r="413" spans="1:16" ht="14.25" customHeight="1" x14ac:dyDescent="0.15">
      <c r="A413" s="42" t="s">
        <v>6202</v>
      </c>
      <c r="B413" s="40" t="s">
        <v>13</v>
      </c>
      <c r="C413" s="42" t="s">
        <v>6186</v>
      </c>
      <c r="D413" s="42" t="s">
        <v>6186</v>
      </c>
      <c r="E413" s="42" t="s">
        <v>6186</v>
      </c>
      <c r="F413" s="42" t="s">
        <v>6186</v>
      </c>
      <c r="G413" s="42" t="s">
        <v>6186</v>
      </c>
      <c r="H413" s="42" t="s">
        <v>6186</v>
      </c>
      <c r="I413" s="42" t="s">
        <v>6203</v>
      </c>
      <c r="J413" s="40" t="s">
        <v>16</v>
      </c>
      <c r="K413" s="42" t="s">
        <v>6186</v>
      </c>
      <c r="L413" s="42" t="s">
        <v>6186</v>
      </c>
      <c r="M413" s="42" t="s">
        <v>6186</v>
      </c>
      <c r="N413" s="42" t="s">
        <v>6186</v>
      </c>
      <c r="O413" s="42" t="s">
        <v>6186</v>
      </c>
      <c r="P413" s="42" t="s">
        <v>6186</v>
      </c>
    </row>
    <row r="414" spans="1:16" ht="14.25" customHeight="1" x14ac:dyDescent="0.15">
      <c r="A414" s="42" t="s">
        <v>6204</v>
      </c>
      <c r="B414" s="40" t="s">
        <v>15</v>
      </c>
      <c r="C414" s="42" t="s">
        <v>6186</v>
      </c>
      <c r="D414" s="42" t="s">
        <v>6186</v>
      </c>
      <c r="E414" s="42" t="s">
        <v>6186</v>
      </c>
      <c r="F414" s="42" t="s">
        <v>6186</v>
      </c>
      <c r="G414" s="42" t="s">
        <v>6186</v>
      </c>
      <c r="H414" s="42" t="s">
        <v>6186</v>
      </c>
      <c r="I414" s="42" t="s">
        <v>6205</v>
      </c>
      <c r="J414" s="40" t="s">
        <v>17</v>
      </c>
      <c r="K414" s="42" t="s">
        <v>6186</v>
      </c>
      <c r="L414" s="42" t="s">
        <v>6186</v>
      </c>
      <c r="M414" s="42" t="s">
        <v>6186</v>
      </c>
      <c r="N414" s="42" t="s">
        <v>6186</v>
      </c>
      <c r="O414" s="42" t="s">
        <v>6186</v>
      </c>
      <c r="P414" s="42" t="s">
        <v>6186</v>
      </c>
    </row>
    <row r="415" spans="1:16" ht="14.25" customHeight="1" x14ac:dyDescent="0.15">
      <c r="A415" s="42" t="s">
        <v>6206</v>
      </c>
      <c r="B415" s="40" t="s">
        <v>16</v>
      </c>
      <c r="C415" s="42" t="s">
        <v>6186</v>
      </c>
      <c r="D415" s="42" t="s">
        <v>6186</v>
      </c>
      <c r="E415" s="42" t="s">
        <v>6186</v>
      </c>
      <c r="F415" s="42" t="s">
        <v>6186</v>
      </c>
      <c r="G415" s="42" t="s">
        <v>6186</v>
      </c>
      <c r="H415" s="42" t="s">
        <v>6186</v>
      </c>
      <c r="I415" s="42" t="s">
        <v>6207</v>
      </c>
      <c r="J415" s="40" t="s">
        <v>18</v>
      </c>
      <c r="K415" s="42" t="s">
        <v>6186</v>
      </c>
      <c r="L415" s="42" t="s">
        <v>6186</v>
      </c>
      <c r="M415" s="42" t="s">
        <v>6186</v>
      </c>
      <c r="N415" s="42" t="s">
        <v>6186</v>
      </c>
      <c r="O415" s="42" t="s">
        <v>6186</v>
      </c>
      <c r="P415" s="42" t="s">
        <v>6186</v>
      </c>
    </row>
    <row r="416" spans="1:16" ht="14.25" customHeight="1" x14ac:dyDescent="0.15">
      <c r="A416" s="42" t="s">
        <v>6208</v>
      </c>
      <c r="B416" s="40" t="s">
        <v>17</v>
      </c>
      <c r="C416" s="42" t="s">
        <v>6186</v>
      </c>
      <c r="D416" s="42" t="s">
        <v>6186</v>
      </c>
      <c r="E416" s="42" t="s">
        <v>6186</v>
      </c>
      <c r="F416" s="42" t="s">
        <v>6186</v>
      </c>
      <c r="G416" s="42" t="s">
        <v>6186</v>
      </c>
      <c r="H416" s="42" t="s">
        <v>6186</v>
      </c>
      <c r="I416" s="42" t="s">
        <v>6211</v>
      </c>
      <c r="J416" s="40" t="s">
        <v>11</v>
      </c>
      <c r="K416" s="42" t="s">
        <v>6186</v>
      </c>
      <c r="L416" s="42" t="s">
        <v>6186</v>
      </c>
      <c r="M416" s="42" t="s">
        <v>6186</v>
      </c>
      <c r="N416" s="42" t="s">
        <v>6186</v>
      </c>
      <c r="O416" s="42" t="s">
        <v>6186</v>
      </c>
      <c r="P416" s="42" t="s">
        <v>6186</v>
      </c>
    </row>
    <row r="417" spans="1:16" ht="14.25" customHeight="1" x14ac:dyDescent="0.15">
      <c r="A417" s="42" t="s">
        <v>6212</v>
      </c>
      <c r="B417" s="40" t="s">
        <v>18</v>
      </c>
      <c r="C417" s="42" t="s">
        <v>6186</v>
      </c>
      <c r="D417" s="42" t="s">
        <v>6186</v>
      </c>
      <c r="E417" s="42" t="s">
        <v>6186</v>
      </c>
      <c r="F417" s="42" t="s">
        <v>6186</v>
      </c>
      <c r="G417" s="42" t="s">
        <v>6186</v>
      </c>
      <c r="H417" s="42" t="s">
        <v>6186</v>
      </c>
      <c r="I417" s="42" t="s">
        <v>6215</v>
      </c>
      <c r="J417" s="40" t="s">
        <v>14</v>
      </c>
      <c r="K417" s="42" t="s">
        <v>6186</v>
      </c>
      <c r="L417" s="42" t="s">
        <v>6186</v>
      </c>
      <c r="M417" s="42" t="s">
        <v>6186</v>
      </c>
      <c r="N417" s="42" t="s">
        <v>6186</v>
      </c>
      <c r="O417" s="42" t="s">
        <v>6186</v>
      </c>
      <c r="P417" s="42" t="s">
        <v>6186</v>
      </c>
    </row>
    <row r="418" spans="1:16" ht="14.25" customHeight="1" x14ac:dyDescent="0.15">
      <c r="A418" s="42" t="s">
        <v>6216</v>
      </c>
      <c r="B418" s="40" t="s">
        <v>11</v>
      </c>
      <c r="C418" s="42" t="s">
        <v>6186</v>
      </c>
      <c r="D418" s="42" t="s">
        <v>6186</v>
      </c>
      <c r="E418" s="42" t="s">
        <v>6186</v>
      </c>
      <c r="F418" s="42" t="s">
        <v>6186</v>
      </c>
      <c r="G418" s="42" t="s">
        <v>6186</v>
      </c>
      <c r="H418" s="42" t="s">
        <v>6186</v>
      </c>
      <c r="I418" s="42" t="s">
        <v>6219</v>
      </c>
      <c r="J418" s="40" t="s">
        <v>13</v>
      </c>
      <c r="K418" s="42" t="s">
        <v>6186</v>
      </c>
      <c r="L418" s="42" t="s">
        <v>6186</v>
      </c>
      <c r="M418" s="42" t="s">
        <v>6186</v>
      </c>
      <c r="N418" s="42" t="s">
        <v>6186</v>
      </c>
      <c r="O418" s="42" t="s">
        <v>6186</v>
      </c>
      <c r="P418" s="42" t="s">
        <v>6186</v>
      </c>
    </row>
    <row r="419" spans="1:16" ht="14.25" customHeight="1" x14ac:dyDescent="0.15">
      <c r="A419" s="42" t="s">
        <v>6220</v>
      </c>
      <c r="B419" s="40" t="s">
        <v>14</v>
      </c>
      <c r="C419" s="42" t="s">
        <v>6186</v>
      </c>
      <c r="D419" s="42" t="s">
        <v>6186</v>
      </c>
      <c r="E419" s="42" t="s">
        <v>6186</v>
      </c>
      <c r="F419" s="42" t="s">
        <v>6186</v>
      </c>
      <c r="G419" s="42" t="s">
        <v>6186</v>
      </c>
      <c r="H419" s="42" t="s">
        <v>6186</v>
      </c>
      <c r="I419" s="42" t="s">
        <v>6221</v>
      </c>
      <c r="J419" s="40" t="s">
        <v>15</v>
      </c>
      <c r="K419" s="42" t="s">
        <v>6186</v>
      </c>
      <c r="L419" s="42" t="s">
        <v>6186</v>
      </c>
      <c r="M419" s="42" t="s">
        <v>6186</v>
      </c>
      <c r="N419" s="42" t="s">
        <v>6186</v>
      </c>
      <c r="O419" s="42" t="s">
        <v>6186</v>
      </c>
      <c r="P419" s="42" t="s">
        <v>6186</v>
      </c>
    </row>
    <row r="420" spans="1:16" ht="14.25" customHeight="1" x14ac:dyDescent="0.15">
      <c r="A420" s="42" t="s">
        <v>6222</v>
      </c>
      <c r="B420" s="40" t="s">
        <v>13</v>
      </c>
      <c r="C420" s="42" t="s">
        <v>6186</v>
      </c>
      <c r="D420" s="42" t="s">
        <v>6186</v>
      </c>
      <c r="E420" s="42" t="s">
        <v>6186</v>
      </c>
      <c r="F420" s="42" t="s">
        <v>6186</v>
      </c>
      <c r="G420" s="42" t="s">
        <v>6186</v>
      </c>
      <c r="H420" s="42" t="s">
        <v>6186</v>
      </c>
      <c r="I420" s="42" t="s">
        <v>6224</v>
      </c>
      <c r="J420" s="40" t="s">
        <v>16</v>
      </c>
      <c r="K420" s="42" t="s">
        <v>6186</v>
      </c>
      <c r="L420" s="42" t="s">
        <v>6186</v>
      </c>
      <c r="M420" s="42" t="s">
        <v>6186</v>
      </c>
      <c r="N420" s="42" t="s">
        <v>6186</v>
      </c>
      <c r="O420" s="42" t="s">
        <v>6186</v>
      </c>
      <c r="P420" s="42" t="s">
        <v>6186</v>
      </c>
    </row>
    <row r="421" spans="1:16" ht="14.25" customHeight="1" x14ac:dyDescent="0.15">
      <c r="A421" s="42" t="s">
        <v>6225</v>
      </c>
      <c r="B421" s="40" t="s">
        <v>15</v>
      </c>
      <c r="C421" s="42" t="s">
        <v>6186</v>
      </c>
      <c r="D421" s="42" t="s">
        <v>6186</v>
      </c>
      <c r="E421" s="42" t="s">
        <v>6186</v>
      </c>
      <c r="F421" s="42" t="s">
        <v>6186</v>
      </c>
      <c r="G421" s="42" t="s">
        <v>6186</v>
      </c>
      <c r="H421" s="42" t="s">
        <v>6186</v>
      </c>
      <c r="I421" s="42" t="s">
        <v>6227</v>
      </c>
      <c r="J421" s="40" t="s">
        <v>17</v>
      </c>
      <c r="K421" s="42" t="s">
        <v>6186</v>
      </c>
      <c r="L421" s="42" t="s">
        <v>6186</v>
      </c>
      <c r="M421" s="42" t="s">
        <v>6186</v>
      </c>
      <c r="N421" s="42" t="s">
        <v>6186</v>
      </c>
      <c r="O421" s="42" t="s">
        <v>6186</v>
      </c>
      <c r="P421" s="42" t="s">
        <v>6186</v>
      </c>
    </row>
    <row r="422" spans="1:16" ht="14.25" customHeight="1" x14ac:dyDescent="0.15">
      <c r="A422" s="42" t="s">
        <v>6228</v>
      </c>
      <c r="B422" s="40" t="s">
        <v>16</v>
      </c>
      <c r="C422" s="42" t="s">
        <v>6186</v>
      </c>
      <c r="D422" s="42" t="s">
        <v>6186</v>
      </c>
      <c r="E422" s="42" t="s">
        <v>6186</v>
      </c>
      <c r="F422" s="42" t="s">
        <v>6186</v>
      </c>
      <c r="G422" s="42" t="s">
        <v>6186</v>
      </c>
      <c r="H422" s="42" t="s">
        <v>6186</v>
      </c>
      <c r="I422" s="42" t="s">
        <v>6230</v>
      </c>
      <c r="J422" s="40" t="s">
        <v>18</v>
      </c>
      <c r="K422" s="42" t="s">
        <v>6186</v>
      </c>
      <c r="L422" s="42" t="s">
        <v>6186</v>
      </c>
      <c r="M422" s="42" t="s">
        <v>6186</v>
      </c>
      <c r="N422" s="42" t="s">
        <v>6186</v>
      </c>
      <c r="O422" s="42" t="s">
        <v>6186</v>
      </c>
      <c r="P422" s="42" t="s">
        <v>6186</v>
      </c>
    </row>
    <row r="423" spans="1:16" ht="14.25" customHeight="1" x14ac:dyDescent="0.15">
      <c r="A423" s="42" t="s">
        <v>6231</v>
      </c>
      <c r="B423" s="40" t="s">
        <v>17</v>
      </c>
      <c r="C423" s="42" t="s">
        <v>6186</v>
      </c>
      <c r="D423" s="42" t="s">
        <v>6186</v>
      </c>
      <c r="E423" s="42" t="s">
        <v>6186</v>
      </c>
      <c r="F423" s="42" t="s">
        <v>6186</v>
      </c>
      <c r="G423" s="42" t="s">
        <v>6186</v>
      </c>
      <c r="H423" s="42" t="s">
        <v>6186</v>
      </c>
      <c r="I423" s="42" t="s">
        <v>6234</v>
      </c>
      <c r="J423" s="40" t="s">
        <v>11</v>
      </c>
      <c r="K423" s="42" t="s">
        <v>6186</v>
      </c>
      <c r="L423" s="42" t="s">
        <v>6186</v>
      </c>
      <c r="M423" s="42" t="s">
        <v>6186</v>
      </c>
      <c r="N423" s="42" t="s">
        <v>6186</v>
      </c>
      <c r="O423" s="42" t="s">
        <v>6186</v>
      </c>
      <c r="P423" s="42" t="s">
        <v>6186</v>
      </c>
    </row>
    <row r="424" spans="1:16" ht="14.25" customHeight="1" x14ac:dyDescent="0.15">
      <c r="A424" s="42" t="s">
        <v>6235</v>
      </c>
      <c r="B424" s="40" t="s">
        <v>18</v>
      </c>
      <c r="C424" s="42" t="s">
        <v>6186</v>
      </c>
      <c r="D424" s="42" t="s">
        <v>6186</v>
      </c>
      <c r="E424" s="42" t="s">
        <v>6186</v>
      </c>
      <c r="F424" s="42" t="s">
        <v>6186</v>
      </c>
      <c r="G424" s="42" t="s">
        <v>6186</v>
      </c>
      <c r="H424" s="42" t="s">
        <v>6186</v>
      </c>
      <c r="I424" s="42" t="s">
        <v>12</v>
      </c>
      <c r="J424" s="42" t="s">
        <v>12</v>
      </c>
      <c r="K424" s="42" t="s">
        <v>12</v>
      </c>
      <c r="L424" s="42" t="s">
        <v>12</v>
      </c>
      <c r="M424" s="42" t="s">
        <v>12</v>
      </c>
      <c r="N424" s="42" t="s">
        <v>12</v>
      </c>
      <c r="O424" s="42" t="s">
        <v>12</v>
      </c>
      <c r="P424" s="42" t="s">
        <v>12</v>
      </c>
    </row>
    <row r="425" spans="1:16" ht="14.25" customHeight="1" x14ac:dyDescent="0.15">
      <c r="A425" s="35"/>
      <c r="C425" s="46"/>
      <c r="D425" s="46"/>
      <c r="E425" s="46"/>
      <c r="F425" s="46"/>
      <c r="G425" s="47"/>
      <c r="H425" s="47"/>
      <c r="I425" s="36"/>
      <c r="M425" s="131" t="s">
        <v>6237</v>
      </c>
      <c r="N425" s="131"/>
      <c r="O425" s="131"/>
      <c r="P425" s="131"/>
    </row>
    <row r="426" spans="1:16" ht="14.25" customHeight="1" x14ac:dyDescent="0.15">
      <c r="A426" s="34"/>
    </row>
    <row r="427" spans="1:16" ht="14.25" customHeight="1" x14ac:dyDescent="0.15">
      <c r="A427" s="34"/>
    </row>
    <row r="428" spans="1:16" ht="14.25" customHeight="1" x14ac:dyDescent="0.15">
      <c r="A428" s="35"/>
      <c r="B428" s="36"/>
    </row>
    <row r="429" spans="1:16" ht="14.25" customHeight="1" x14ac:dyDescent="0.15">
      <c r="A429" s="124" t="s">
        <v>6178</v>
      </c>
      <c r="B429" s="125"/>
      <c r="C429" s="125"/>
      <c r="D429" s="126"/>
      <c r="E429" s="124" t="s">
        <v>6532</v>
      </c>
      <c r="F429" s="125"/>
      <c r="G429" s="126"/>
      <c r="H429" s="124" t="s">
        <v>6533</v>
      </c>
      <c r="I429" s="126"/>
      <c r="J429" s="125" t="s">
        <v>6181</v>
      </c>
      <c r="K429" s="125"/>
      <c r="L429" s="126"/>
      <c r="M429" s="124" t="s">
        <v>6182</v>
      </c>
      <c r="N429" s="125"/>
      <c r="O429" s="125"/>
      <c r="P429" s="126"/>
    </row>
    <row r="430" spans="1:16" ht="14.25" customHeight="1" x14ac:dyDescent="0.15">
      <c r="A430" s="124" t="s">
        <v>6314</v>
      </c>
      <c r="B430" s="125"/>
      <c r="C430" s="125"/>
      <c r="D430" s="125"/>
      <c r="E430" s="125"/>
      <c r="F430" s="125"/>
      <c r="G430" s="125"/>
      <c r="H430" s="125"/>
      <c r="I430" s="125"/>
      <c r="J430" s="125"/>
      <c r="K430" s="125"/>
      <c r="L430" s="125"/>
      <c r="M430" s="125"/>
      <c r="N430" s="125"/>
      <c r="O430" s="125"/>
      <c r="P430" s="126"/>
    </row>
    <row r="431" spans="1:16" ht="14.25" customHeight="1" x14ac:dyDescent="0.15">
      <c r="A431" s="124" t="s">
        <v>6184</v>
      </c>
      <c r="B431" s="125"/>
      <c r="C431" s="125"/>
      <c r="D431" s="125"/>
      <c r="E431" s="125"/>
      <c r="F431" s="125"/>
      <c r="G431" s="125"/>
      <c r="H431" s="125"/>
      <c r="I431" s="125"/>
      <c r="J431" s="125"/>
      <c r="K431" s="125"/>
      <c r="L431" s="125"/>
      <c r="M431" s="125"/>
      <c r="N431" s="125"/>
      <c r="O431" s="125"/>
      <c r="P431" s="126"/>
    </row>
    <row r="432" spans="1:16" ht="14.25" customHeight="1" x14ac:dyDescent="0.15">
      <c r="A432" s="37"/>
      <c r="B432" s="38"/>
      <c r="C432" s="127" t="s">
        <v>4</v>
      </c>
      <c r="D432" s="128"/>
      <c r="E432" s="129" t="s">
        <v>5</v>
      </c>
      <c r="F432" s="130"/>
      <c r="G432" s="129" t="s">
        <v>6</v>
      </c>
      <c r="H432" s="130"/>
      <c r="I432" s="38"/>
      <c r="J432" s="38"/>
      <c r="K432" s="127" t="s">
        <v>4</v>
      </c>
      <c r="L432" s="128"/>
      <c r="M432" s="129" t="s">
        <v>5</v>
      </c>
      <c r="N432" s="130"/>
      <c r="O432" s="129" t="s">
        <v>6</v>
      </c>
      <c r="P432" s="130"/>
    </row>
    <row r="433" spans="1:16" ht="24" customHeight="1" x14ac:dyDescent="0.15">
      <c r="A433" s="39" t="s">
        <v>7</v>
      </c>
      <c r="B433" s="40" t="s">
        <v>8</v>
      </c>
      <c r="C433" s="41" t="s">
        <v>9</v>
      </c>
      <c r="D433" s="41" t="s">
        <v>10</v>
      </c>
      <c r="E433" s="41" t="s">
        <v>9</v>
      </c>
      <c r="F433" s="41" t="s">
        <v>10</v>
      </c>
      <c r="G433" s="41" t="s">
        <v>9</v>
      </c>
      <c r="H433" s="41" t="s">
        <v>10</v>
      </c>
      <c r="I433" s="48" t="s">
        <v>7</v>
      </c>
      <c r="J433" s="40" t="s">
        <v>8</v>
      </c>
      <c r="K433" s="41" t="s">
        <v>9</v>
      </c>
      <c r="L433" s="41" t="s">
        <v>10</v>
      </c>
      <c r="M433" s="41" t="s">
        <v>9</v>
      </c>
      <c r="N433" s="41" t="s">
        <v>10</v>
      </c>
      <c r="O433" s="41" t="s">
        <v>9</v>
      </c>
      <c r="P433" s="41" t="s">
        <v>10</v>
      </c>
    </row>
    <row r="434" spans="1:16" ht="14.25" customHeight="1" x14ac:dyDescent="0.15">
      <c r="A434" s="42" t="s">
        <v>6185</v>
      </c>
      <c r="B434" s="40" t="s">
        <v>17</v>
      </c>
      <c r="C434" s="42" t="s">
        <v>6186</v>
      </c>
      <c r="D434" s="42" t="s">
        <v>6186</v>
      </c>
      <c r="E434" s="42" t="s">
        <v>6186</v>
      </c>
      <c r="F434" s="42" t="s">
        <v>6186</v>
      </c>
      <c r="G434" s="42" t="s">
        <v>6186</v>
      </c>
      <c r="H434" s="42" t="s">
        <v>6186</v>
      </c>
      <c r="I434" s="42" t="s">
        <v>6187</v>
      </c>
      <c r="J434" s="40" t="s">
        <v>11</v>
      </c>
      <c r="K434" s="42" t="s">
        <v>6390</v>
      </c>
      <c r="L434" s="42" t="s">
        <v>6316</v>
      </c>
      <c r="M434" s="42" t="s">
        <v>6186</v>
      </c>
      <c r="N434" s="42" t="s">
        <v>6186</v>
      </c>
      <c r="O434" s="42" t="s">
        <v>6186</v>
      </c>
      <c r="P434" s="42" t="s">
        <v>6186</v>
      </c>
    </row>
    <row r="435" spans="1:16" ht="14.25" customHeight="1" x14ac:dyDescent="0.15">
      <c r="A435" s="42" t="s">
        <v>6190</v>
      </c>
      <c r="B435" s="40" t="s">
        <v>18</v>
      </c>
      <c r="C435" s="42" t="s">
        <v>6186</v>
      </c>
      <c r="D435" s="42" t="s">
        <v>6186</v>
      </c>
      <c r="E435" s="42" t="s">
        <v>6186</v>
      </c>
      <c r="F435" s="42" t="s">
        <v>6186</v>
      </c>
      <c r="G435" s="42" t="s">
        <v>6186</v>
      </c>
      <c r="H435" s="42" t="s">
        <v>6186</v>
      </c>
      <c r="I435" s="42" t="s">
        <v>6191</v>
      </c>
      <c r="J435" s="40" t="s">
        <v>14</v>
      </c>
      <c r="K435" s="42" t="s">
        <v>6355</v>
      </c>
      <c r="L435" s="42" t="s">
        <v>6318</v>
      </c>
      <c r="M435" s="42" t="s">
        <v>6186</v>
      </c>
      <c r="N435" s="42" t="s">
        <v>6186</v>
      </c>
      <c r="O435" s="42" t="s">
        <v>6186</v>
      </c>
      <c r="P435" s="42" t="s">
        <v>6186</v>
      </c>
    </row>
    <row r="436" spans="1:16" ht="14.25" customHeight="1" x14ac:dyDescent="0.15">
      <c r="A436" s="42" t="s">
        <v>6194</v>
      </c>
      <c r="B436" s="40" t="s">
        <v>11</v>
      </c>
      <c r="C436" s="42" t="s">
        <v>6186</v>
      </c>
      <c r="D436" s="42" t="s">
        <v>6186</v>
      </c>
      <c r="E436" s="42" t="s">
        <v>6186</v>
      </c>
      <c r="F436" s="42" t="s">
        <v>6186</v>
      </c>
      <c r="G436" s="42" t="s">
        <v>6186</v>
      </c>
      <c r="H436" s="42" t="s">
        <v>6186</v>
      </c>
      <c r="I436" s="42" t="s">
        <v>6195</v>
      </c>
      <c r="J436" s="40" t="s">
        <v>13</v>
      </c>
      <c r="K436" s="42" t="s">
        <v>6393</v>
      </c>
      <c r="L436" s="42" t="s">
        <v>6356</v>
      </c>
      <c r="M436" s="42" t="s">
        <v>6186</v>
      </c>
      <c r="N436" s="42" t="s">
        <v>6186</v>
      </c>
      <c r="O436" s="42" t="s">
        <v>6186</v>
      </c>
      <c r="P436" s="42" t="s">
        <v>6186</v>
      </c>
    </row>
    <row r="437" spans="1:16" ht="14.25" customHeight="1" x14ac:dyDescent="0.15">
      <c r="A437" s="42" t="s">
        <v>6198</v>
      </c>
      <c r="B437" s="40" t="s">
        <v>14</v>
      </c>
      <c r="C437" s="42" t="s">
        <v>6186</v>
      </c>
      <c r="D437" s="42" t="s">
        <v>6186</v>
      </c>
      <c r="E437" s="42" t="s">
        <v>6186</v>
      </c>
      <c r="F437" s="42" t="s">
        <v>6186</v>
      </c>
      <c r="G437" s="42" t="s">
        <v>6186</v>
      </c>
      <c r="H437" s="42" t="s">
        <v>6186</v>
      </c>
      <c r="I437" s="42" t="s">
        <v>6199</v>
      </c>
      <c r="J437" s="40" t="s">
        <v>15</v>
      </c>
      <c r="K437" s="42" t="s">
        <v>6393</v>
      </c>
      <c r="L437" s="42" t="s">
        <v>6329</v>
      </c>
      <c r="M437" s="42" t="s">
        <v>6186</v>
      </c>
      <c r="N437" s="42" t="s">
        <v>6186</v>
      </c>
      <c r="O437" s="42" t="s">
        <v>6186</v>
      </c>
      <c r="P437" s="42" t="s">
        <v>6186</v>
      </c>
    </row>
    <row r="438" spans="1:16" ht="14.25" customHeight="1" x14ac:dyDescent="0.15">
      <c r="A438" s="42" t="s">
        <v>6202</v>
      </c>
      <c r="B438" s="40" t="s">
        <v>13</v>
      </c>
      <c r="C438" s="42" t="s">
        <v>6186</v>
      </c>
      <c r="D438" s="42" t="s">
        <v>6186</v>
      </c>
      <c r="E438" s="42" t="s">
        <v>6186</v>
      </c>
      <c r="F438" s="42" t="s">
        <v>6186</v>
      </c>
      <c r="G438" s="42" t="s">
        <v>6186</v>
      </c>
      <c r="H438" s="42" t="s">
        <v>6186</v>
      </c>
      <c r="I438" s="42" t="s">
        <v>6203</v>
      </c>
      <c r="J438" s="40" t="s">
        <v>16</v>
      </c>
      <c r="K438" s="42" t="s">
        <v>6355</v>
      </c>
      <c r="L438" s="42" t="s">
        <v>6486</v>
      </c>
      <c r="M438" s="42" t="s">
        <v>6186</v>
      </c>
      <c r="N438" s="42" t="s">
        <v>6186</v>
      </c>
      <c r="O438" s="42" t="s">
        <v>6186</v>
      </c>
      <c r="P438" s="42" t="s">
        <v>6186</v>
      </c>
    </row>
    <row r="439" spans="1:16" ht="14.25" customHeight="1" x14ac:dyDescent="0.15">
      <c r="A439" s="42" t="s">
        <v>6204</v>
      </c>
      <c r="B439" s="40" t="s">
        <v>15</v>
      </c>
      <c r="C439" s="42" t="s">
        <v>6186</v>
      </c>
      <c r="D439" s="42" t="s">
        <v>6186</v>
      </c>
      <c r="E439" s="42" t="s">
        <v>6186</v>
      </c>
      <c r="F439" s="42" t="s">
        <v>6186</v>
      </c>
      <c r="G439" s="42" t="s">
        <v>6186</v>
      </c>
      <c r="H439" s="42" t="s">
        <v>6186</v>
      </c>
      <c r="I439" s="42" t="s">
        <v>6205</v>
      </c>
      <c r="J439" s="40" t="s">
        <v>17</v>
      </c>
      <c r="K439" s="42" t="s">
        <v>6458</v>
      </c>
      <c r="L439" s="42" t="s">
        <v>6534</v>
      </c>
      <c r="M439" s="42" t="s">
        <v>6186</v>
      </c>
      <c r="N439" s="42" t="s">
        <v>6186</v>
      </c>
      <c r="O439" s="42" t="s">
        <v>6186</v>
      </c>
      <c r="P439" s="42" t="s">
        <v>6186</v>
      </c>
    </row>
    <row r="440" spans="1:16" ht="14.25" customHeight="1" x14ac:dyDescent="0.15">
      <c r="A440" s="42" t="s">
        <v>6206</v>
      </c>
      <c r="B440" s="40" t="s">
        <v>16</v>
      </c>
      <c r="C440" s="42" t="s">
        <v>6186</v>
      </c>
      <c r="D440" s="42" t="s">
        <v>6186</v>
      </c>
      <c r="E440" s="42" t="s">
        <v>6186</v>
      </c>
      <c r="F440" s="42" t="s">
        <v>6186</v>
      </c>
      <c r="G440" s="42" t="s">
        <v>6186</v>
      </c>
      <c r="H440" s="42" t="s">
        <v>6186</v>
      </c>
      <c r="I440" s="42" t="s">
        <v>6207</v>
      </c>
      <c r="J440" s="40" t="s">
        <v>18</v>
      </c>
      <c r="K440" s="42" t="s">
        <v>6393</v>
      </c>
      <c r="L440" s="42" t="s">
        <v>6535</v>
      </c>
      <c r="M440" s="42" t="s">
        <v>6186</v>
      </c>
      <c r="N440" s="42" t="s">
        <v>6186</v>
      </c>
      <c r="O440" s="42" t="s">
        <v>6186</v>
      </c>
      <c r="P440" s="42" t="s">
        <v>6186</v>
      </c>
    </row>
    <row r="441" spans="1:16" ht="14.25" customHeight="1" x14ac:dyDescent="0.15">
      <c r="A441" s="42" t="s">
        <v>6208</v>
      </c>
      <c r="B441" s="40" t="s">
        <v>17</v>
      </c>
      <c r="C441" s="42" t="s">
        <v>6355</v>
      </c>
      <c r="D441" s="42" t="s">
        <v>6536</v>
      </c>
      <c r="E441" s="42" t="s">
        <v>6186</v>
      </c>
      <c r="F441" s="42" t="s">
        <v>6186</v>
      </c>
      <c r="G441" s="42" t="s">
        <v>6186</v>
      </c>
      <c r="H441" s="42" t="s">
        <v>6186</v>
      </c>
      <c r="I441" s="42" t="s">
        <v>6211</v>
      </c>
      <c r="J441" s="40" t="s">
        <v>11</v>
      </c>
      <c r="K441" s="42" t="s">
        <v>6348</v>
      </c>
      <c r="L441" s="42" t="s">
        <v>6486</v>
      </c>
      <c r="M441" s="42" t="s">
        <v>6186</v>
      </c>
      <c r="N441" s="42" t="s">
        <v>6186</v>
      </c>
      <c r="O441" s="42" t="s">
        <v>6186</v>
      </c>
      <c r="P441" s="42" t="s">
        <v>6186</v>
      </c>
    </row>
    <row r="442" spans="1:16" ht="14.25" customHeight="1" x14ac:dyDescent="0.15">
      <c r="A442" s="42" t="s">
        <v>6212</v>
      </c>
      <c r="B442" s="40" t="s">
        <v>18</v>
      </c>
      <c r="C442" s="42" t="s">
        <v>6458</v>
      </c>
      <c r="D442" s="42" t="s">
        <v>6537</v>
      </c>
      <c r="E442" s="42" t="s">
        <v>6186</v>
      </c>
      <c r="F442" s="42" t="s">
        <v>6186</v>
      </c>
      <c r="G442" s="42" t="s">
        <v>6186</v>
      </c>
      <c r="H442" s="42" t="s">
        <v>6186</v>
      </c>
      <c r="I442" s="42" t="s">
        <v>6215</v>
      </c>
      <c r="J442" s="40" t="s">
        <v>14</v>
      </c>
      <c r="K442" s="42" t="s">
        <v>6431</v>
      </c>
      <c r="L442" s="42" t="s">
        <v>6538</v>
      </c>
      <c r="M442" s="43" t="s">
        <v>6186</v>
      </c>
      <c r="N442" s="43" t="s">
        <v>6186</v>
      </c>
      <c r="O442" s="43" t="s">
        <v>6186</v>
      </c>
      <c r="P442" s="43" t="s">
        <v>6186</v>
      </c>
    </row>
    <row r="443" spans="1:16" ht="14.25" customHeight="1" x14ac:dyDescent="0.15">
      <c r="A443" s="42" t="s">
        <v>6216</v>
      </c>
      <c r="B443" s="40" t="s">
        <v>11</v>
      </c>
      <c r="C443" s="42" t="s">
        <v>6393</v>
      </c>
      <c r="D443" s="42" t="s">
        <v>6369</v>
      </c>
      <c r="E443" s="42" t="s">
        <v>6186</v>
      </c>
      <c r="F443" s="42" t="s">
        <v>6186</v>
      </c>
      <c r="G443" s="42" t="s">
        <v>6186</v>
      </c>
      <c r="H443" s="42" t="s">
        <v>6186</v>
      </c>
      <c r="I443" s="42" t="s">
        <v>6219</v>
      </c>
      <c r="J443" s="40" t="s">
        <v>13</v>
      </c>
      <c r="K443" s="45" t="s">
        <v>6346</v>
      </c>
      <c r="L443" s="42" t="s">
        <v>6539</v>
      </c>
      <c r="M443" s="42" t="s">
        <v>6186</v>
      </c>
      <c r="N443" s="42" t="s">
        <v>6186</v>
      </c>
      <c r="O443" s="42" t="s">
        <v>6186</v>
      </c>
      <c r="P443" s="42" t="s">
        <v>6186</v>
      </c>
    </row>
    <row r="444" spans="1:16" ht="14.25" customHeight="1" x14ac:dyDescent="0.15">
      <c r="A444" s="42" t="s">
        <v>6220</v>
      </c>
      <c r="B444" s="40" t="s">
        <v>14</v>
      </c>
      <c r="C444" s="42" t="s">
        <v>6348</v>
      </c>
      <c r="D444" s="42" t="s">
        <v>6540</v>
      </c>
      <c r="E444" s="42" t="s">
        <v>6186</v>
      </c>
      <c r="F444" s="42" t="s">
        <v>6186</v>
      </c>
      <c r="G444" s="42" t="s">
        <v>6186</v>
      </c>
      <c r="H444" s="42" t="s">
        <v>6186</v>
      </c>
      <c r="I444" s="42" t="s">
        <v>6221</v>
      </c>
      <c r="J444" s="40" t="s">
        <v>15</v>
      </c>
      <c r="K444" s="44">
        <v>0.33124999999999999</v>
      </c>
      <c r="L444" s="42" t="s">
        <v>6541</v>
      </c>
      <c r="M444" s="42" t="s">
        <v>6186</v>
      </c>
      <c r="N444" s="42" t="s">
        <v>6186</v>
      </c>
      <c r="O444" s="42" t="s">
        <v>6186</v>
      </c>
      <c r="P444" s="42" t="s">
        <v>6186</v>
      </c>
    </row>
    <row r="445" spans="1:16" ht="14.25" customHeight="1" x14ac:dyDescent="0.15">
      <c r="A445" s="42" t="s">
        <v>6222</v>
      </c>
      <c r="B445" s="40" t="s">
        <v>13</v>
      </c>
      <c r="C445" s="42" t="s">
        <v>6315</v>
      </c>
      <c r="D445" s="42" t="s">
        <v>6336</v>
      </c>
      <c r="E445" s="42" t="s">
        <v>6186</v>
      </c>
      <c r="F445" s="42" t="s">
        <v>6186</v>
      </c>
      <c r="G445" s="42" t="s">
        <v>6186</v>
      </c>
      <c r="H445" s="42" t="s">
        <v>6186</v>
      </c>
      <c r="I445" s="42" t="s">
        <v>6224</v>
      </c>
      <c r="J445" s="40" t="s">
        <v>16</v>
      </c>
      <c r="K445" s="44">
        <v>0.33194444444961801</v>
      </c>
      <c r="L445" s="42" t="s">
        <v>6542</v>
      </c>
      <c r="M445" s="42" t="s">
        <v>6186</v>
      </c>
      <c r="N445" s="42" t="s">
        <v>6186</v>
      </c>
      <c r="O445" s="42" t="s">
        <v>6186</v>
      </c>
      <c r="P445" s="42" t="s">
        <v>6186</v>
      </c>
    </row>
    <row r="446" spans="1:16" ht="14.25" customHeight="1" x14ac:dyDescent="0.15">
      <c r="A446" s="42" t="s">
        <v>6225</v>
      </c>
      <c r="B446" s="40" t="s">
        <v>15</v>
      </c>
      <c r="C446" s="45" t="s">
        <v>6393</v>
      </c>
      <c r="D446" s="42" t="s">
        <v>6444</v>
      </c>
      <c r="E446" s="42" t="s">
        <v>6186</v>
      </c>
      <c r="F446" s="42" t="s">
        <v>6186</v>
      </c>
      <c r="G446" s="42" t="s">
        <v>6186</v>
      </c>
      <c r="H446" s="42" t="s">
        <v>6186</v>
      </c>
      <c r="I446" s="42" t="s">
        <v>6227</v>
      </c>
      <c r="J446" s="40" t="s">
        <v>17</v>
      </c>
      <c r="K446" s="42" t="s">
        <v>6317</v>
      </c>
      <c r="L446" s="42" t="s">
        <v>6543</v>
      </c>
      <c r="M446" s="42" t="s">
        <v>6186</v>
      </c>
      <c r="N446" s="42" t="s">
        <v>6186</v>
      </c>
      <c r="O446" s="42" t="s">
        <v>6186</v>
      </c>
      <c r="P446" s="42" t="s">
        <v>6186</v>
      </c>
    </row>
    <row r="447" spans="1:16" ht="14.25" customHeight="1" x14ac:dyDescent="0.15">
      <c r="A447" s="42" t="s">
        <v>6228</v>
      </c>
      <c r="B447" s="40" t="s">
        <v>16</v>
      </c>
      <c r="C447" s="44">
        <v>0.33124999998835802</v>
      </c>
      <c r="D447" s="42" t="s">
        <v>6214</v>
      </c>
      <c r="E447" s="42" t="s">
        <v>6186</v>
      </c>
      <c r="F447" s="42" t="s">
        <v>6186</v>
      </c>
      <c r="G447" s="42" t="s">
        <v>6186</v>
      </c>
      <c r="H447" s="42" t="s">
        <v>6186</v>
      </c>
      <c r="I447" s="42" t="s">
        <v>6230</v>
      </c>
      <c r="J447" s="40" t="s">
        <v>18</v>
      </c>
      <c r="K447" s="42" t="s">
        <v>6431</v>
      </c>
      <c r="L447" s="42" t="s">
        <v>6318</v>
      </c>
      <c r="M447" s="42" t="s">
        <v>6186</v>
      </c>
      <c r="N447" s="42" t="s">
        <v>6186</v>
      </c>
      <c r="O447" s="42" t="s">
        <v>6186</v>
      </c>
      <c r="P447" s="42" t="s">
        <v>6186</v>
      </c>
    </row>
    <row r="448" spans="1:16" ht="14.25" customHeight="1" x14ac:dyDescent="0.15">
      <c r="A448" s="42" t="s">
        <v>6231</v>
      </c>
      <c r="B448" s="40" t="s">
        <v>17</v>
      </c>
      <c r="C448" s="44">
        <v>0.33194444444961801</v>
      </c>
      <c r="D448" s="42" t="s">
        <v>6329</v>
      </c>
      <c r="E448" s="42" t="s">
        <v>6186</v>
      </c>
      <c r="F448" s="42" t="s">
        <v>6186</v>
      </c>
      <c r="G448" s="42" t="s">
        <v>6186</v>
      </c>
      <c r="H448" s="42" t="s">
        <v>6186</v>
      </c>
      <c r="I448" s="42" t="s">
        <v>6234</v>
      </c>
      <c r="J448" s="40" t="s">
        <v>11</v>
      </c>
      <c r="K448" s="42" t="s">
        <v>6315</v>
      </c>
      <c r="L448" s="42" t="s">
        <v>6544</v>
      </c>
      <c r="M448" s="42" t="s">
        <v>6186</v>
      </c>
      <c r="N448" s="42" t="s">
        <v>6186</v>
      </c>
      <c r="O448" s="42" t="s">
        <v>6186</v>
      </c>
      <c r="P448" s="42" t="s">
        <v>6186</v>
      </c>
    </row>
    <row r="449" spans="1:16" ht="14.25" customHeight="1" x14ac:dyDescent="0.15">
      <c r="A449" s="42" t="s">
        <v>6235</v>
      </c>
      <c r="B449" s="40" t="s">
        <v>18</v>
      </c>
      <c r="C449" s="42" t="s">
        <v>6317</v>
      </c>
      <c r="D449" s="42" t="s">
        <v>6449</v>
      </c>
      <c r="E449" s="42" t="s">
        <v>6186</v>
      </c>
      <c r="F449" s="42" t="s">
        <v>6186</v>
      </c>
      <c r="G449" s="42" t="s">
        <v>6186</v>
      </c>
      <c r="H449" s="42" t="s">
        <v>6186</v>
      </c>
      <c r="I449" s="42" t="s">
        <v>12</v>
      </c>
      <c r="J449" s="42" t="s">
        <v>12</v>
      </c>
      <c r="K449" s="42" t="s">
        <v>12</v>
      </c>
      <c r="L449" s="42" t="s">
        <v>12</v>
      </c>
      <c r="M449" s="42" t="s">
        <v>12</v>
      </c>
      <c r="N449" s="42" t="s">
        <v>12</v>
      </c>
      <c r="O449" s="42" t="s">
        <v>12</v>
      </c>
      <c r="P449" s="42" t="s">
        <v>12</v>
      </c>
    </row>
    <row r="450" spans="1:16" ht="14.25" customHeight="1" x14ac:dyDescent="0.15">
      <c r="A450" s="35"/>
      <c r="C450" s="46"/>
      <c r="D450" s="46"/>
      <c r="E450" s="46"/>
      <c r="F450" s="46"/>
      <c r="G450" s="47"/>
      <c r="H450" s="47"/>
      <c r="I450" s="36"/>
      <c r="M450" s="131" t="s">
        <v>6237</v>
      </c>
      <c r="N450" s="131"/>
      <c r="O450" s="131"/>
      <c r="P450" s="131"/>
    </row>
    <row r="451" spans="1:16" ht="14.25" customHeight="1" x14ac:dyDescent="0.15">
      <c r="A451" s="34"/>
    </row>
    <row r="452" spans="1:16" ht="14.25" customHeight="1" x14ac:dyDescent="0.15">
      <c r="A452" s="34"/>
    </row>
    <row r="453" spans="1:16" ht="14.25" customHeight="1" x14ac:dyDescent="0.15">
      <c r="A453" s="35"/>
      <c r="B453" s="36"/>
    </row>
    <row r="454" spans="1:16" ht="14.25" customHeight="1" x14ac:dyDescent="0.15">
      <c r="A454" s="124" t="s">
        <v>6178</v>
      </c>
      <c r="B454" s="125"/>
      <c r="C454" s="125"/>
      <c r="D454" s="126"/>
      <c r="E454" s="124" t="s">
        <v>6545</v>
      </c>
      <c r="F454" s="125"/>
      <c r="G454" s="126"/>
      <c r="H454" s="124" t="s">
        <v>6272</v>
      </c>
      <c r="I454" s="126"/>
      <c r="J454" s="125" t="s">
        <v>6181</v>
      </c>
      <c r="K454" s="125"/>
      <c r="L454" s="126"/>
      <c r="M454" s="124" t="s">
        <v>6182</v>
      </c>
      <c r="N454" s="125"/>
      <c r="O454" s="125"/>
      <c r="P454" s="126"/>
    </row>
    <row r="455" spans="1:16" ht="14.25" customHeight="1" x14ac:dyDescent="0.15">
      <c r="A455" s="124" t="s">
        <v>6385</v>
      </c>
      <c r="B455" s="125"/>
      <c r="C455" s="125"/>
      <c r="D455" s="125"/>
      <c r="E455" s="125"/>
      <c r="F455" s="125"/>
      <c r="G455" s="125"/>
      <c r="H455" s="125"/>
      <c r="I455" s="125"/>
      <c r="J455" s="125"/>
      <c r="K455" s="125"/>
      <c r="L455" s="125"/>
      <c r="M455" s="125"/>
      <c r="N455" s="125"/>
      <c r="O455" s="125"/>
      <c r="P455" s="126"/>
    </row>
    <row r="456" spans="1:16" ht="14.25" customHeight="1" x14ac:dyDescent="0.15">
      <c r="A456" s="124" t="s">
        <v>6184</v>
      </c>
      <c r="B456" s="125"/>
      <c r="C456" s="125"/>
      <c r="D456" s="125"/>
      <c r="E456" s="125"/>
      <c r="F456" s="125"/>
      <c r="G456" s="125"/>
      <c r="H456" s="125"/>
      <c r="I456" s="125"/>
      <c r="J456" s="125"/>
      <c r="K456" s="125"/>
      <c r="L456" s="125"/>
      <c r="M456" s="125"/>
      <c r="N456" s="125"/>
      <c r="O456" s="125"/>
      <c r="P456" s="126"/>
    </row>
    <row r="457" spans="1:16" ht="14.25" customHeight="1" x14ac:dyDescent="0.15">
      <c r="A457" s="37"/>
      <c r="B457" s="38"/>
      <c r="C457" s="127" t="s">
        <v>4</v>
      </c>
      <c r="D457" s="128"/>
      <c r="E457" s="129" t="s">
        <v>5</v>
      </c>
      <c r="F457" s="130"/>
      <c r="G457" s="129" t="s">
        <v>6</v>
      </c>
      <c r="H457" s="130"/>
      <c r="I457" s="38"/>
      <c r="J457" s="38"/>
      <c r="K457" s="127" t="s">
        <v>4</v>
      </c>
      <c r="L457" s="128"/>
      <c r="M457" s="129" t="s">
        <v>5</v>
      </c>
      <c r="N457" s="130"/>
      <c r="O457" s="129" t="s">
        <v>6</v>
      </c>
      <c r="P457" s="130"/>
    </row>
    <row r="458" spans="1:16" ht="24" customHeight="1" x14ac:dyDescent="0.15">
      <c r="A458" s="39" t="s">
        <v>7</v>
      </c>
      <c r="B458" s="40" t="s">
        <v>8</v>
      </c>
      <c r="C458" s="41" t="s">
        <v>9</v>
      </c>
      <c r="D458" s="41" t="s">
        <v>10</v>
      </c>
      <c r="E458" s="41" t="s">
        <v>9</v>
      </c>
      <c r="F458" s="41" t="s">
        <v>10</v>
      </c>
      <c r="G458" s="41" t="s">
        <v>9</v>
      </c>
      <c r="H458" s="41" t="s">
        <v>10</v>
      </c>
      <c r="I458" s="48" t="s">
        <v>7</v>
      </c>
      <c r="J458" s="40" t="s">
        <v>8</v>
      </c>
      <c r="K458" s="41" t="s">
        <v>9</v>
      </c>
      <c r="L458" s="41" t="s">
        <v>10</v>
      </c>
      <c r="M458" s="41" t="s">
        <v>9</v>
      </c>
      <c r="N458" s="41" t="s">
        <v>10</v>
      </c>
      <c r="O458" s="41" t="s">
        <v>9</v>
      </c>
      <c r="P458" s="41" t="s">
        <v>10</v>
      </c>
    </row>
    <row r="459" spans="1:16" ht="14.25" customHeight="1" x14ac:dyDescent="0.15">
      <c r="A459" s="42" t="s">
        <v>6185</v>
      </c>
      <c r="B459" s="40" t="s">
        <v>17</v>
      </c>
      <c r="C459" s="42" t="s">
        <v>6186</v>
      </c>
      <c r="D459" s="42" t="s">
        <v>6186</v>
      </c>
      <c r="E459" s="42" t="s">
        <v>6186</v>
      </c>
      <c r="F459" s="42" t="s">
        <v>6186</v>
      </c>
      <c r="G459" s="42" t="s">
        <v>6186</v>
      </c>
      <c r="H459" s="42" t="s">
        <v>6186</v>
      </c>
      <c r="I459" s="42" t="s">
        <v>6187</v>
      </c>
      <c r="J459" s="40" t="s">
        <v>11</v>
      </c>
      <c r="K459" s="42" t="s">
        <v>6186</v>
      </c>
      <c r="L459" s="42" t="s">
        <v>6186</v>
      </c>
      <c r="M459" s="42" t="s">
        <v>6186</v>
      </c>
      <c r="N459" s="42" t="s">
        <v>6186</v>
      </c>
      <c r="O459" s="42" t="s">
        <v>6186</v>
      </c>
      <c r="P459" s="42" t="s">
        <v>6186</v>
      </c>
    </row>
    <row r="460" spans="1:16" ht="14.25" customHeight="1" x14ac:dyDescent="0.15">
      <c r="A460" s="42" t="s">
        <v>6190</v>
      </c>
      <c r="B460" s="40" t="s">
        <v>18</v>
      </c>
      <c r="C460" s="42" t="s">
        <v>6186</v>
      </c>
      <c r="D460" s="42" t="s">
        <v>6186</v>
      </c>
      <c r="E460" s="42" t="s">
        <v>6186</v>
      </c>
      <c r="F460" s="42" t="s">
        <v>6186</v>
      </c>
      <c r="G460" s="42" t="s">
        <v>6186</v>
      </c>
      <c r="H460" s="42" t="s">
        <v>6186</v>
      </c>
      <c r="I460" s="42" t="s">
        <v>6191</v>
      </c>
      <c r="J460" s="40" t="s">
        <v>14</v>
      </c>
      <c r="K460" s="42" t="s">
        <v>6186</v>
      </c>
      <c r="L460" s="42" t="s">
        <v>6186</v>
      </c>
      <c r="M460" s="42" t="s">
        <v>6186</v>
      </c>
      <c r="N460" s="42" t="s">
        <v>6186</v>
      </c>
      <c r="O460" s="42" t="s">
        <v>6186</v>
      </c>
      <c r="P460" s="42" t="s">
        <v>6186</v>
      </c>
    </row>
    <row r="461" spans="1:16" ht="14.25" customHeight="1" x14ac:dyDescent="0.15">
      <c r="A461" s="42" t="s">
        <v>6194</v>
      </c>
      <c r="B461" s="40" t="s">
        <v>11</v>
      </c>
      <c r="C461" s="42" t="s">
        <v>6186</v>
      </c>
      <c r="D461" s="42" t="s">
        <v>6186</v>
      </c>
      <c r="E461" s="42" t="s">
        <v>6186</v>
      </c>
      <c r="F461" s="42" t="s">
        <v>6186</v>
      </c>
      <c r="G461" s="42" t="s">
        <v>6186</v>
      </c>
      <c r="H461" s="42" t="s">
        <v>6186</v>
      </c>
      <c r="I461" s="42" t="s">
        <v>6195</v>
      </c>
      <c r="J461" s="40" t="s">
        <v>13</v>
      </c>
      <c r="K461" s="42" t="s">
        <v>6186</v>
      </c>
      <c r="L461" s="42" t="s">
        <v>6186</v>
      </c>
      <c r="M461" s="42" t="s">
        <v>6186</v>
      </c>
      <c r="N461" s="42" t="s">
        <v>6186</v>
      </c>
      <c r="O461" s="42" t="s">
        <v>6186</v>
      </c>
      <c r="P461" s="42" t="s">
        <v>6186</v>
      </c>
    </row>
    <row r="462" spans="1:16" ht="14.25" customHeight="1" x14ac:dyDescent="0.15">
      <c r="A462" s="42" t="s">
        <v>6198</v>
      </c>
      <c r="B462" s="40" t="s">
        <v>14</v>
      </c>
      <c r="C462" s="42" t="s">
        <v>6186</v>
      </c>
      <c r="D462" s="42" t="s">
        <v>6186</v>
      </c>
      <c r="E462" s="42" t="s">
        <v>6186</v>
      </c>
      <c r="F462" s="42" t="s">
        <v>6186</v>
      </c>
      <c r="G462" s="42" t="s">
        <v>6186</v>
      </c>
      <c r="H462" s="42" t="s">
        <v>6186</v>
      </c>
      <c r="I462" s="42" t="s">
        <v>6199</v>
      </c>
      <c r="J462" s="40" t="s">
        <v>15</v>
      </c>
      <c r="K462" s="42" t="s">
        <v>6186</v>
      </c>
      <c r="L462" s="42" t="s">
        <v>6186</v>
      </c>
      <c r="M462" s="42" t="s">
        <v>6186</v>
      </c>
      <c r="N462" s="42" t="s">
        <v>6186</v>
      </c>
      <c r="O462" s="42" t="s">
        <v>6186</v>
      </c>
      <c r="P462" s="42" t="s">
        <v>6186</v>
      </c>
    </row>
    <row r="463" spans="1:16" ht="14.25" customHeight="1" x14ac:dyDescent="0.15">
      <c r="A463" s="42" t="s">
        <v>6202</v>
      </c>
      <c r="B463" s="40" t="s">
        <v>13</v>
      </c>
      <c r="C463" s="42" t="s">
        <v>6186</v>
      </c>
      <c r="D463" s="42" t="s">
        <v>6186</v>
      </c>
      <c r="E463" s="42" t="s">
        <v>6186</v>
      </c>
      <c r="F463" s="42" t="s">
        <v>6186</v>
      </c>
      <c r="G463" s="42" t="s">
        <v>6186</v>
      </c>
      <c r="H463" s="42" t="s">
        <v>6186</v>
      </c>
      <c r="I463" s="42" t="s">
        <v>6203</v>
      </c>
      <c r="J463" s="40" t="s">
        <v>16</v>
      </c>
      <c r="K463" s="42" t="s">
        <v>6186</v>
      </c>
      <c r="L463" s="42" t="s">
        <v>6186</v>
      </c>
      <c r="M463" s="42" t="s">
        <v>6186</v>
      </c>
      <c r="N463" s="42" t="s">
        <v>6186</v>
      </c>
      <c r="O463" s="42" t="s">
        <v>6186</v>
      </c>
      <c r="P463" s="42" t="s">
        <v>6186</v>
      </c>
    </row>
    <row r="464" spans="1:16" ht="14.25" customHeight="1" x14ac:dyDescent="0.15">
      <c r="A464" s="42" t="s">
        <v>6204</v>
      </c>
      <c r="B464" s="40" t="s">
        <v>15</v>
      </c>
      <c r="C464" s="42" t="s">
        <v>6186</v>
      </c>
      <c r="D464" s="42" t="s">
        <v>6186</v>
      </c>
      <c r="E464" s="42" t="s">
        <v>6186</v>
      </c>
      <c r="F464" s="42" t="s">
        <v>6186</v>
      </c>
      <c r="G464" s="42" t="s">
        <v>6186</v>
      </c>
      <c r="H464" s="42" t="s">
        <v>6186</v>
      </c>
      <c r="I464" s="42" t="s">
        <v>6205</v>
      </c>
      <c r="J464" s="40" t="s">
        <v>17</v>
      </c>
      <c r="K464" s="42" t="s">
        <v>6186</v>
      </c>
      <c r="L464" s="42" t="s">
        <v>6186</v>
      </c>
      <c r="M464" s="42" t="s">
        <v>6186</v>
      </c>
      <c r="N464" s="42" t="s">
        <v>6186</v>
      </c>
      <c r="O464" s="42" t="s">
        <v>6186</v>
      </c>
      <c r="P464" s="42" t="s">
        <v>6186</v>
      </c>
    </row>
    <row r="465" spans="1:16" ht="14.25" customHeight="1" x14ac:dyDescent="0.15">
      <c r="A465" s="42" t="s">
        <v>6206</v>
      </c>
      <c r="B465" s="40" t="s">
        <v>16</v>
      </c>
      <c r="C465" s="42" t="s">
        <v>6186</v>
      </c>
      <c r="D465" s="42" t="s">
        <v>6186</v>
      </c>
      <c r="E465" s="42" t="s">
        <v>6186</v>
      </c>
      <c r="F465" s="42" t="s">
        <v>6186</v>
      </c>
      <c r="G465" s="42" t="s">
        <v>6186</v>
      </c>
      <c r="H465" s="42" t="s">
        <v>6186</v>
      </c>
      <c r="I465" s="42" t="s">
        <v>6207</v>
      </c>
      <c r="J465" s="40" t="s">
        <v>18</v>
      </c>
      <c r="K465" s="42" t="s">
        <v>6186</v>
      </c>
      <c r="L465" s="42" t="s">
        <v>6186</v>
      </c>
      <c r="M465" s="42" t="s">
        <v>6186</v>
      </c>
      <c r="N465" s="42" t="s">
        <v>6186</v>
      </c>
      <c r="O465" s="42" t="s">
        <v>6186</v>
      </c>
      <c r="P465" s="42" t="s">
        <v>6186</v>
      </c>
    </row>
    <row r="466" spans="1:16" ht="14.25" customHeight="1" x14ac:dyDescent="0.15">
      <c r="A466" s="42" t="s">
        <v>6208</v>
      </c>
      <c r="B466" s="40" t="s">
        <v>17</v>
      </c>
      <c r="C466" s="42" t="s">
        <v>6186</v>
      </c>
      <c r="D466" s="42" t="s">
        <v>6186</v>
      </c>
      <c r="E466" s="42" t="s">
        <v>6186</v>
      </c>
      <c r="F466" s="42" t="s">
        <v>6186</v>
      </c>
      <c r="G466" s="42" t="s">
        <v>6186</v>
      </c>
      <c r="H466" s="42" t="s">
        <v>6186</v>
      </c>
      <c r="I466" s="42" t="s">
        <v>6211</v>
      </c>
      <c r="J466" s="40" t="s">
        <v>11</v>
      </c>
      <c r="K466" s="42" t="s">
        <v>6186</v>
      </c>
      <c r="L466" s="42" t="s">
        <v>6186</v>
      </c>
      <c r="M466" s="42" t="s">
        <v>6186</v>
      </c>
      <c r="N466" s="42" t="s">
        <v>6186</v>
      </c>
      <c r="O466" s="42" t="s">
        <v>6186</v>
      </c>
      <c r="P466" s="42" t="s">
        <v>6186</v>
      </c>
    </row>
    <row r="467" spans="1:16" ht="14.25" customHeight="1" x14ac:dyDescent="0.15">
      <c r="A467" s="42" t="s">
        <v>6212</v>
      </c>
      <c r="B467" s="40" t="s">
        <v>18</v>
      </c>
      <c r="C467" s="42" t="s">
        <v>6186</v>
      </c>
      <c r="D467" s="42" t="s">
        <v>6186</v>
      </c>
      <c r="E467" s="42" t="s">
        <v>6186</v>
      </c>
      <c r="F467" s="42" t="s">
        <v>6186</v>
      </c>
      <c r="G467" s="42" t="s">
        <v>6186</v>
      </c>
      <c r="H467" s="42" t="s">
        <v>6186</v>
      </c>
      <c r="I467" s="42" t="s">
        <v>6215</v>
      </c>
      <c r="J467" s="40" t="s">
        <v>14</v>
      </c>
      <c r="K467" s="42" t="s">
        <v>6186</v>
      </c>
      <c r="L467" s="42" t="s">
        <v>6186</v>
      </c>
      <c r="M467" s="42" t="s">
        <v>6186</v>
      </c>
      <c r="N467" s="42" t="s">
        <v>6186</v>
      </c>
      <c r="O467" s="42" t="s">
        <v>6186</v>
      </c>
      <c r="P467" s="42" t="s">
        <v>6186</v>
      </c>
    </row>
    <row r="468" spans="1:16" ht="14.25" customHeight="1" x14ac:dyDescent="0.15">
      <c r="A468" s="42" t="s">
        <v>6216</v>
      </c>
      <c r="B468" s="40" t="s">
        <v>11</v>
      </c>
      <c r="C468" s="42" t="s">
        <v>6186</v>
      </c>
      <c r="D468" s="42" t="s">
        <v>6186</v>
      </c>
      <c r="E468" s="42" t="s">
        <v>6186</v>
      </c>
      <c r="F468" s="42" t="s">
        <v>6186</v>
      </c>
      <c r="G468" s="42" t="s">
        <v>6186</v>
      </c>
      <c r="H468" s="42" t="s">
        <v>6186</v>
      </c>
      <c r="I468" s="42" t="s">
        <v>6219</v>
      </c>
      <c r="J468" s="40" t="s">
        <v>13</v>
      </c>
      <c r="K468" s="42" t="s">
        <v>6186</v>
      </c>
      <c r="L468" s="42" t="s">
        <v>6186</v>
      </c>
      <c r="M468" s="42" t="s">
        <v>6186</v>
      </c>
      <c r="N468" s="42" t="s">
        <v>6186</v>
      </c>
      <c r="O468" s="42" t="s">
        <v>6186</v>
      </c>
      <c r="P468" s="42" t="s">
        <v>6186</v>
      </c>
    </row>
    <row r="469" spans="1:16" ht="14.25" customHeight="1" x14ac:dyDescent="0.15">
      <c r="A469" s="42" t="s">
        <v>6220</v>
      </c>
      <c r="B469" s="40" t="s">
        <v>14</v>
      </c>
      <c r="C469" s="42" t="s">
        <v>6186</v>
      </c>
      <c r="D469" s="42" t="s">
        <v>6186</v>
      </c>
      <c r="E469" s="42" t="s">
        <v>6186</v>
      </c>
      <c r="F469" s="42" t="s">
        <v>6186</v>
      </c>
      <c r="G469" s="42" t="s">
        <v>6186</v>
      </c>
      <c r="H469" s="42" t="s">
        <v>6186</v>
      </c>
      <c r="I469" s="42" t="s">
        <v>6221</v>
      </c>
      <c r="J469" s="40" t="s">
        <v>15</v>
      </c>
      <c r="K469" s="42" t="s">
        <v>6186</v>
      </c>
      <c r="L469" s="42" t="s">
        <v>6186</v>
      </c>
      <c r="M469" s="42" t="s">
        <v>6186</v>
      </c>
      <c r="N469" s="42" t="s">
        <v>6186</v>
      </c>
      <c r="O469" s="42" t="s">
        <v>6186</v>
      </c>
      <c r="P469" s="42" t="s">
        <v>6186</v>
      </c>
    </row>
    <row r="470" spans="1:16" ht="14.25" customHeight="1" x14ac:dyDescent="0.15">
      <c r="A470" s="42" t="s">
        <v>6222</v>
      </c>
      <c r="B470" s="40" t="s">
        <v>13</v>
      </c>
      <c r="C470" s="42" t="s">
        <v>6186</v>
      </c>
      <c r="D470" s="42" t="s">
        <v>6186</v>
      </c>
      <c r="E470" s="42" t="s">
        <v>6186</v>
      </c>
      <c r="F470" s="42" t="s">
        <v>6186</v>
      </c>
      <c r="G470" s="42" t="s">
        <v>6186</v>
      </c>
      <c r="H470" s="42" t="s">
        <v>6186</v>
      </c>
      <c r="I470" s="42" t="s">
        <v>6224</v>
      </c>
      <c r="J470" s="40" t="s">
        <v>16</v>
      </c>
      <c r="K470" s="42" t="s">
        <v>6186</v>
      </c>
      <c r="L470" s="42" t="s">
        <v>6186</v>
      </c>
      <c r="M470" s="42" t="s">
        <v>6186</v>
      </c>
      <c r="N470" s="42" t="s">
        <v>6186</v>
      </c>
      <c r="O470" s="42" t="s">
        <v>6186</v>
      </c>
      <c r="P470" s="42" t="s">
        <v>6186</v>
      </c>
    </row>
    <row r="471" spans="1:16" ht="14.25" customHeight="1" x14ac:dyDescent="0.15">
      <c r="A471" s="42" t="s">
        <v>6225</v>
      </c>
      <c r="B471" s="40" t="s">
        <v>15</v>
      </c>
      <c r="C471" s="42" t="s">
        <v>6186</v>
      </c>
      <c r="D471" s="42" t="s">
        <v>6186</v>
      </c>
      <c r="E471" s="42" t="s">
        <v>6186</v>
      </c>
      <c r="F471" s="42" t="s">
        <v>6186</v>
      </c>
      <c r="G471" s="42" t="s">
        <v>6186</v>
      </c>
      <c r="H471" s="42" t="s">
        <v>6186</v>
      </c>
      <c r="I471" s="42" t="s">
        <v>6227</v>
      </c>
      <c r="J471" s="40" t="s">
        <v>17</v>
      </c>
      <c r="K471" s="42" t="s">
        <v>6186</v>
      </c>
      <c r="L471" s="42" t="s">
        <v>6186</v>
      </c>
      <c r="M471" s="42" t="s">
        <v>6186</v>
      </c>
      <c r="N471" s="42" t="s">
        <v>6186</v>
      </c>
      <c r="O471" s="42" t="s">
        <v>6186</v>
      </c>
      <c r="P471" s="42" t="s">
        <v>6186</v>
      </c>
    </row>
    <row r="472" spans="1:16" ht="14.25" customHeight="1" x14ac:dyDescent="0.15">
      <c r="A472" s="42" t="s">
        <v>6228</v>
      </c>
      <c r="B472" s="40" t="s">
        <v>16</v>
      </c>
      <c r="C472" s="42" t="s">
        <v>6186</v>
      </c>
      <c r="D472" s="42" t="s">
        <v>6186</v>
      </c>
      <c r="E472" s="42" t="s">
        <v>6186</v>
      </c>
      <c r="F472" s="42" t="s">
        <v>6186</v>
      </c>
      <c r="G472" s="42" t="s">
        <v>6186</v>
      </c>
      <c r="H472" s="42" t="s">
        <v>6186</v>
      </c>
      <c r="I472" s="42" t="s">
        <v>6230</v>
      </c>
      <c r="J472" s="40" t="s">
        <v>18</v>
      </c>
      <c r="K472" s="42" t="s">
        <v>6186</v>
      </c>
      <c r="L472" s="42" t="s">
        <v>6186</v>
      </c>
      <c r="M472" s="42" t="s">
        <v>6186</v>
      </c>
      <c r="N472" s="42" t="s">
        <v>6186</v>
      </c>
      <c r="O472" s="42" t="s">
        <v>6186</v>
      </c>
      <c r="P472" s="42" t="s">
        <v>6186</v>
      </c>
    </row>
    <row r="473" spans="1:16" ht="14.25" customHeight="1" x14ac:dyDescent="0.15">
      <c r="A473" s="42" t="s">
        <v>6231</v>
      </c>
      <c r="B473" s="40" t="s">
        <v>17</v>
      </c>
      <c r="C473" s="42" t="s">
        <v>6186</v>
      </c>
      <c r="D473" s="42" t="s">
        <v>6186</v>
      </c>
      <c r="E473" s="42" t="s">
        <v>6186</v>
      </c>
      <c r="F473" s="42" t="s">
        <v>6186</v>
      </c>
      <c r="G473" s="42" t="s">
        <v>6186</v>
      </c>
      <c r="H473" s="42" t="s">
        <v>6186</v>
      </c>
      <c r="I473" s="42" t="s">
        <v>6234</v>
      </c>
      <c r="J473" s="40" t="s">
        <v>11</v>
      </c>
      <c r="K473" s="42" t="s">
        <v>6186</v>
      </c>
      <c r="L473" s="42" t="s">
        <v>6186</v>
      </c>
      <c r="M473" s="42" t="s">
        <v>6186</v>
      </c>
      <c r="N473" s="42" t="s">
        <v>6186</v>
      </c>
      <c r="O473" s="42" t="s">
        <v>6186</v>
      </c>
      <c r="P473" s="42" t="s">
        <v>6186</v>
      </c>
    </row>
    <row r="474" spans="1:16" ht="14.25" customHeight="1" x14ac:dyDescent="0.15">
      <c r="A474" s="42" t="s">
        <v>6235</v>
      </c>
      <c r="B474" s="40" t="s">
        <v>18</v>
      </c>
      <c r="C474" s="42" t="s">
        <v>6186</v>
      </c>
      <c r="D474" s="42" t="s">
        <v>6186</v>
      </c>
      <c r="E474" s="42" t="s">
        <v>6186</v>
      </c>
      <c r="F474" s="42" t="s">
        <v>6186</v>
      </c>
      <c r="G474" s="42" t="s">
        <v>6186</v>
      </c>
      <c r="H474" s="42" t="s">
        <v>6186</v>
      </c>
      <c r="I474" s="42" t="s">
        <v>12</v>
      </c>
      <c r="J474" s="42" t="s">
        <v>12</v>
      </c>
      <c r="K474" s="42" t="s">
        <v>12</v>
      </c>
      <c r="L474" s="42" t="s">
        <v>12</v>
      </c>
      <c r="M474" s="42" t="s">
        <v>12</v>
      </c>
      <c r="N474" s="42" t="s">
        <v>12</v>
      </c>
      <c r="O474" s="42" t="s">
        <v>12</v>
      </c>
      <c r="P474" s="42" t="s">
        <v>12</v>
      </c>
    </row>
    <row r="475" spans="1:16" ht="14.25" customHeight="1" x14ac:dyDescent="0.15">
      <c r="A475" s="35"/>
      <c r="C475" s="46"/>
      <c r="D475" s="46"/>
      <c r="E475" s="46"/>
      <c r="F475" s="46"/>
      <c r="G475" s="47"/>
      <c r="H475" s="47"/>
      <c r="I475" s="36"/>
      <c r="M475" s="131" t="s">
        <v>6237</v>
      </c>
      <c r="N475" s="131"/>
      <c r="O475" s="131"/>
      <c r="P475" s="131"/>
    </row>
    <row r="476" spans="1:16" ht="14.25" customHeight="1" x14ac:dyDescent="0.15">
      <c r="A476" s="34"/>
    </row>
    <row r="477" spans="1:16" ht="14.25" customHeight="1" x14ac:dyDescent="0.15">
      <c r="A477" s="34"/>
    </row>
    <row r="478" spans="1:16" ht="14.25" customHeight="1" x14ac:dyDescent="0.15">
      <c r="A478" s="35"/>
      <c r="B478" s="36"/>
    </row>
    <row r="479" spans="1:16" ht="14.25" customHeight="1" x14ac:dyDescent="0.15">
      <c r="A479" s="124" t="s">
        <v>6178</v>
      </c>
      <c r="B479" s="125"/>
      <c r="C479" s="125"/>
      <c r="D479" s="126"/>
      <c r="E479" s="124" t="s">
        <v>6546</v>
      </c>
      <c r="F479" s="125"/>
      <c r="G479" s="126"/>
      <c r="H479" s="124" t="s">
        <v>6280</v>
      </c>
      <c r="I479" s="126"/>
      <c r="J479" s="125" t="s">
        <v>6181</v>
      </c>
      <c r="K479" s="125"/>
      <c r="L479" s="126"/>
      <c r="M479" s="124" t="s">
        <v>6182</v>
      </c>
      <c r="N479" s="125"/>
      <c r="O479" s="125"/>
      <c r="P479" s="126"/>
    </row>
    <row r="480" spans="1:16" ht="14.25" customHeight="1" x14ac:dyDescent="0.15">
      <c r="A480" s="124" t="s">
        <v>6547</v>
      </c>
      <c r="B480" s="125"/>
      <c r="C480" s="125"/>
      <c r="D480" s="125"/>
      <c r="E480" s="125"/>
      <c r="F480" s="125"/>
      <c r="G480" s="125"/>
      <c r="H480" s="125"/>
      <c r="I480" s="125"/>
      <c r="J480" s="125"/>
      <c r="K480" s="125"/>
      <c r="L480" s="125"/>
      <c r="M480" s="125"/>
      <c r="N480" s="125"/>
      <c r="O480" s="125"/>
      <c r="P480" s="126"/>
    </row>
    <row r="481" spans="1:16" ht="14.25" customHeight="1" x14ac:dyDescent="0.15">
      <c r="A481" s="124" t="s">
        <v>6184</v>
      </c>
      <c r="B481" s="125"/>
      <c r="C481" s="125"/>
      <c r="D481" s="125"/>
      <c r="E481" s="125"/>
      <c r="F481" s="125"/>
      <c r="G481" s="125"/>
      <c r="H481" s="125"/>
      <c r="I481" s="125"/>
      <c r="J481" s="125"/>
      <c r="K481" s="125"/>
      <c r="L481" s="125"/>
      <c r="M481" s="125"/>
      <c r="N481" s="125"/>
      <c r="O481" s="125"/>
      <c r="P481" s="126"/>
    </row>
    <row r="482" spans="1:16" ht="14.25" customHeight="1" x14ac:dyDescent="0.15">
      <c r="A482" s="37"/>
      <c r="B482" s="38"/>
      <c r="C482" s="127" t="s">
        <v>4</v>
      </c>
      <c r="D482" s="128"/>
      <c r="E482" s="129" t="s">
        <v>5</v>
      </c>
      <c r="F482" s="130"/>
      <c r="G482" s="129" t="s">
        <v>6</v>
      </c>
      <c r="H482" s="130"/>
      <c r="I482" s="38"/>
      <c r="J482" s="38"/>
      <c r="K482" s="127" t="s">
        <v>4</v>
      </c>
      <c r="L482" s="128"/>
      <c r="M482" s="129" t="s">
        <v>5</v>
      </c>
      <c r="N482" s="130"/>
      <c r="O482" s="129" t="s">
        <v>6</v>
      </c>
      <c r="P482" s="130"/>
    </row>
    <row r="483" spans="1:16" ht="24" customHeight="1" x14ac:dyDescent="0.15">
      <c r="A483" s="39" t="s">
        <v>7</v>
      </c>
      <c r="B483" s="40" t="s">
        <v>8</v>
      </c>
      <c r="C483" s="41" t="s">
        <v>9</v>
      </c>
      <c r="D483" s="41" t="s">
        <v>10</v>
      </c>
      <c r="E483" s="41" t="s">
        <v>9</v>
      </c>
      <c r="F483" s="41" t="s">
        <v>10</v>
      </c>
      <c r="G483" s="41" t="s">
        <v>9</v>
      </c>
      <c r="H483" s="41" t="s">
        <v>10</v>
      </c>
      <c r="I483" s="48" t="s">
        <v>7</v>
      </c>
      <c r="J483" s="40" t="s">
        <v>8</v>
      </c>
      <c r="K483" s="41" t="s">
        <v>9</v>
      </c>
      <c r="L483" s="41" t="s">
        <v>10</v>
      </c>
      <c r="M483" s="41" t="s">
        <v>9</v>
      </c>
      <c r="N483" s="41" t="s">
        <v>10</v>
      </c>
      <c r="O483" s="41" t="s">
        <v>9</v>
      </c>
      <c r="P483" s="41" t="s">
        <v>10</v>
      </c>
    </row>
    <row r="484" spans="1:16" ht="14.25" customHeight="1" x14ac:dyDescent="0.15">
      <c r="A484" s="42" t="s">
        <v>6185</v>
      </c>
      <c r="B484" s="40" t="s">
        <v>17</v>
      </c>
      <c r="C484" s="43"/>
      <c r="D484" s="43"/>
      <c r="E484" s="43" t="s">
        <v>6186</v>
      </c>
      <c r="F484" s="43" t="s">
        <v>6186</v>
      </c>
      <c r="G484" s="43" t="s">
        <v>6186</v>
      </c>
      <c r="H484" s="43" t="s">
        <v>6186</v>
      </c>
      <c r="I484" s="42" t="s">
        <v>6187</v>
      </c>
      <c r="J484" s="40" t="s">
        <v>11</v>
      </c>
      <c r="K484" s="43" t="s">
        <v>6186</v>
      </c>
      <c r="L484" s="43" t="s">
        <v>6186</v>
      </c>
      <c r="M484" s="43" t="s">
        <v>6186</v>
      </c>
      <c r="N484" s="43" t="s">
        <v>6186</v>
      </c>
      <c r="O484" s="43" t="s">
        <v>6186</v>
      </c>
      <c r="P484" s="43" t="s">
        <v>6186</v>
      </c>
    </row>
    <row r="485" spans="1:16" ht="14.25" customHeight="1" x14ac:dyDescent="0.15">
      <c r="A485" s="42" t="s">
        <v>6190</v>
      </c>
      <c r="B485" s="40" t="s">
        <v>18</v>
      </c>
      <c r="C485" s="43"/>
      <c r="D485" s="43"/>
      <c r="E485" s="43" t="s">
        <v>6186</v>
      </c>
      <c r="F485" s="43" t="s">
        <v>6186</v>
      </c>
      <c r="G485" s="43" t="s">
        <v>6186</v>
      </c>
      <c r="H485" s="43" t="s">
        <v>6186</v>
      </c>
      <c r="I485" s="42" t="s">
        <v>6191</v>
      </c>
      <c r="J485" s="40" t="s">
        <v>14</v>
      </c>
      <c r="K485" s="43" t="s">
        <v>6186</v>
      </c>
      <c r="L485" s="43" t="s">
        <v>6186</v>
      </c>
      <c r="M485" s="43" t="s">
        <v>6186</v>
      </c>
      <c r="N485" s="43" t="s">
        <v>6186</v>
      </c>
      <c r="O485" s="43" t="s">
        <v>6186</v>
      </c>
      <c r="P485" s="43" t="s">
        <v>6186</v>
      </c>
    </row>
    <row r="486" spans="1:16" ht="14.25" customHeight="1" x14ac:dyDescent="0.15">
      <c r="A486" s="42" t="s">
        <v>6194</v>
      </c>
      <c r="B486" s="40" t="s">
        <v>11</v>
      </c>
      <c r="C486" s="43"/>
      <c r="D486" s="43"/>
      <c r="E486" s="43" t="s">
        <v>6186</v>
      </c>
      <c r="F486" s="43" t="s">
        <v>6186</v>
      </c>
      <c r="G486" s="43" t="s">
        <v>6186</v>
      </c>
      <c r="H486" s="43" t="s">
        <v>6186</v>
      </c>
      <c r="I486" s="42" t="s">
        <v>6195</v>
      </c>
      <c r="J486" s="40" t="s">
        <v>13</v>
      </c>
      <c r="K486" s="44">
        <v>0.33194444444961801</v>
      </c>
      <c r="L486" s="45" t="s">
        <v>6548</v>
      </c>
      <c r="M486" s="42" t="s">
        <v>6186</v>
      </c>
      <c r="N486" s="42" t="s">
        <v>6186</v>
      </c>
      <c r="O486" s="42" t="s">
        <v>6186</v>
      </c>
      <c r="P486" s="42" t="s">
        <v>6186</v>
      </c>
    </row>
    <row r="487" spans="1:16" ht="14.25" customHeight="1" x14ac:dyDescent="0.15">
      <c r="A487" s="42" t="s">
        <v>6198</v>
      </c>
      <c r="B487" s="40" t="s">
        <v>14</v>
      </c>
      <c r="C487" s="42"/>
      <c r="D487" s="42"/>
      <c r="E487" s="42" t="s">
        <v>6186</v>
      </c>
      <c r="F487" s="42" t="s">
        <v>6186</v>
      </c>
      <c r="G487" s="42" t="s">
        <v>6186</v>
      </c>
      <c r="H487" s="42" t="s">
        <v>6186</v>
      </c>
      <c r="I487" s="42" t="s">
        <v>6199</v>
      </c>
      <c r="J487" s="40" t="s">
        <v>15</v>
      </c>
      <c r="K487" s="44">
        <v>0.33124999999999999</v>
      </c>
      <c r="L487" s="44">
        <v>0.71875</v>
      </c>
      <c r="M487" s="43" t="s">
        <v>6186</v>
      </c>
      <c r="N487" s="43" t="s">
        <v>6186</v>
      </c>
      <c r="O487" s="43" t="s">
        <v>6186</v>
      </c>
      <c r="P487" s="43" t="s">
        <v>6186</v>
      </c>
    </row>
    <row r="488" spans="1:16" ht="14.25" customHeight="1" x14ac:dyDescent="0.15">
      <c r="A488" s="42" t="s">
        <v>6202</v>
      </c>
      <c r="B488" s="40" t="s">
        <v>13</v>
      </c>
      <c r="C488" s="43"/>
      <c r="D488" s="43"/>
      <c r="E488" s="43" t="s">
        <v>6186</v>
      </c>
      <c r="F488" s="43" t="s">
        <v>6186</v>
      </c>
      <c r="G488" s="43" t="s">
        <v>6186</v>
      </c>
      <c r="H488" s="43" t="s">
        <v>6186</v>
      </c>
      <c r="I488" s="42" t="s">
        <v>6203</v>
      </c>
      <c r="J488" s="40" t="s">
        <v>16</v>
      </c>
      <c r="K488" s="44">
        <v>0.33124999999999999</v>
      </c>
      <c r="L488" s="44">
        <v>0.71875</v>
      </c>
      <c r="M488" s="43" t="s">
        <v>6186</v>
      </c>
      <c r="N488" s="43" t="s">
        <v>6186</v>
      </c>
      <c r="O488" s="43" t="s">
        <v>6186</v>
      </c>
      <c r="P488" s="43" t="s">
        <v>6186</v>
      </c>
    </row>
    <row r="489" spans="1:16" ht="14.25" customHeight="1" x14ac:dyDescent="0.15">
      <c r="A489" s="42" t="s">
        <v>6204</v>
      </c>
      <c r="B489" s="40" t="s">
        <v>15</v>
      </c>
      <c r="C489" s="43"/>
      <c r="D489" s="43"/>
      <c r="E489" s="43" t="s">
        <v>6186</v>
      </c>
      <c r="F489" s="43" t="s">
        <v>6186</v>
      </c>
      <c r="G489" s="43" t="s">
        <v>6186</v>
      </c>
      <c r="H489" s="43" t="s">
        <v>6186</v>
      </c>
      <c r="I489" s="42" t="s">
        <v>6205</v>
      </c>
      <c r="J489" s="40" t="s">
        <v>17</v>
      </c>
      <c r="K489" s="45" t="s">
        <v>6315</v>
      </c>
      <c r="L489" s="42" t="s">
        <v>6549</v>
      </c>
      <c r="M489" s="42" t="s">
        <v>6186</v>
      </c>
      <c r="N489" s="42" t="s">
        <v>6186</v>
      </c>
      <c r="O489" s="42" t="s">
        <v>6186</v>
      </c>
      <c r="P489" s="42" t="s">
        <v>6186</v>
      </c>
    </row>
    <row r="490" spans="1:16" ht="14.25" customHeight="1" x14ac:dyDescent="0.15">
      <c r="A490" s="42" t="s">
        <v>6206</v>
      </c>
      <c r="B490" s="40" t="s">
        <v>16</v>
      </c>
      <c r="C490" s="42"/>
      <c r="D490" s="42"/>
      <c r="E490" s="42" t="s">
        <v>6186</v>
      </c>
      <c r="F490" s="42" t="s">
        <v>6186</v>
      </c>
      <c r="G490" s="42" t="s">
        <v>6186</v>
      </c>
      <c r="H490" s="42" t="s">
        <v>6186</v>
      </c>
      <c r="I490" s="42" t="s">
        <v>6207</v>
      </c>
      <c r="J490" s="40" t="s">
        <v>18</v>
      </c>
      <c r="K490" s="45" t="s">
        <v>6390</v>
      </c>
      <c r="L490" s="42" t="s">
        <v>6550</v>
      </c>
      <c r="M490" s="42" t="s">
        <v>6186</v>
      </c>
      <c r="N490" s="42" t="s">
        <v>6186</v>
      </c>
      <c r="O490" s="42" t="s">
        <v>6186</v>
      </c>
      <c r="P490" s="42" t="s">
        <v>6186</v>
      </c>
    </row>
    <row r="491" spans="1:16" ht="14.25" customHeight="1" x14ac:dyDescent="0.15">
      <c r="A491" s="42" t="s">
        <v>6208</v>
      </c>
      <c r="B491" s="40" t="s">
        <v>17</v>
      </c>
      <c r="C491" s="44">
        <v>0.322916666656965</v>
      </c>
      <c r="D491" s="45" t="s">
        <v>6548</v>
      </c>
      <c r="E491" s="42" t="s">
        <v>6186</v>
      </c>
      <c r="F491" s="42" t="s">
        <v>6186</v>
      </c>
      <c r="G491" s="42" t="s">
        <v>6186</v>
      </c>
      <c r="H491" s="42" t="s">
        <v>6186</v>
      </c>
      <c r="I491" s="42" t="s">
        <v>6211</v>
      </c>
      <c r="J491" s="40" t="s">
        <v>11</v>
      </c>
      <c r="K491" s="42" t="s">
        <v>6186</v>
      </c>
      <c r="L491" s="42" t="s">
        <v>6186</v>
      </c>
      <c r="M491" s="42" t="s">
        <v>6186</v>
      </c>
      <c r="N491" s="42" t="s">
        <v>6186</v>
      </c>
      <c r="O491" s="42" t="s">
        <v>6186</v>
      </c>
      <c r="P491" s="42" t="s">
        <v>6186</v>
      </c>
    </row>
    <row r="492" spans="1:16" ht="14.25" customHeight="1" x14ac:dyDescent="0.15">
      <c r="A492" s="42" t="s">
        <v>6212</v>
      </c>
      <c r="B492" s="40" t="s">
        <v>18</v>
      </c>
      <c r="C492" s="44">
        <v>0.33124999998835802</v>
      </c>
      <c r="D492" s="44">
        <v>0.74166666666860703</v>
      </c>
      <c r="E492" s="43" t="s">
        <v>6186</v>
      </c>
      <c r="F492" s="43" t="s">
        <v>6186</v>
      </c>
      <c r="G492" s="43" t="s">
        <v>6186</v>
      </c>
      <c r="H492" s="43" t="s">
        <v>6186</v>
      </c>
      <c r="I492" s="42" t="s">
        <v>6215</v>
      </c>
      <c r="J492" s="40" t="s">
        <v>14</v>
      </c>
      <c r="K492" s="43" t="s">
        <v>6186</v>
      </c>
      <c r="L492" s="43" t="s">
        <v>6186</v>
      </c>
      <c r="M492" s="43" t="s">
        <v>6186</v>
      </c>
      <c r="N492" s="43" t="s">
        <v>6186</v>
      </c>
      <c r="O492" s="43" t="s">
        <v>6186</v>
      </c>
      <c r="P492" s="43" t="s">
        <v>6186</v>
      </c>
    </row>
    <row r="493" spans="1:16" ht="14.25" customHeight="1" x14ac:dyDescent="0.15">
      <c r="A493" s="42" t="s">
        <v>6216</v>
      </c>
      <c r="B493" s="40" t="s">
        <v>11</v>
      </c>
      <c r="C493" s="44">
        <v>0.32083333333139302</v>
      </c>
      <c r="D493" s="45" t="s">
        <v>6125</v>
      </c>
      <c r="E493" s="42" t="s">
        <v>6186</v>
      </c>
      <c r="F493" s="42" t="s">
        <v>6186</v>
      </c>
      <c r="G493" s="42" t="s">
        <v>6186</v>
      </c>
      <c r="H493" s="42" t="s">
        <v>6186</v>
      </c>
      <c r="I493" s="42" t="s">
        <v>6219</v>
      </c>
      <c r="J493" s="40" t="s">
        <v>13</v>
      </c>
      <c r="K493" s="45" t="s">
        <v>6315</v>
      </c>
      <c r="L493" s="45" t="s">
        <v>6156</v>
      </c>
      <c r="M493" s="42" t="s">
        <v>6186</v>
      </c>
      <c r="N493" s="42" t="s">
        <v>6186</v>
      </c>
      <c r="O493" s="42" t="s">
        <v>6186</v>
      </c>
      <c r="P493" s="42" t="s">
        <v>6186</v>
      </c>
    </row>
    <row r="494" spans="1:16" ht="14.25" customHeight="1" x14ac:dyDescent="0.15">
      <c r="A494" s="42" t="s">
        <v>6220</v>
      </c>
      <c r="B494" s="40" t="s">
        <v>14</v>
      </c>
      <c r="C494" s="44">
        <v>0.33124999998835802</v>
      </c>
      <c r="D494" s="45" t="s">
        <v>6375</v>
      </c>
      <c r="E494" s="42" t="s">
        <v>6186</v>
      </c>
      <c r="F494" s="42" t="s">
        <v>6186</v>
      </c>
      <c r="G494" s="42" t="s">
        <v>6186</v>
      </c>
      <c r="H494" s="42" t="s">
        <v>6186</v>
      </c>
      <c r="I494" s="42" t="s">
        <v>6221</v>
      </c>
      <c r="J494" s="40" t="s">
        <v>15</v>
      </c>
      <c r="K494" s="45" t="s">
        <v>6431</v>
      </c>
      <c r="L494" s="45" t="s">
        <v>6382</v>
      </c>
      <c r="M494" s="42" t="s">
        <v>6186</v>
      </c>
      <c r="N494" s="42" t="s">
        <v>6186</v>
      </c>
      <c r="O494" s="42" t="s">
        <v>6186</v>
      </c>
      <c r="P494" s="42" t="s">
        <v>6186</v>
      </c>
    </row>
    <row r="495" spans="1:16" ht="14.25" customHeight="1" x14ac:dyDescent="0.15">
      <c r="A495" s="42" t="s">
        <v>6222</v>
      </c>
      <c r="B495" s="40" t="s">
        <v>13</v>
      </c>
      <c r="C495" s="45" t="s">
        <v>6315</v>
      </c>
      <c r="D495" s="45" t="s">
        <v>6156</v>
      </c>
      <c r="E495" s="42" t="s">
        <v>6186</v>
      </c>
      <c r="F495" s="42" t="s">
        <v>6186</v>
      </c>
      <c r="G495" s="42" t="s">
        <v>6186</v>
      </c>
      <c r="H495" s="42" t="s">
        <v>6186</v>
      </c>
      <c r="I495" s="42" t="s">
        <v>6224</v>
      </c>
      <c r="J495" s="40" t="s">
        <v>16</v>
      </c>
      <c r="K495" s="44">
        <v>0.33124999998835802</v>
      </c>
      <c r="L495" s="42" t="s">
        <v>6551</v>
      </c>
      <c r="M495" s="42" t="s">
        <v>6186</v>
      </c>
      <c r="N495" s="42" t="s">
        <v>6186</v>
      </c>
      <c r="O495" s="42" t="s">
        <v>6186</v>
      </c>
      <c r="P495" s="42" t="s">
        <v>6186</v>
      </c>
    </row>
    <row r="496" spans="1:16" ht="14.25" customHeight="1" x14ac:dyDescent="0.15">
      <c r="A496" s="42" t="s">
        <v>6225</v>
      </c>
      <c r="B496" s="40" t="s">
        <v>15</v>
      </c>
      <c r="C496" s="45" t="s">
        <v>6317</v>
      </c>
      <c r="D496" s="45" t="s">
        <v>6377</v>
      </c>
      <c r="E496" s="42" t="s">
        <v>6186</v>
      </c>
      <c r="F496" s="42" t="s">
        <v>6186</v>
      </c>
      <c r="G496" s="42" t="s">
        <v>6186</v>
      </c>
      <c r="H496" s="42" t="s">
        <v>6186</v>
      </c>
      <c r="I496" s="42" t="s">
        <v>6227</v>
      </c>
      <c r="J496" s="40" t="s">
        <v>17</v>
      </c>
      <c r="K496" s="45" t="s">
        <v>6431</v>
      </c>
      <c r="L496" s="45" t="s">
        <v>6552</v>
      </c>
      <c r="M496" s="42" t="s">
        <v>6186</v>
      </c>
      <c r="N496" s="42" t="s">
        <v>6186</v>
      </c>
      <c r="O496" s="42" t="s">
        <v>6186</v>
      </c>
      <c r="P496" s="42" t="s">
        <v>6186</v>
      </c>
    </row>
    <row r="497" spans="1:16" ht="14.25" customHeight="1" x14ac:dyDescent="0.15">
      <c r="A497" s="42" t="s">
        <v>6228</v>
      </c>
      <c r="B497" s="40" t="s">
        <v>16</v>
      </c>
      <c r="C497" s="45" t="s">
        <v>6433</v>
      </c>
      <c r="D497" s="45" t="s">
        <v>6553</v>
      </c>
      <c r="E497" s="42" t="s">
        <v>6186</v>
      </c>
      <c r="F497" s="42" t="s">
        <v>6186</v>
      </c>
      <c r="G497" s="42" t="s">
        <v>6186</v>
      </c>
      <c r="H497" s="42" t="s">
        <v>6186</v>
      </c>
      <c r="I497" s="42" t="s">
        <v>6230</v>
      </c>
      <c r="J497" s="40" t="s">
        <v>18</v>
      </c>
      <c r="K497" s="45" t="s">
        <v>6317</v>
      </c>
      <c r="L497" s="45" t="s">
        <v>6377</v>
      </c>
      <c r="M497" s="42" t="s">
        <v>6186</v>
      </c>
      <c r="N497" s="42" t="s">
        <v>6186</v>
      </c>
      <c r="O497" s="42" t="s">
        <v>6186</v>
      </c>
      <c r="P497" s="42" t="s">
        <v>6186</v>
      </c>
    </row>
    <row r="498" spans="1:16" ht="14.25" customHeight="1" x14ac:dyDescent="0.15">
      <c r="A498" s="42" t="s">
        <v>6231</v>
      </c>
      <c r="B498" s="40" t="s">
        <v>17</v>
      </c>
      <c r="C498" s="45" t="s">
        <v>6433</v>
      </c>
      <c r="D498" s="45" t="s">
        <v>6397</v>
      </c>
      <c r="E498" s="42" t="s">
        <v>6186</v>
      </c>
      <c r="F498" s="42" t="s">
        <v>6186</v>
      </c>
      <c r="G498" s="42" t="s">
        <v>6186</v>
      </c>
      <c r="H498" s="42" t="s">
        <v>6186</v>
      </c>
      <c r="I498" s="42" t="s">
        <v>6234</v>
      </c>
      <c r="J498" s="40" t="s">
        <v>11</v>
      </c>
      <c r="K498" s="45" t="s">
        <v>6443</v>
      </c>
      <c r="L498" s="45" t="s">
        <v>6554</v>
      </c>
      <c r="M498" s="42" t="s">
        <v>6186</v>
      </c>
      <c r="N498" s="42" t="s">
        <v>6186</v>
      </c>
      <c r="O498" s="42" t="s">
        <v>6186</v>
      </c>
      <c r="P498" s="42" t="s">
        <v>6186</v>
      </c>
    </row>
    <row r="499" spans="1:16" ht="14.25" customHeight="1" x14ac:dyDescent="0.15">
      <c r="A499" s="42" t="s">
        <v>6235</v>
      </c>
      <c r="B499" s="40" t="s">
        <v>18</v>
      </c>
      <c r="C499" s="44">
        <v>0.32986111112404598</v>
      </c>
      <c r="D499" s="44">
        <v>0.74652777778101198</v>
      </c>
      <c r="E499" s="43" t="s">
        <v>6186</v>
      </c>
      <c r="F499" s="43" t="s">
        <v>6186</v>
      </c>
      <c r="G499" s="43" t="s">
        <v>6186</v>
      </c>
      <c r="H499" s="43" t="s">
        <v>6186</v>
      </c>
      <c r="I499" s="42" t="s">
        <v>12</v>
      </c>
      <c r="J499" s="42" t="s">
        <v>12</v>
      </c>
      <c r="K499" s="42" t="s">
        <v>12</v>
      </c>
      <c r="L499" s="42" t="s">
        <v>12</v>
      </c>
      <c r="M499" s="42" t="s">
        <v>12</v>
      </c>
      <c r="N499" s="42" t="s">
        <v>12</v>
      </c>
      <c r="O499" s="42" t="s">
        <v>12</v>
      </c>
      <c r="P499" s="42" t="s">
        <v>12</v>
      </c>
    </row>
    <row r="500" spans="1:16" ht="14.25" customHeight="1" x14ac:dyDescent="0.15">
      <c r="A500" s="35"/>
      <c r="C500" s="46"/>
      <c r="D500" s="46"/>
      <c r="E500" s="46"/>
      <c r="F500" s="46"/>
      <c r="G500" s="47"/>
      <c r="H500" s="47"/>
      <c r="I500" s="36"/>
      <c r="M500" s="131" t="s">
        <v>6237</v>
      </c>
      <c r="N500" s="131"/>
      <c r="O500" s="131"/>
      <c r="P500" s="131"/>
    </row>
    <row r="501" spans="1:16" ht="14.25" customHeight="1" x14ac:dyDescent="0.15">
      <c r="A501" s="34"/>
    </row>
    <row r="502" spans="1:16" ht="14.25" customHeight="1" x14ac:dyDescent="0.15">
      <c r="A502" s="34"/>
    </row>
    <row r="503" spans="1:16" ht="14.25" customHeight="1" x14ac:dyDescent="0.15">
      <c r="A503" s="35"/>
      <c r="B503" s="36"/>
    </row>
    <row r="504" spans="1:16" ht="14.25" customHeight="1" x14ac:dyDescent="0.15">
      <c r="A504" s="124" t="s">
        <v>6178</v>
      </c>
      <c r="B504" s="125"/>
      <c r="C504" s="125"/>
      <c r="D504" s="126"/>
      <c r="E504" s="124" t="s">
        <v>6555</v>
      </c>
      <c r="F504" s="125"/>
      <c r="G504" s="126"/>
      <c r="H504" s="124" t="s">
        <v>6556</v>
      </c>
      <c r="I504" s="126"/>
      <c r="J504" s="125" t="s">
        <v>6181</v>
      </c>
      <c r="K504" s="125"/>
      <c r="L504" s="126"/>
      <c r="M504" s="124" t="s">
        <v>6182</v>
      </c>
      <c r="N504" s="125"/>
      <c r="O504" s="125"/>
      <c r="P504" s="126"/>
    </row>
    <row r="505" spans="1:16" ht="14.25" customHeight="1" x14ac:dyDescent="0.15">
      <c r="A505" s="124" t="s">
        <v>6308</v>
      </c>
      <c r="B505" s="125"/>
      <c r="C505" s="125"/>
      <c r="D505" s="125"/>
      <c r="E505" s="125"/>
      <c r="F505" s="125"/>
      <c r="G505" s="125"/>
      <c r="H505" s="125"/>
      <c r="I505" s="125"/>
      <c r="J505" s="125"/>
      <c r="K505" s="125"/>
      <c r="L505" s="125"/>
      <c r="M505" s="125"/>
      <c r="N505" s="125"/>
      <c r="O505" s="125"/>
      <c r="P505" s="126"/>
    </row>
    <row r="506" spans="1:16" ht="14.25" customHeight="1" x14ac:dyDescent="0.15">
      <c r="A506" s="124" t="s">
        <v>6184</v>
      </c>
      <c r="B506" s="125"/>
      <c r="C506" s="125"/>
      <c r="D506" s="125"/>
      <c r="E506" s="125"/>
      <c r="F506" s="125"/>
      <c r="G506" s="125"/>
      <c r="H506" s="125"/>
      <c r="I506" s="125"/>
      <c r="J506" s="125"/>
      <c r="K506" s="125"/>
      <c r="L506" s="125"/>
      <c r="M506" s="125"/>
      <c r="N506" s="125"/>
      <c r="O506" s="125"/>
      <c r="P506" s="126"/>
    </row>
    <row r="507" spans="1:16" ht="14.25" customHeight="1" x14ac:dyDescent="0.15">
      <c r="A507" s="37"/>
      <c r="B507" s="38"/>
      <c r="C507" s="127" t="s">
        <v>4</v>
      </c>
      <c r="D507" s="128"/>
      <c r="E507" s="129" t="s">
        <v>5</v>
      </c>
      <c r="F507" s="130"/>
      <c r="G507" s="129" t="s">
        <v>6</v>
      </c>
      <c r="H507" s="130"/>
      <c r="I507" s="38"/>
      <c r="J507" s="38"/>
      <c r="K507" s="127" t="s">
        <v>4</v>
      </c>
      <c r="L507" s="128"/>
      <c r="M507" s="129" t="s">
        <v>5</v>
      </c>
      <c r="N507" s="130"/>
      <c r="O507" s="129" t="s">
        <v>6</v>
      </c>
      <c r="P507" s="130"/>
    </row>
    <row r="508" spans="1:16" ht="24" customHeight="1" x14ac:dyDescent="0.15">
      <c r="A508" s="39" t="s">
        <v>7</v>
      </c>
      <c r="B508" s="40" t="s">
        <v>8</v>
      </c>
      <c r="C508" s="41" t="s">
        <v>9</v>
      </c>
      <c r="D508" s="41" t="s">
        <v>10</v>
      </c>
      <c r="E508" s="41" t="s">
        <v>9</v>
      </c>
      <c r="F508" s="41" t="s">
        <v>10</v>
      </c>
      <c r="G508" s="41" t="s">
        <v>9</v>
      </c>
      <c r="H508" s="41" t="s">
        <v>10</v>
      </c>
      <c r="I508" s="48" t="s">
        <v>7</v>
      </c>
      <c r="J508" s="40" t="s">
        <v>8</v>
      </c>
      <c r="K508" s="41" t="s">
        <v>9</v>
      </c>
      <c r="L508" s="41" t="s">
        <v>10</v>
      </c>
      <c r="M508" s="41" t="s">
        <v>9</v>
      </c>
      <c r="N508" s="41" t="s">
        <v>10</v>
      </c>
      <c r="O508" s="41" t="s">
        <v>9</v>
      </c>
      <c r="P508" s="41" t="s">
        <v>10</v>
      </c>
    </row>
    <row r="509" spans="1:16" ht="14.25" customHeight="1" x14ac:dyDescent="0.15">
      <c r="A509" s="42" t="s">
        <v>6185</v>
      </c>
      <c r="B509" s="40" t="s">
        <v>17</v>
      </c>
      <c r="C509" s="42" t="s">
        <v>6186</v>
      </c>
      <c r="D509" s="42" t="s">
        <v>6186</v>
      </c>
      <c r="E509" s="42" t="s">
        <v>6186</v>
      </c>
      <c r="F509" s="42" t="s">
        <v>6186</v>
      </c>
      <c r="G509" s="42" t="s">
        <v>6186</v>
      </c>
      <c r="H509" s="42" t="s">
        <v>6186</v>
      </c>
      <c r="I509" s="42" t="s">
        <v>6187</v>
      </c>
      <c r="J509" s="40" t="s">
        <v>11</v>
      </c>
      <c r="K509" s="42" t="s">
        <v>6186</v>
      </c>
      <c r="L509" s="42" t="s">
        <v>6186</v>
      </c>
      <c r="M509" s="42" t="s">
        <v>6186</v>
      </c>
      <c r="N509" s="42" t="s">
        <v>6186</v>
      </c>
      <c r="O509" s="42" t="s">
        <v>6186</v>
      </c>
      <c r="P509" s="42" t="s">
        <v>6186</v>
      </c>
    </row>
    <row r="510" spans="1:16" ht="14.25" customHeight="1" x14ac:dyDescent="0.15">
      <c r="A510" s="42" t="s">
        <v>6190</v>
      </c>
      <c r="B510" s="40" t="s">
        <v>18</v>
      </c>
      <c r="C510" s="42" t="s">
        <v>6186</v>
      </c>
      <c r="D510" s="42" t="s">
        <v>6186</v>
      </c>
      <c r="E510" s="42" t="s">
        <v>6186</v>
      </c>
      <c r="F510" s="42" t="s">
        <v>6186</v>
      </c>
      <c r="G510" s="42" t="s">
        <v>6186</v>
      </c>
      <c r="H510" s="42" t="s">
        <v>6186</v>
      </c>
      <c r="I510" s="42" t="s">
        <v>6191</v>
      </c>
      <c r="J510" s="40" t="s">
        <v>14</v>
      </c>
      <c r="K510" s="42" t="s">
        <v>6186</v>
      </c>
      <c r="L510" s="42" t="s">
        <v>6186</v>
      </c>
      <c r="M510" s="42" t="s">
        <v>6186</v>
      </c>
      <c r="N510" s="42" t="s">
        <v>6186</v>
      </c>
      <c r="O510" s="42" t="s">
        <v>6186</v>
      </c>
      <c r="P510" s="42" t="s">
        <v>6186</v>
      </c>
    </row>
    <row r="511" spans="1:16" ht="14.25" customHeight="1" x14ac:dyDescent="0.15">
      <c r="A511" s="42" t="s">
        <v>6194</v>
      </c>
      <c r="B511" s="40" t="s">
        <v>11</v>
      </c>
      <c r="C511" s="42" t="s">
        <v>6186</v>
      </c>
      <c r="D511" s="42" t="s">
        <v>6186</v>
      </c>
      <c r="E511" s="42" t="s">
        <v>6186</v>
      </c>
      <c r="F511" s="42" t="s">
        <v>6186</v>
      </c>
      <c r="G511" s="42" t="s">
        <v>6186</v>
      </c>
      <c r="H511" s="42" t="s">
        <v>6186</v>
      </c>
      <c r="I511" s="42" t="s">
        <v>6195</v>
      </c>
      <c r="J511" s="40" t="s">
        <v>13</v>
      </c>
      <c r="K511" s="42" t="s">
        <v>6186</v>
      </c>
      <c r="L511" s="42" t="s">
        <v>6186</v>
      </c>
      <c r="M511" s="42" t="s">
        <v>6186</v>
      </c>
      <c r="N511" s="42" t="s">
        <v>6186</v>
      </c>
      <c r="O511" s="42" t="s">
        <v>6186</v>
      </c>
      <c r="P511" s="42" t="s">
        <v>6186</v>
      </c>
    </row>
    <row r="512" spans="1:16" ht="14.25" customHeight="1" x14ac:dyDescent="0.15">
      <c r="A512" s="42" t="s">
        <v>6198</v>
      </c>
      <c r="B512" s="40" t="s">
        <v>14</v>
      </c>
      <c r="C512" s="42" t="s">
        <v>6186</v>
      </c>
      <c r="D512" s="42" t="s">
        <v>6186</v>
      </c>
      <c r="E512" s="42" t="s">
        <v>6186</v>
      </c>
      <c r="F512" s="42" t="s">
        <v>6186</v>
      </c>
      <c r="G512" s="42" t="s">
        <v>6186</v>
      </c>
      <c r="H512" s="42" t="s">
        <v>6186</v>
      </c>
      <c r="I512" s="42" t="s">
        <v>6199</v>
      </c>
      <c r="J512" s="40" t="s">
        <v>15</v>
      </c>
      <c r="K512" s="42" t="s">
        <v>6186</v>
      </c>
      <c r="L512" s="42" t="s">
        <v>6186</v>
      </c>
      <c r="M512" s="42" t="s">
        <v>6186</v>
      </c>
      <c r="N512" s="42" t="s">
        <v>6186</v>
      </c>
      <c r="O512" s="42" t="s">
        <v>6186</v>
      </c>
      <c r="P512" s="42" t="s">
        <v>6186</v>
      </c>
    </row>
    <row r="513" spans="1:16" ht="14.25" customHeight="1" x14ac:dyDescent="0.15">
      <c r="A513" s="42" t="s">
        <v>6202</v>
      </c>
      <c r="B513" s="40" t="s">
        <v>13</v>
      </c>
      <c r="C513" s="42" t="s">
        <v>6186</v>
      </c>
      <c r="D513" s="42" t="s">
        <v>6186</v>
      </c>
      <c r="E513" s="42" t="s">
        <v>6186</v>
      </c>
      <c r="F513" s="42" t="s">
        <v>6186</v>
      </c>
      <c r="G513" s="42" t="s">
        <v>6186</v>
      </c>
      <c r="H513" s="42" t="s">
        <v>6186</v>
      </c>
      <c r="I513" s="42" t="s">
        <v>6203</v>
      </c>
      <c r="J513" s="40" t="s">
        <v>16</v>
      </c>
      <c r="K513" s="42" t="s">
        <v>6186</v>
      </c>
      <c r="L513" s="42" t="s">
        <v>6186</v>
      </c>
      <c r="M513" s="42" t="s">
        <v>6186</v>
      </c>
      <c r="N513" s="42" t="s">
        <v>6186</v>
      </c>
      <c r="O513" s="42" t="s">
        <v>6186</v>
      </c>
      <c r="P513" s="42" t="s">
        <v>6186</v>
      </c>
    </row>
    <row r="514" spans="1:16" ht="14.25" customHeight="1" x14ac:dyDescent="0.15">
      <c r="A514" s="42" t="s">
        <v>6204</v>
      </c>
      <c r="B514" s="40" t="s">
        <v>15</v>
      </c>
      <c r="C514" s="42" t="s">
        <v>6186</v>
      </c>
      <c r="D514" s="42" t="s">
        <v>6186</v>
      </c>
      <c r="E514" s="42" t="s">
        <v>6186</v>
      </c>
      <c r="F514" s="42" t="s">
        <v>6186</v>
      </c>
      <c r="G514" s="42" t="s">
        <v>6186</v>
      </c>
      <c r="H514" s="42" t="s">
        <v>6186</v>
      </c>
      <c r="I514" s="42" t="s">
        <v>6205</v>
      </c>
      <c r="J514" s="40" t="s">
        <v>17</v>
      </c>
      <c r="K514" s="42" t="s">
        <v>6186</v>
      </c>
      <c r="L514" s="42" t="s">
        <v>6186</v>
      </c>
      <c r="M514" s="42" t="s">
        <v>6186</v>
      </c>
      <c r="N514" s="42" t="s">
        <v>6186</v>
      </c>
      <c r="O514" s="42" t="s">
        <v>6186</v>
      </c>
      <c r="P514" s="42" t="s">
        <v>6186</v>
      </c>
    </row>
    <row r="515" spans="1:16" ht="14.25" customHeight="1" x14ac:dyDescent="0.15">
      <c r="A515" s="42" t="s">
        <v>6206</v>
      </c>
      <c r="B515" s="40" t="s">
        <v>16</v>
      </c>
      <c r="C515" s="42" t="s">
        <v>6186</v>
      </c>
      <c r="D515" s="42" t="s">
        <v>6186</v>
      </c>
      <c r="E515" s="42" t="s">
        <v>6186</v>
      </c>
      <c r="F515" s="42" t="s">
        <v>6186</v>
      </c>
      <c r="G515" s="42" t="s">
        <v>6186</v>
      </c>
      <c r="H515" s="42" t="s">
        <v>6186</v>
      </c>
      <c r="I515" s="42" t="s">
        <v>6207</v>
      </c>
      <c r="J515" s="40" t="s">
        <v>18</v>
      </c>
      <c r="K515" s="42" t="s">
        <v>6186</v>
      </c>
      <c r="L515" s="42" t="s">
        <v>6186</v>
      </c>
      <c r="M515" s="42" t="s">
        <v>6186</v>
      </c>
      <c r="N515" s="42" t="s">
        <v>6186</v>
      </c>
      <c r="O515" s="42" t="s">
        <v>6186</v>
      </c>
      <c r="P515" s="42" t="s">
        <v>6186</v>
      </c>
    </row>
    <row r="516" spans="1:16" ht="14.25" customHeight="1" x14ac:dyDescent="0.15">
      <c r="A516" s="42" t="s">
        <v>6208</v>
      </c>
      <c r="B516" s="40" t="s">
        <v>17</v>
      </c>
      <c r="C516" s="44">
        <v>0.322916666656965</v>
      </c>
      <c r="D516" s="44">
        <v>0.71249999999417901</v>
      </c>
      <c r="E516" s="43" t="s">
        <v>6186</v>
      </c>
      <c r="F516" s="43" t="s">
        <v>6186</v>
      </c>
      <c r="G516" s="43" t="s">
        <v>6186</v>
      </c>
      <c r="H516" s="43" t="s">
        <v>6186</v>
      </c>
      <c r="I516" s="42" t="s">
        <v>6211</v>
      </c>
      <c r="J516" s="40" t="s">
        <v>11</v>
      </c>
      <c r="K516" s="43" t="s">
        <v>6186</v>
      </c>
      <c r="L516" s="43" t="s">
        <v>6186</v>
      </c>
      <c r="M516" s="43" t="s">
        <v>6186</v>
      </c>
      <c r="N516" s="43" t="s">
        <v>6186</v>
      </c>
      <c r="O516" s="43" t="s">
        <v>6186</v>
      </c>
      <c r="P516" s="43" t="s">
        <v>6186</v>
      </c>
    </row>
    <row r="517" spans="1:16" ht="14.25" customHeight="1" x14ac:dyDescent="0.15">
      <c r="A517" s="42" t="s">
        <v>6212</v>
      </c>
      <c r="B517" s="40" t="s">
        <v>18</v>
      </c>
      <c r="C517" s="45" t="s">
        <v>6431</v>
      </c>
      <c r="D517" s="45" t="s">
        <v>6445</v>
      </c>
      <c r="E517" s="42" t="s">
        <v>6186</v>
      </c>
      <c r="F517" s="42" t="s">
        <v>6186</v>
      </c>
      <c r="G517" s="42" t="s">
        <v>6186</v>
      </c>
      <c r="H517" s="42" t="s">
        <v>6186</v>
      </c>
      <c r="I517" s="42" t="s">
        <v>6215</v>
      </c>
      <c r="J517" s="40" t="s">
        <v>14</v>
      </c>
      <c r="K517" s="42" t="s">
        <v>6186</v>
      </c>
      <c r="L517" s="42" t="s">
        <v>6186</v>
      </c>
      <c r="M517" s="42" t="s">
        <v>6186</v>
      </c>
      <c r="N517" s="42" t="s">
        <v>6186</v>
      </c>
      <c r="O517" s="42" t="s">
        <v>6186</v>
      </c>
      <c r="P517" s="42" t="s">
        <v>6186</v>
      </c>
    </row>
    <row r="518" spans="1:16" ht="14.25" customHeight="1" x14ac:dyDescent="0.15">
      <c r="A518" s="42" t="s">
        <v>6216</v>
      </c>
      <c r="B518" s="40" t="s">
        <v>11</v>
      </c>
      <c r="C518" s="42" t="s">
        <v>6330</v>
      </c>
      <c r="D518" s="42" t="s">
        <v>6331</v>
      </c>
      <c r="E518" s="42" t="s">
        <v>6186</v>
      </c>
      <c r="F518" s="42" t="s">
        <v>6186</v>
      </c>
      <c r="G518" s="42" t="s">
        <v>6186</v>
      </c>
      <c r="H518" s="42" t="s">
        <v>6186</v>
      </c>
      <c r="I518" s="42" t="s">
        <v>6219</v>
      </c>
      <c r="J518" s="40" t="s">
        <v>13</v>
      </c>
      <c r="K518" s="42" t="s">
        <v>6186</v>
      </c>
      <c r="L518" s="42" t="s">
        <v>6186</v>
      </c>
      <c r="M518" s="42" t="s">
        <v>6186</v>
      </c>
      <c r="N518" s="42" t="s">
        <v>6186</v>
      </c>
      <c r="O518" s="42" t="s">
        <v>6186</v>
      </c>
      <c r="P518" s="42" t="s">
        <v>6186</v>
      </c>
    </row>
    <row r="519" spans="1:16" ht="14.25" customHeight="1" x14ac:dyDescent="0.15">
      <c r="A519" s="42" t="s">
        <v>6220</v>
      </c>
      <c r="B519" s="40" t="s">
        <v>14</v>
      </c>
      <c r="C519" s="42" t="s">
        <v>6482</v>
      </c>
      <c r="D519" s="42" t="s">
        <v>6358</v>
      </c>
      <c r="E519" s="42" t="s">
        <v>6186</v>
      </c>
      <c r="F519" s="42" t="s">
        <v>6186</v>
      </c>
      <c r="G519" s="42" t="s">
        <v>6186</v>
      </c>
      <c r="H519" s="42" t="s">
        <v>6186</v>
      </c>
      <c r="I519" s="42" t="s">
        <v>6221</v>
      </c>
      <c r="J519" s="40" t="s">
        <v>15</v>
      </c>
      <c r="K519" s="42" t="s">
        <v>6186</v>
      </c>
      <c r="L519" s="42" t="s">
        <v>6186</v>
      </c>
      <c r="M519" s="42" t="s">
        <v>6186</v>
      </c>
      <c r="N519" s="42" t="s">
        <v>6186</v>
      </c>
      <c r="O519" s="42" t="s">
        <v>6186</v>
      </c>
      <c r="P519" s="42" t="s">
        <v>6186</v>
      </c>
    </row>
    <row r="520" spans="1:16" ht="14.25" customHeight="1" x14ac:dyDescent="0.15">
      <c r="A520" s="42" t="s">
        <v>6222</v>
      </c>
      <c r="B520" s="40" t="s">
        <v>13</v>
      </c>
      <c r="C520" s="42" t="s">
        <v>6186</v>
      </c>
      <c r="D520" s="42" t="s">
        <v>6186</v>
      </c>
      <c r="E520" s="42" t="s">
        <v>6186</v>
      </c>
      <c r="F520" s="42" t="s">
        <v>6186</v>
      </c>
      <c r="G520" s="42" t="s">
        <v>6186</v>
      </c>
      <c r="H520" s="42" t="s">
        <v>6186</v>
      </c>
      <c r="I520" s="42" t="s">
        <v>6224</v>
      </c>
      <c r="J520" s="40" t="s">
        <v>16</v>
      </c>
      <c r="K520" s="42" t="s">
        <v>6186</v>
      </c>
      <c r="L520" s="42" t="s">
        <v>6186</v>
      </c>
      <c r="M520" s="42" t="s">
        <v>6186</v>
      </c>
      <c r="N520" s="42" t="s">
        <v>6186</v>
      </c>
      <c r="O520" s="42" t="s">
        <v>6186</v>
      </c>
      <c r="P520" s="42" t="s">
        <v>6186</v>
      </c>
    </row>
    <row r="521" spans="1:16" ht="14.25" customHeight="1" x14ac:dyDescent="0.15">
      <c r="A521" s="42" t="s">
        <v>6225</v>
      </c>
      <c r="B521" s="40" t="s">
        <v>15</v>
      </c>
      <c r="C521" s="42" t="s">
        <v>6186</v>
      </c>
      <c r="D521" s="42" t="s">
        <v>6186</v>
      </c>
      <c r="E521" s="42" t="s">
        <v>6186</v>
      </c>
      <c r="F521" s="42" t="s">
        <v>6186</v>
      </c>
      <c r="G521" s="42" t="s">
        <v>6186</v>
      </c>
      <c r="H521" s="42" t="s">
        <v>6186</v>
      </c>
      <c r="I521" s="42" t="s">
        <v>6227</v>
      </c>
      <c r="J521" s="40" t="s">
        <v>17</v>
      </c>
      <c r="K521" s="42" t="s">
        <v>6186</v>
      </c>
      <c r="L521" s="42" t="s">
        <v>6186</v>
      </c>
      <c r="M521" s="42" t="s">
        <v>6186</v>
      </c>
      <c r="N521" s="42" t="s">
        <v>6186</v>
      </c>
      <c r="O521" s="42" t="s">
        <v>6186</v>
      </c>
      <c r="P521" s="42" t="s">
        <v>6186</v>
      </c>
    </row>
    <row r="522" spans="1:16" ht="14.25" customHeight="1" x14ac:dyDescent="0.15">
      <c r="A522" s="42" t="s">
        <v>6228</v>
      </c>
      <c r="B522" s="40" t="s">
        <v>16</v>
      </c>
      <c r="C522" s="42" t="s">
        <v>6186</v>
      </c>
      <c r="D522" s="42" t="s">
        <v>6186</v>
      </c>
      <c r="E522" s="42" t="s">
        <v>6186</v>
      </c>
      <c r="F522" s="42" t="s">
        <v>6186</v>
      </c>
      <c r="G522" s="42" t="s">
        <v>6186</v>
      </c>
      <c r="H522" s="42" t="s">
        <v>6186</v>
      </c>
      <c r="I522" s="42" t="s">
        <v>6230</v>
      </c>
      <c r="J522" s="40" t="s">
        <v>18</v>
      </c>
      <c r="K522" s="42" t="s">
        <v>6186</v>
      </c>
      <c r="L522" s="42" t="s">
        <v>6186</v>
      </c>
      <c r="M522" s="42" t="s">
        <v>6186</v>
      </c>
      <c r="N522" s="42" t="s">
        <v>6186</v>
      </c>
      <c r="O522" s="42" t="s">
        <v>6186</v>
      </c>
      <c r="P522" s="42" t="s">
        <v>6186</v>
      </c>
    </row>
    <row r="523" spans="1:16" ht="14.25" customHeight="1" x14ac:dyDescent="0.15">
      <c r="A523" s="42" t="s">
        <v>6231</v>
      </c>
      <c r="B523" s="40" t="s">
        <v>17</v>
      </c>
      <c r="C523" s="42" t="s">
        <v>6186</v>
      </c>
      <c r="D523" s="42" t="s">
        <v>6186</v>
      </c>
      <c r="E523" s="42" t="s">
        <v>6186</v>
      </c>
      <c r="F523" s="42" t="s">
        <v>6186</v>
      </c>
      <c r="G523" s="42" t="s">
        <v>6186</v>
      </c>
      <c r="H523" s="42" t="s">
        <v>6186</v>
      </c>
      <c r="I523" s="42" t="s">
        <v>6234</v>
      </c>
      <c r="J523" s="40" t="s">
        <v>11</v>
      </c>
      <c r="K523" s="42" t="s">
        <v>6186</v>
      </c>
      <c r="L523" s="42" t="s">
        <v>6186</v>
      </c>
      <c r="M523" s="42" t="s">
        <v>6186</v>
      </c>
      <c r="N523" s="42" t="s">
        <v>6186</v>
      </c>
      <c r="O523" s="42" t="s">
        <v>6186</v>
      </c>
      <c r="P523" s="42" t="s">
        <v>6186</v>
      </c>
    </row>
    <row r="524" spans="1:16" ht="14.25" customHeight="1" x14ac:dyDescent="0.15">
      <c r="A524" s="42" t="s">
        <v>6235</v>
      </c>
      <c r="B524" s="40" t="s">
        <v>18</v>
      </c>
      <c r="C524" s="42" t="s">
        <v>6186</v>
      </c>
      <c r="D524" s="42" t="s">
        <v>6186</v>
      </c>
      <c r="E524" s="42" t="s">
        <v>6186</v>
      </c>
      <c r="F524" s="42" t="s">
        <v>6186</v>
      </c>
      <c r="G524" s="42" t="s">
        <v>6186</v>
      </c>
      <c r="H524" s="42" t="s">
        <v>6186</v>
      </c>
      <c r="I524" s="42" t="s">
        <v>12</v>
      </c>
      <c r="J524" s="42" t="s">
        <v>12</v>
      </c>
      <c r="K524" s="42" t="s">
        <v>12</v>
      </c>
      <c r="L524" s="42" t="s">
        <v>12</v>
      </c>
      <c r="M524" s="42" t="s">
        <v>12</v>
      </c>
      <c r="N524" s="42" t="s">
        <v>12</v>
      </c>
      <c r="O524" s="42" t="s">
        <v>12</v>
      </c>
      <c r="P524" s="42" t="s">
        <v>12</v>
      </c>
    </row>
    <row r="525" spans="1:16" ht="14.25" customHeight="1" x14ac:dyDescent="0.15">
      <c r="A525" s="35"/>
      <c r="C525" s="46"/>
      <c r="D525" s="46"/>
      <c r="E525" s="46"/>
      <c r="F525" s="46"/>
      <c r="G525" s="47"/>
      <c r="H525" s="47"/>
      <c r="I525" s="36"/>
      <c r="M525" s="131" t="s">
        <v>6237</v>
      </c>
      <c r="N525" s="131"/>
      <c r="O525" s="131"/>
      <c r="P525" s="131"/>
    </row>
    <row r="526" spans="1:16" ht="14.25" customHeight="1" x14ac:dyDescent="0.15">
      <c r="A526" s="34"/>
    </row>
    <row r="527" spans="1:16" ht="14.25" customHeight="1" x14ac:dyDescent="0.15">
      <c r="A527" s="34"/>
    </row>
    <row r="528" spans="1:16" ht="14.25" customHeight="1" x14ac:dyDescent="0.15">
      <c r="A528" s="35"/>
      <c r="B528" s="36"/>
    </row>
    <row r="529" spans="1:16" ht="14.25" customHeight="1" x14ac:dyDescent="0.15">
      <c r="A529" s="124" t="s">
        <v>6178</v>
      </c>
      <c r="B529" s="125"/>
      <c r="C529" s="125"/>
      <c r="D529" s="126"/>
      <c r="E529" s="124" t="s">
        <v>6557</v>
      </c>
      <c r="F529" s="125"/>
      <c r="G529" s="126"/>
      <c r="H529" s="124" t="s">
        <v>6558</v>
      </c>
      <c r="I529" s="126"/>
      <c r="J529" s="125" t="s">
        <v>6181</v>
      </c>
      <c r="K529" s="125"/>
      <c r="L529" s="126"/>
      <c r="M529" s="124" t="s">
        <v>6182</v>
      </c>
      <c r="N529" s="125"/>
      <c r="O529" s="125"/>
      <c r="P529" s="126"/>
    </row>
    <row r="530" spans="1:16" ht="14.25" customHeight="1" x14ac:dyDescent="0.15">
      <c r="A530" s="124" t="s">
        <v>6559</v>
      </c>
      <c r="B530" s="125"/>
      <c r="C530" s="125"/>
      <c r="D530" s="125"/>
      <c r="E530" s="125"/>
      <c r="F530" s="125"/>
      <c r="G530" s="125"/>
      <c r="H530" s="125"/>
      <c r="I530" s="125"/>
      <c r="J530" s="125"/>
      <c r="K530" s="125"/>
      <c r="L530" s="125"/>
      <c r="M530" s="125"/>
      <c r="N530" s="125"/>
      <c r="O530" s="125"/>
      <c r="P530" s="126"/>
    </row>
    <row r="531" spans="1:16" ht="14.25" customHeight="1" x14ac:dyDescent="0.15">
      <c r="A531" s="124" t="s">
        <v>6184</v>
      </c>
      <c r="B531" s="125"/>
      <c r="C531" s="125"/>
      <c r="D531" s="125"/>
      <c r="E531" s="125"/>
      <c r="F531" s="125"/>
      <c r="G531" s="125"/>
      <c r="H531" s="125"/>
      <c r="I531" s="125"/>
      <c r="J531" s="125"/>
      <c r="K531" s="125"/>
      <c r="L531" s="125"/>
      <c r="M531" s="125"/>
      <c r="N531" s="125"/>
      <c r="O531" s="125"/>
      <c r="P531" s="126"/>
    </row>
    <row r="532" spans="1:16" ht="14.25" customHeight="1" x14ac:dyDescent="0.15">
      <c r="A532" s="37"/>
      <c r="B532" s="38"/>
      <c r="C532" s="127" t="s">
        <v>4</v>
      </c>
      <c r="D532" s="128"/>
      <c r="E532" s="129" t="s">
        <v>5</v>
      </c>
      <c r="F532" s="130"/>
      <c r="G532" s="129" t="s">
        <v>6</v>
      </c>
      <c r="H532" s="130"/>
      <c r="I532" s="38"/>
      <c r="J532" s="38"/>
      <c r="K532" s="127" t="s">
        <v>4</v>
      </c>
      <c r="L532" s="128"/>
      <c r="M532" s="129" t="s">
        <v>5</v>
      </c>
      <c r="N532" s="130"/>
      <c r="O532" s="129" t="s">
        <v>6</v>
      </c>
      <c r="P532" s="130"/>
    </row>
    <row r="533" spans="1:16" ht="24" customHeight="1" x14ac:dyDescent="0.15">
      <c r="A533" s="39" t="s">
        <v>7</v>
      </c>
      <c r="B533" s="40" t="s">
        <v>8</v>
      </c>
      <c r="C533" s="41" t="s">
        <v>9</v>
      </c>
      <c r="D533" s="41" t="s">
        <v>10</v>
      </c>
      <c r="E533" s="41" t="s">
        <v>9</v>
      </c>
      <c r="F533" s="41" t="s">
        <v>10</v>
      </c>
      <c r="G533" s="41" t="s">
        <v>9</v>
      </c>
      <c r="H533" s="41" t="s">
        <v>10</v>
      </c>
      <c r="I533" s="48" t="s">
        <v>7</v>
      </c>
      <c r="J533" s="40" t="s">
        <v>8</v>
      </c>
      <c r="K533" s="41" t="s">
        <v>9</v>
      </c>
      <c r="L533" s="41" t="s">
        <v>10</v>
      </c>
      <c r="M533" s="41" t="s">
        <v>9</v>
      </c>
      <c r="N533" s="41" t="s">
        <v>10</v>
      </c>
      <c r="O533" s="41" t="s">
        <v>9</v>
      </c>
      <c r="P533" s="41" t="s">
        <v>10</v>
      </c>
    </row>
    <row r="534" spans="1:16" ht="14.25" customHeight="1" x14ac:dyDescent="0.15">
      <c r="A534" s="42" t="s">
        <v>6185</v>
      </c>
      <c r="B534" s="40" t="s">
        <v>17</v>
      </c>
      <c r="C534" s="42" t="s">
        <v>6186</v>
      </c>
      <c r="D534" s="42" t="s">
        <v>6186</v>
      </c>
      <c r="E534" s="42" t="s">
        <v>6186</v>
      </c>
      <c r="F534" s="42" t="s">
        <v>6186</v>
      </c>
      <c r="G534" s="42" t="s">
        <v>6186</v>
      </c>
      <c r="H534" s="42" t="s">
        <v>6186</v>
      </c>
      <c r="I534" s="42" t="s">
        <v>6187</v>
      </c>
      <c r="J534" s="40" t="s">
        <v>11</v>
      </c>
      <c r="K534" s="42" t="s">
        <v>6378</v>
      </c>
      <c r="L534" s="42" t="s">
        <v>6481</v>
      </c>
      <c r="M534" s="42" t="s">
        <v>6186</v>
      </c>
      <c r="N534" s="42" t="s">
        <v>6186</v>
      </c>
      <c r="O534" s="42" t="s">
        <v>6186</v>
      </c>
      <c r="P534" s="42" t="s">
        <v>6186</v>
      </c>
    </row>
    <row r="535" spans="1:16" ht="14.25" customHeight="1" x14ac:dyDescent="0.15">
      <c r="A535" s="42" t="s">
        <v>6190</v>
      </c>
      <c r="B535" s="40" t="s">
        <v>18</v>
      </c>
      <c r="C535" s="42" t="s">
        <v>6186</v>
      </c>
      <c r="D535" s="42" t="s">
        <v>6186</v>
      </c>
      <c r="E535" s="42" t="s">
        <v>6186</v>
      </c>
      <c r="F535" s="42" t="s">
        <v>6186</v>
      </c>
      <c r="G535" s="42" t="s">
        <v>6186</v>
      </c>
      <c r="H535" s="42" t="s">
        <v>6186</v>
      </c>
      <c r="I535" s="42" t="s">
        <v>6191</v>
      </c>
      <c r="J535" s="40" t="s">
        <v>14</v>
      </c>
      <c r="K535" s="42" t="s">
        <v>6378</v>
      </c>
      <c r="L535" s="42" t="s">
        <v>6560</v>
      </c>
      <c r="M535" s="42" t="s">
        <v>6186</v>
      </c>
      <c r="N535" s="42" t="s">
        <v>6186</v>
      </c>
      <c r="O535" s="42" t="s">
        <v>6186</v>
      </c>
      <c r="P535" s="42" t="s">
        <v>6186</v>
      </c>
    </row>
    <row r="536" spans="1:16" ht="14.25" customHeight="1" x14ac:dyDescent="0.15">
      <c r="A536" s="42" t="s">
        <v>6194</v>
      </c>
      <c r="B536" s="40" t="s">
        <v>11</v>
      </c>
      <c r="C536" s="42" t="s">
        <v>6186</v>
      </c>
      <c r="D536" s="42" t="s">
        <v>6186</v>
      </c>
      <c r="E536" s="42" t="s">
        <v>6186</v>
      </c>
      <c r="F536" s="42" t="s">
        <v>6186</v>
      </c>
      <c r="G536" s="42" t="s">
        <v>6186</v>
      </c>
      <c r="H536" s="42" t="s">
        <v>6186</v>
      </c>
      <c r="I536" s="42" t="s">
        <v>6195</v>
      </c>
      <c r="J536" s="40" t="s">
        <v>13</v>
      </c>
      <c r="K536" s="42" t="s">
        <v>6317</v>
      </c>
      <c r="L536" s="42" t="s">
        <v>6561</v>
      </c>
      <c r="M536" s="42" t="s">
        <v>6186</v>
      </c>
      <c r="N536" s="42" t="s">
        <v>6186</v>
      </c>
      <c r="O536" s="42" t="s">
        <v>6186</v>
      </c>
      <c r="P536" s="42" t="s">
        <v>6186</v>
      </c>
    </row>
    <row r="537" spans="1:16" ht="14.25" customHeight="1" x14ac:dyDescent="0.15">
      <c r="A537" s="42" t="s">
        <v>6198</v>
      </c>
      <c r="B537" s="40" t="s">
        <v>14</v>
      </c>
      <c r="C537" s="42" t="s">
        <v>6186</v>
      </c>
      <c r="D537" s="42" t="s">
        <v>6186</v>
      </c>
      <c r="E537" s="42" t="s">
        <v>6186</v>
      </c>
      <c r="F537" s="42" t="s">
        <v>6186</v>
      </c>
      <c r="G537" s="42" t="s">
        <v>6186</v>
      </c>
      <c r="H537" s="42" t="s">
        <v>6186</v>
      </c>
      <c r="I537" s="42" t="s">
        <v>6199</v>
      </c>
      <c r="J537" s="40" t="s">
        <v>15</v>
      </c>
      <c r="K537" s="42" t="s">
        <v>6433</v>
      </c>
      <c r="L537" s="42" t="s">
        <v>6562</v>
      </c>
      <c r="M537" s="42" t="s">
        <v>6186</v>
      </c>
      <c r="N537" s="42" t="s">
        <v>6186</v>
      </c>
      <c r="O537" s="42" t="s">
        <v>6186</v>
      </c>
      <c r="P537" s="42" t="s">
        <v>6186</v>
      </c>
    </row>
    <row r="538" spans="1:16" ht="14.25" customHeight="1" x14ac:dyDescent="0.15">
      <c r="A538" s="42" t="s">
        <v>6202</v>
      </c>
      <c r="B538" s="40" t="s">
        <v>13</v>
      </c>
      <c r="C538" s="42" t="s">
        <v>6186</v>
      </c>
      <c r="D538" s="42" t="s">
        <v>6186</v>
      </c>
      <c r="E538" s="42" t="s">
        <v>6186</v>
      </c>
      <c r="F538" s="42" t="s">
        <v>6186</v>
      </c>
      <c r="G538" s="42" t="s">
        <v>6186</v>
      </c>
      <c r="H538" s="42" t="s">
        <v>6186</v>
      </c>
      <c r="I538" s="42" t="s">
        <v>6203</v>
      </c>
      <c r="J538" s="40" t="s">
        <v>16</v>
      </c>
      <c r="K538" s="42" t="s">
        <v>6330</v>
      </c>
      <c r="L538" s="42" t="s">
        <v>6563</v>
      </c>
      <c r="M538" s="42" t="s">
        <v>6186</v>
      </c>
      <c r="N538" s="42" t="s">
        <v>6186</v>
      </c>
      <c r="O538" s="42" t="s">
        <v>6186</v>
      </c>
      <c r="P538" s="42" t="s">
        <v>6186</v>
      </c>
    </row>
    <row r="539" spans="1:16" ht="14.25" customHeight="1" x14ac:dyDescent="0.15">
      <c r="A539" s="42" t="s">
        <v>6204</v>
      </c>
      <c r="B539" s="40" t="s">
        <v>15</v>
      </c>
      <c r="C539" s="42" t="s">
        <v>6186</v>
      </c>
      <c r="D539" s="42" t="s">
        <v>6186</v>
      </c>
      <c r="E539" s="42" t="s">
        <v>6186</v>
      </c>
      <c r="F539" s="42" t="s">
        <v>6186</v>
      </c>
      <c r="G539" s="42" t="s">
        <v>6186</v>
      </c>
      <c r="H539" s="42" t="s">
        <v>6186</v>
      </c>
      <c r="I539" s="42" t="s">
        <v>6205</v>
      </c>
      <c r="J539" s="40" t="s">
        <v>17</v>
      </c>
      <c r="K539" s="42" t="s">
        <v>6315</v>
      </c>
      <c r="L539" s="42" t="s">
        <v>6226</v>
      </c>
      <c r="M539" s="42" t="s">
        <v>6186</v>
      </c>
      <c r="N539" s="42" t="s">
        <v>6186</v>
      </c>
      <c r="O539" s="42" t="s">
        <v>6186</v>
      </c>
      <c r="P539" s="42" t="s">
        <v>6186</v>
      </c>
    </row>
    <row r="540" spans="1:16" ht="14.25" customHeight="1" x14ac:dyDescent="0.15">
      <c r="A540" s="42" t="s">
        <v>6206</v>
      </c>
      <c r="B540" s="40" t="s">
        <v>16</v>
      </c>
      <c r="C540" s="42" t="s">
        <v>6186</v>
      </c>
      <c r="D540" s="42" t="s">
        <v>6186</v>
      </c>
      <c r="E540" s="42" t="s">
        <v>6186</v>
      </c>
      <c r="F540" s="42" t="s">
        <v>6186</v>
      </c>
      <c r="G540" s="42" t="s">
        <v>6186</v>
      </c>
      <c r="H540" s="42" t="s">
        <v>6186</v>
      </c>
      <c r="I540" s="42" t="s">
        <v>6207</v>
      </c>
      <c r="J540" s="40" t="s">
        <v>18</v>
      </c>
      <c r="K540" s="42" t="s">
        <v>6483</v>
      </c>
      <c r="L540" s="42" t="s">
        <v>6214</v>
      </c>
      <c r="M540" s="42" t="s">
        <v>6186</v>
      </c>
      <c r="N540" s="42" t="s">
        <v>6186</v>
      </c>
      <c r="O540" s="42" t="s">
        <v>6186</v>
      </c>
      <c r="P540" s="42" t="s">
        <v>6186</v>
      </c>
    </row>
    <row r="541" spans="1:16" ht="14.25" customHeight="1" x14ac:dyDescent="0.15">
      <c r="A541" s="42" t="s">
        <v>6208</v>
      </c>
      <c r="B541" s="40" t="s">
        <v>17</v>
      </c>
      <c r="C541" s="44">
        <v>0.32569444444379803</v>
      </c>
      <c r="D541" s="44">
        <v>0.71944444443215605</v>
      </c>
      <c r="E541" s="43" t="s">
        <v>6186</v>
      </c>
      <c r="F541" s="43" t="s">
        <v>6186</v>
      </c>
      <c r="G541" s="43" t="s">
        <v>6186</v>
      </c>
      <c r="H541" s="43" t="s">
        <v>6186</v>
      </c>
      <c r="I541" s="42" t="s">
        <v>6211</v>
      </c>
      <c r="J541" s="40" t="s">
        <v>11</v>
      </c>
      <c r="K541" s="42" t="s">
        <v>6433</v>
      </c>
      <c r="L541" s="42" t="s">
        <v>6318</v>
      </c>
      <c r="M541" s="42" t="s">
        <v>6186</v>
      </c>
      <c r="N541" s="42" t="s">
        <v>6186</v>
      </c>
      <c r="O541" s="42" t="s">
        <v>6186</v>
      </c>
      <c r="P541" s="42" t="s">
        <v>6186</v>
      </c>
    </row>
    <row r="542" spans="1:16" ht="14.25" customHeight="1" x14ac:dyDescent="0.15">
      <c r="A542" s="42" t="s">
        <v>6212</v>
      </c>
      <c r="B542" s="40" t="s">
        <v>18</v>
      </c>
      <c r="C542" s="42"/>
      <c r="D542" s="42"/>
      <c r="E542" s="42" t="s">
        <v>6186</v>
      </c>
      <c r="F542" s="42" t="s">
        <v>6186</v>
      </c>
      <c r="G542" s="42" t="s">
        <v>6186</v>
      </c>
      <c r="H542" s="42" t="s">
        <v>6186</v>
      </c>
      <c r="I542" s="42" t="s">
        <v>6215</v>
      </c>
      <c r="J542" s="40" t="s">
        <v>14</v>
      </c>
      <c r="K542" s="42" t="s">
        <v>6330</v>
      </c>
      <c r="L542" s="42" t="s">
        <v>6564</v>
      </c>
      <c r="M542" s="42" t="s">
        <v>6186</v>
      </c>
      <c r="N542" s="42" t="s">
        <v>6186</v>
      </c>
      <c r="O542" s="42" t="s">
        <v>6186</v>
      </c>
      <c r="P542" s="42" t="s">
        <v>6186</v>
      </c>
    </row>
    <row r="543" spans="1:16" ht="14.25" customHeight="1" x14ac:dyDescent="0.15">
      <c r="A543" s="42" t="s">
        <v>6216</v>
      </c>
      <c r="B543" s="40" t="s">
        <v>11</v>
      </c>
      <c r="C543" s="42" t="s">
        <v>6330</v>
      </c>
      <c r="D543" s="42" t="s">
        <v>6476</v>
      </c>
      <c r="E543" s="42" t="s">
        <v>6186</v>
      </c>
      <c r="F543" s="42" t="s">
        <v>6186</v>
      </c>
      <c r="G543" s="42" t="s">
        <v>6186</v>
      </c>
      <c r="H543" s="42" t="s">
        <v>6186</v>
      </c>
      <c r="I543" s="42" t="s">
        <v>6219</v>
      </c>
      <c r="J543" s="40" t="s">
        <v>13</v>
      </c>
      <c r="K543" s="42" t="s">
        <v>6340</v>
      </c>
      <c r="L543" s="42" t="s">
        <v>6477</v>
      </c>
      <c r="M543" s="42" t="s">
        <v>6186</v>
      </c>
      <c r="N543" s="42" t="s">
        <v>6186</v>
      </c>
      <c r="O543" s="42" t="s">
        <v>6186</v>
      </c>
      <c r="P543" s="42" t="s">
        <v>6186</v>
      </c>
    </row>
    <row r="544" spans="1:16" ht="14.25" customHeight="1" x14ac:dyDescent="0.15">
      <c r="A544" s="42" t="s">
        <v>6220</v>
      </c>
      <c r="B544" s="40" t="s">
        <v>14</v>
      </c>
      <c r="C544" s="42" t="s">
        <v>6315</v>
      </c>
      <c r="D544" s="42" t="s">
        <v>6115</v>
      </c>
      <c r="E544" s="42" t="s">
        <v>6186</v>
      </c>
      <c r="F544" s="42" t="s">
        <v>6186</v>
      </c>
      <c r="G544" s="42" t="s">
        <v>6186</v>
      </c>
      <c r="H544" s="42" t="s">
        <v>6186</v>
      </c>
      <c r="I544" s="42" t="s">
        <v>6221</v>
      </c>
      <c r="J544" s="40" t="s">
        <v>15</v>
      </c>
      <c r="K544" s="42" t="s">
        <v>6565</v>
      </c>
      <c r="L544" s="42" t="s">
        <v>6566</v>
      </c>
      <c r="M544" s="42" t="s">
        <v>6186</v>
      </c>
      <c r="N544" s="42" t="s">
        <v>6186</v>
      </c>
      <c r="O544" s="42" t="s">
        <v>6186</v>
      </c>
      <c r="P544" s="42" t="s">
        <v>6186</v>
      </c>
    </row>
    <row r="545" spans="1:16" ht="14.25" customHeight="1" x14ac:dyDescent="0.15">
      <c r="A545" s="42" t="s">
        <v>6222</v>
      </c>
      <c r="B545" s="40" t="s">
        <v>13</v>
      </c>
      <c r="C545" s="42" t="s">
        <v>6483</v>
      </c>
      <c r="D545" s="42" t="s">
        <v>6567</v>
      </c>
      <c r="E545" s="42" t="s">
        <v>6186</v>
      </c>
      <c r="F545" s="42" t="s">
        <v>6186</v>
      </c>
      <c r="G545" s="42" t="s">
        <v>6186</v>
      </c>
      <c r="H545" s="42" t="s">
        <v>6186</v>
      </c>
      <c r="I545" s="42" t="s">
        <v>6224</v>
      </c>
      <c r="J545" s="40" t="s">
        <v>16</v>
      </c>
      <c r="K545" s="42" t="s">
        <v>6378</v>
      </c>
      <c r="L545" s="42" t="s">
        <v>6568</v>
      </c>
      <c r="M545" s="42" t="s">
        <v>6186</v>
      </c>
      <c r="N545" s="42" t="s">
        <v>6186</v>
      </c>
      <c r="O545" s="42" t="s">
        <v>6186</v>
      </c>
      <c r="P545" s="42" t="s">
        <v>6186</v>
      </c>
    </row>
    <row r="546" spans="1:16" ht="14.25" customHeight="1" x14ac:dyDescent="0.15">
      <c r="A546" s="42" t="s">
        <v>6225</v>
      </c>
      <c r="B546" s="40" t="s">
        <v>15</v>
      </c>
      <c r="C546" s="42" t="s">
        <v>6433</v>
      </c>
      <c r="D546" s="42" t="s">
        <v>6226</v>
      </c>
      <c r="E546" s="42" t="s">
        <v>6186</v>
      </c>
      <c r="F546" s="42" t="s">
        <v>6186</v>
      </c>
      <c r="G546" s="42" t="s">
        <v>6186</v>
      </c>
      <c r="H546" s="42" t="s">
        <v>6186</v>
      </c>
      <c r="I546" s="42" t="s">
        <v>6227</v>
      </c>
      <c r="J546" s="40" t="s">
        <v>17</v>
      </c>
      <c r="K546" s="42" t="s">
        <v>6483</v>
      </c>
      <c r="L546" s="42" t="s">
        <v>6569</v>
      </c>
      <c r="M546" s="42" t="s">
        <v>6186</v>
      </c>
      <c r="N546" s="42" t="s">
        <v>6186</v>
      </c>
      <c r="O546" s="42" t="s">
        <v>6186</v>
      </c>
      <c r="P546" s="42" t="s">
        <v>6186</v>
      </c>
    </row>
    <row r="547" spans="1:16" ht="14.25" customHeight="1" x14ac:dyDescent="0.15">
      <c r="A547" s="42" t="s">
        <v>6228</v>
      </c>
      <c r="B547" s="40" t="s">
        <v>16</v>
      </c>
      <c r="C547" s="42" t="s">
        <v>6330</v>
      </c>
      <c r="D547" s="42" t="s">
        <v>6214</v>
      </c>
      <c r="E547" s="42" t="s">
        <v>6186</v>
      </c>
      <c r="F547" s="42" t="s">
        <v>6186</v>
      </c>
      <c r="G547" s="42" t="s">
        <v>6186</v>
      </c>
      <c r="H547" s="42" t="s">
        <v>6186</v>
      </c>
      <c r="I547" s="42" t="s">
        <v>6230</v>
      </c>
      <c r="J547" s="40" t="s">
        <v>18</v>
      </c>
      <c r="K547" s="42" t="s">
        <v>6433</v>
      </c>
      <c r="L547" s="42" t="s">
        <v>6566</v>
      </c>
      <c r="M547" s="42" t="s">
        <v>6186</v>
      </c>
      <c r="N547" s="42" t="s">
        <v>6186</v>
      </c>
      <c r="O547" s="42" t="s">
        <v>6186</v>
      </c>
      <c r="P547" s="42" t="s">
        <v>6186</v>
      </c>
    </row>
    <row r="548" spans="1:16" ht="14.25" customHeight="1" x14ac:dyDescent="0.15">
      <c r="A548" s="42" t="s">
        <v>6231</v>
      </c>
      <c r="B548" s="40" t="s">
        <v>17</v>
      </c>
      <c r="C548" s="42" t="s">
        <v>6340</v>
      </c>
      <c r="D548" s="42" t="s">
        <v>6318</v>
      </c>
      <c r="E548" s="42" t="s">
        <v>6186</v>
      </c>
      <c r="F548" s="42" t="s">
        <v>6186</v>
      </c>
      <c r="G548" s="42" t="s">
        <v>6186</v>
      </c>
      <c r="H548" s="42" t="s">
        <v>6186</v>
      </c>
      <c r="I548" s="42" t="s">
        <v>6234</v>
      </c>
      <c r="J548" s="40" t="s">
        <v>11</v>
      </c>
      <c r="K548" s="42" t="s">
        <v>6330</v>
      </c>
      <c r="L548" s="42" t="s">
        <v>6568</v>
      </c>
      <c r="M548" s="42" t="s">
        <v>6186</v>
      </c>
      <c r="N548" s="42" t="s">
        <v>6186</v>
      </c>
      <c r="O548" s="42" t="s">
        <v>6186</v>
      </c>
      <c r="P548" s="42" t="s">
        <v>6186</v>
      </c>
    </row>
    <row r="549" spans="1:16" ht="14.25" customHeight="1" x14ac:dyDescent="0.15">
      <c r="A549" s="42" t="s">
        <v>6235</v>
      </c>
      <c r="B549" s="40" t="s">
        <v>18</v>
      </c>
      <c r="C549" s="42" t="s">
        <v>6565</v>
      </c>
      <c r="D549" s="42" t="s">
        <v>6564</v>
      </c>
      <c r="E549" s="42" t="s">
        <v>6186</v>
      </c>
      <c r="F549" s="42" t="s">
        <v>6186</v>
      </c>
      <c r="G549" s="42" t="s">
        <v>6186</v>
      </c>
      <c r="H549" s="42" t="s">
        <v>6186</v>
      </c>
      <c r="I549" s="42" t="s">
        <v>12</v>
      </c>
      <c r="J549" s="42" t="s">
        <v>12</v>
      </c>
      <c r="K549" s="42" t="s">
        <v>12</v>
      </c>
      <c r="L549" s="42" t="s">
        <v>12</v>
      </c>
      <c r="M549" s="42" t="s">
        <v>12</v>
      </c>
      <c r="N549" s="42" t="s">
        <v>12</v>
      </c>
      <c r="O549" s="42" t="s">
        <v>12</v>
      </c>
      <c r="P549" s="42" t="s">
        <v>12</v>
      </c>
    </row>
    <row r="550" spans="1:16" ht="14.25" customHeight="1" x14ac:dyDescent="0.15">
      <c r="A550" s="35"/>
      <c r="C550" s="46"/>
      <c r="D550" s="46"/>
      <c r="E550" s="46"/>
      <c r="F550" s="46"/>
      <c r="G550" s="47"/>
      <c r="H550" s="47"/>
      <c r="I550" s="36"/>
      <c r="M550" s="131" t="s">
        <v>6237</v>
      </c>
      <c r="N550" s="131"/>
      <c r="O550" s="131"/>
      <c r="P550" s="131"/>
    </row>
    <row r="551" spans="1:16" ht="14.25" customHeight="1" x14ac:dyDescent="0.15">
      <c r="A551" s="34"/>
    </row>
    <row r="552" spans="1:16" ht="14.25" customHeight="1" x14ac:dyDescent="0.15">
      <c r="A552" s="34"/>
    </row>
    <row r="553" spans="1:16" ht="14.25" customHeight="1" x14ac:dyDescent="0.15">
      <c r="A553" s="35"/>
      <c r="B553" s="36"/>
    </row>
    <row r="554" spans="1:16" ht="14.25" customHeight="1" x14ac:dyDescent="0.15">
      <c r="A554" s="124" t="s">
        <v>6178</v>
      </c>
      <c r="B554" s="125"/>
      <c r="C554" s="125"/>
      <c r="D554" s="126"/>
      <c r="E554" s="124" t="s">
        <v>6570</v>
      </c>
      <c r="F554" s="125"/>
      <c r="G554" s="126"/>
      <c r="H554" s="124" t="s">
        <v>6571</v>
      </c>
      <c r="I554" s="126"/>
      <c r="J554" s="125" t="s">
        <v>6181</v>
      </c>
      <c r="K554" s="125"/>
      <c r="L554" s="126"/>
      <c r="M554" s="124" t="s">
        <v>6182</v>
      </c>
      <c r="N554" s="125"/>
      <c r="O554" s="125"/>
      <c r="P554" s="126"/>
    </row>
    <row r="555" spans="1:16" ht="14.25" customHeight="1" x14ac:dyDescent="0.15">
      <c r="A555" s="124" t="s">
        <v>6462</v>
      </c>
      <c r="B555" s="125"/>
      <c r="C555" s="125"/>
      <c r="D555" s="125"/>
      <c r="E555" s="125"/>
      <c r="F555" s="125"/>
      <c r="G555" s="125"/>
      <c r="H555" s="125"/>
      <c r="I555" s="125"/>
      <c r="J555" s="125"/>
      <c r="K555" s="125"/>
      <c r="L555" s="125"/>
      <c r="M555" s="125"/>
      <c r="N555" s="125"/>
      <c r="O555" s="125"/>
      <c r="P555" s="126"/>
    </row>
    <row r="556" spans="1:16" ht="14.25" customHeight="1" x14ac:dyDescent="0.15">
      <c r="A556" s="124" t="s">
        <v>6184</v>
      </c>
      <c r="B556" s="125"/>
      <c r="C556" s="125"/>
      <c r="D556" s="125"/>
      <c r="E556" s="125"/>
      <c r="F556" s="125"/>
      <c r="G556" s="125"/>
      <c r="H556" s="125"/>
      <c r="I556" s="125"/>
      <c r="J556" s="125"/>
      <c r="K556" s="125"/>
      <c r="L556" s="125"/>
      <c r="M556" s="125"/>
      <c r="N556" s="125"/>
      <c r="O556" s="125"/>
      <c r="P556" s="126"/>
    </row>
    <row r="557" spans="1:16" ht="14.25" customHeight="1" x14ac:dyDescent="0.15">
      <c r="A557" s="37"/>
      <c r="B557" s="38"/>
      <c r="C557" s="127" t="s">
        <v>4</v>
      </c>
      <c r="D557" s="128"/>
      <c r="E557" s="129" t="s">
        <v>5</v>
      </c>
      <c r="F557" s="130"/>
      <c r="G557" s="129" t="s">
        <v>6</v>
      </c>
      <c r="H557" s="130"/>
      <c r="I557" s="38"/>
      <c r="J557" s="38"/>
      <c r="K557" s="127" t="s">
        <v>4</v>
      </c>
      <c r="L557" s="128"/>
      <c r="M557" s="129" t="s">
        <v>5</v>
      </c>
      <c r="N557" s="130"/>
      <c r="O557" s="129" t="s">
        <v>6</v>
      </c>
      <c r="P557" s="130"/>
    </row>
    <row r="558" spans="1:16" ht="24" customHeight="1" x14ac:dyDescent="0.15">
      <c r="A558" s="39" t="s">
        <v>7</v>
      </c>
      <c r="B558" s="40" t="s">
        <v>8</v>
      </c>
      <c r="C558" s="41" t="s">
        <v>9</v>
      </c>
      <c r="D558" s="41" t="s">
        <v>10</v>
      </c>
      <c r="E558" s="41" t="s">
        <v>9</v>
      </c>
      <c r="F558" s="41" t="s">
        <v>10</v>
      </c>
      <c r="G558" s="41" t="s">
        <v>9</v>
      </c>
      <c r="H558" s="41" t="s">
        <v>10</v>
      </c>
      <c r="I558" s="48" t="s">
        <v>7</v>
      </c>
      <c r="J558" s="40" t="s">
        <v>8</v>
      </c>
      <c r="K558" s="41" t="s">
        <v>9</v>
      </c>
      <c r="L558" s="41" t="s">
        <v>10</v>
      </c>
      <c r="M558" s="41" t="s">
        <v>9</v>
      </c>
      <c r="N558" s="41" t="s">
        <v>10</v>
      </c>
      <c r="O558" s="41" t="s">
        <v>9</v>
      </c>
      <c r="P558" s="41" t="s">
        <v>10</v>
      </c>
    </row>
    <row r="559" spans="1:16" ht="14.25" customHeight="1" x14ac:dyDescent="0.15">
      <c r="A559" s="42" t="s">
        <v>6185</v>
      </c>
      <c r="B559" s="40" t="s">
        <v>17</v>
      </c>
      <c r="C559" s="42" t="s">
        <v>6186</v>
      </c>
      <c r="D559" s="42" t="s">
        <v>6186</v>
      </c>
      <c r="E559" s="42" t="s">
        <v>6186</v>
      </c>
      <c r="F559" s="42" t="s">
        <v>6186</v>
      </c>
      <c r="G559" s="42" t="s">
        <v>6186</v>
      </c>
      <c r="H559" s="42" t="s">
        <v>6186</v>
      </c>
      <c r="I559" s="42" t="s">
        <v>6187</v>
      </c>
      <c r="J559" s="40" t="s">
        <v>11</v>
      </c>
      <c r="K559" s="42" t="s">
        <v>6340</v>
      </c>
      <c r="L559" s="42" t="s">
        <v>6214</v>
      </c>
      <c r="M559" s="42" t="s">
        <v>6186</v>
      </c>
      <c r="N559" s="42" t="s">
        <v>6186</v>
      </c>
      <c r="O559" s="42" t="s">
        <v>6186</v>
      </c>
      <c r="P559" s="42" t="s">
        <v>6186</v>
      </c>
    </row>
    <row r="560" spans="1:16" ht="14.25" customHeight="1" x14ac:dyDescent="0.15">
      <c r="A560" s="42" t="s">
        <v>6190</v>
      </c>
      <c r="B560" s="40" t="s">
        <v>18</v>
      </c>
      <c r="C560" s="42" t="s">
        <v>6186</v>
      </c>
      <c r="D560" s="42" t="s">
        <v>6186</v>
      </c>
      <c r="E560" s="42" t="s">
        <v>6186</v>
      </c>
      <c r="F560" s="42" t="s">
        <v>6186</v>
      </c>
      <c r="G560" s="42" t="s">
        <v>6186</v>
      </c>
      <c r="H560" s="42" t="s">
        <v>6186</v>
      </c>
      <c r="I560" s="42" t="s">
        <v>6191</v>
      </c>
      <c r="J560" s="40" t="s">
        <v>14</v>
      </c>
      <c r="K560" s="42" t="s">
        <v>6400</v>
      </c>
      <c r="L560" s="42" t="s">
        <v>6572</v>
      </c>
      <c r="M560" s="42" t="s">
        <v>6186</v>
      </c>
      <c r="N560" s="42" t="s">
        <v>6186</v>
      </c>
      <c r="O560" s="42" t="s">
        <v>6186</v>
      </c>
      <c r="P560" s="42" t="s">
        <v>6186</v>
      </c>
    </row>
    <row r="561" spans="1:16" ht="14.25" customHeight="1" x14ac:dyDescent="0.15">
      <c r="A561" s="42" t="s">
        <v>6194</v>
      </c>
      <c r="B561" s="40" t="s">
        <v>11</v>
      </c>
      <c r="C561" s="42" t="s">
        <v>6186</v>
      </c>
      <c r="D561" s="42" t="s">
        <v>6186</v>
      </c>
      <c r="E561" s="42" t="s">
        <v>6186</v>
      </c>
      <c r="F561" s="42" t="s">
        <v>6186</v>
      </c>
      <c r="G561" s="42" t="s">
        <v>6186</v>
      </c>
      <c r="H561" s="42" t="s">
        <v>6186</v>
      </c>
      <c r="I561" s="42" t="s">
        <v>6195</v>
      </c>
      <c r="J561" s="40" t="s">
        <v>13</v>
      </c>
      <c r="K561" s="44">
        <v>0.33194444444961801</v>
      </c>
      <c r="L561" s="44">
        <v>0.74861111110658396</v>
      </c>
      <c r="M561" s="43" t="s">
        <v>6186</v>
      </c>
      <c r="N561" s="43" t="s">
        <v>6186</v>
      </c>
      <c r="O561" s="43" t="s">
        <v>6186</v>
      </c>
      <c r="P561" s="43" t="s">
        <v>6186</v>
      </c>
    </row>
    <row r="562" spans="1:16" ht="14.25" customHeight="1" x14ac:dyDescent="0.15">
      <c r="A562" s="42" t="s">
        <v>6198</v>
      </c>
      <c r="B562" s="40" t="s">
        <v>14</v>
      </c>
      <c r="C562" s="43" t="s">
        <v>6186</v>
      </c>
      <c r="D562" s="43" t="s">
        <v>6186</v>
      </c>
      <c r="E562" s="43" t="s">
        <v>6186</v>
      </c>
      <c r="F562" s="43" t="s">
        <v>6186</v>
      </c>
      <c r="G562" s="43" t="s">
        <v>6186</v>
      </c>
      <c r="H562" s="43" t="s">
        <v>6186</v>
      </c>
      <c r="I562" s="42" t="s">
        <v>6199</v>
      </c>
      <c r="J562" s="40" t="s">
        <v>15</v>
      </c>
      <c r="K562" s="42" t="s">
        <v>6393</v>
      </c>
      <c r="L562" s="42" t="s">
        <v>6369</v>
      </c>
      <c r="M562" s="42" t="s">
        <v>6186</v>
      </c>
      <c r="N562" s="42" t="s">
        <v>6186</v>
      </c>
      <c r="O562" s="42" t="s">
        <v>6186</v>
      </c>
      <c r="P562" s="42" t="s">
        <v>6186</v>
      </c>
    </row>
    <row r="563" spans="1:16" ht="14.25" customHeight="1" x14ac:dyDescent="0.15">
      <c r="A563" s="42" t="s">
        <v>6202</v>
      </c>
      <c r="B563" s="40" t="s">
        <v>13</v>
      </c>
      <c r="C563" s="42" t="s">
        <v>6186</v>
      </c>
      <c r="D563" s="42" t="s">
        <v>6186</v>
      </c>
      <c r="E563" s="42" t="s">
        <v>6186</v>
      </c>
      <c r="F563" s="42" t="s">
        <v>6186</v>
      </c>
      <c r="G563" s="42" t="s">
        <v>6186</v>
      </c>
      <c r="H563" s="42" t="s">
        <v>6186</v>
      </c>
      <c r="I563" s="42" t="s">
        <v>6203</v>
      </c>
      <c r="J563" s="40" t="s">
        <v>16</v>
      </c>
      <c r="K563" s="42" t="s">
        <v>6330</v>
      </c>
      <c r="L563" s="42" t="s">
        <v>6573</v>
      </c>
      <c r="M563" s="42" t="s">
        <v>6186</v>
      </c>
      <c r="N563" s="42" t="s">
        <v>6186</v>
      </c>
      <c r="O563" s="42" t="s">
        <v>6186</v>
      </c>
      <c r="P563" s="42" t="s">
        <v>6186</v>
      </c>
    </row>
    <row r="564" spans="1:16" ht="14.25" customHeight="1" x14ac:dyDescent="0.15">
      <c r="A564" s="42" t="s">
        <v>6204</v>
      </c>
      <c r="B564" s="40" t="s">
        <v>15</v>
      </c>
      <c r="C564" s="42" t="s">
        <v>6186</v>
      </c>
      <c r="D564" s="42" t="s">
        <v>6186</v>
      </c>
      <c r="E564" s="42" t="s">
        <v>6186</v>
      </c>
      <c r="F564" s="42" t="s">
        <v>6186</v>
      </c>
      <c r="G564" s="42" t="s">
        <v>6186</v>
      </c>
      <c r="H564" s="42" t="s">
        <v>6186</v>
      </c>
      <c r="I564" s="42" t="s">
        <v>6205</v>
      </c>
      <c r="J564" s="40" t="s">
        <v>17</v>
      </c>
      <c r="K564" s="42" t="s">
        <v>6330</v>
      </c>
      <c r="L564" s="42" t="s">
        <v>6572</v>
      </c>
      <c r="M564" s="42" t="s">
        <v>6186</v>
      </c>
      <c r="N564" s="42" t="s">
        <v>6186</v>
      </c>
      <c r="O564" s="42" t="s">
        <v>6186</v>
      </c>
      <c r="P564" s="42" t="s">
        <v>6186</v>
      </c>
    </row>
    <row r="565" spans="1:16" ht="14.25" customHeight="1" x14ac:dyDescent="0.15">
      <c r="A565" s="42" t="s">
        <v>6206</v>
      </c>
      <c r="B565" s="40" t="s">
        <v>16</v>
      </c>
      <c r="C565" s="42" t="s">
        <v>6186</v>
      </c>
      <c r="D565" s="42" t="s">
        <v>6186</v>
      </c>
      <c r="E565" s="42" t="s">
        <v>6186</v>
      </c>
      <c r="F565" s="42" t="s">
        <v>6186</v>
      </c>
      <c r="G565" s="42" t="s">
        <v>6186</v>
      </c>
      <c r="H565" s="42" t="s">
        <v>6186</v>
      </c>
      <c r="I565" s="42" t="s">
        <v>6207</v>
      </c>
      <c r="J565" s="40" t="s">
        <v>18</v>
      </c>
      <c r="K565" s="42" t="s">
        <v>6346</v>
      </c>
      <c r="L565" s="42" t="s">
        <v>6572</v>
      </c>
      <c r="M565" s="42" t="s">
        <v>6186</v>
      </c>
      <c r="N565" s="42" t="s">
        <v>6186</v>
      </c>
      <c r="O565" s="42" t="s">
        <v>6186</v>
      </c>
      <c r="P565" s="42" t="s">
        <v>6186</v>
      </c>
    </row>
    <row r="566" spans="1:16" ht="14.25" customHeight="1" x14ac:dyDescent="0.15">
      <c r="A566" s="42" t="s">
        <v>6208</v>
      </c>
      <c r="B566" s="40" t="s">
        <v>17</v>
      </c>
      <c r="C566" s="42" t="s">
        <v>6186</v>
      </c>
      <c r="D566" s="42" t="s">
        <v>6186</v>
      </c>
      <c r="E566" s="42" t="s">
        <v>6186</v>
      </c>
      <c r="F566" s="42" t="s">
        <v>6186</v>
      </c>
      <c r="G566" s="42" t="s">
        <v>6186</v>
      </c>
      <c r="H566" s="42" t="s">
        <v>6186</v>
      </c>
      <c r="I566" s="42" t="s">
        <v>6211</v>
      </c>
      <c r="J566" s="40" t="s">
        <v>11</v>
      </c>
      <c r="K566" s="42" t="s">
        <v>6378</v>
      </c>
      <c r="L566" s="42" t="s">
        <v>6382</v>
      </c>
      <c r="M566" s="42" t="s">
        <v>6186</v>
      </c>
      <c r="N566" s="42" t="s">
        <v>6186</v>
      </c>
      <c r="O566" s="42" t="s">
        <v>6186</v>
      </c>
      <c r="P566" s="42" t="s">
        <v>6186</v>
      </c>
    </row>
    <row r="567" spans="1:16" ht="14.25" customHeight="1" x14ac:dyDescent="0.15">
      <c r="A567" s="42" t="s">
        <v>6212</v>
      </c>
      <c r="B567" s="40" t="s">
        <v>18</v>
      </c>
      <c r="C567" s="42" t="s">
        <v>6186</v>
      </c>
      <c r="D567" s="42" t="s">
        <v>6186</v>
      </c>
      <c r="E567" s="42" t="s">
        <v>6186</v>
      </c>
      <c r="F567" s="42" t="s">
        <v>6186</v>
      </c>
      <c r="G567" s="42" t="s">
        <v>6186</v>
      </c>
      <c r="H567" s="42" t="s">
        <v>6186</v>
      </c>
      <c r="I567" s="42" t="s">
        <v>6215</v>
      </c>
      <c r="J567" s="40" t="s">
        <v>14</v>
      </c>
      <c r="K567" s="42" t="s">
        <v>6340</v>
      </c>
      <c r="L567" s="42" t="s">
        <v>6553</v>
      </c>
      <c r="M567" s="42" t="s">
        <v>6186</v>
      </c>
      <c r="N567" s="42" t="s">
        <v>6186</v>
      </c>
      <c r="O567" s="42" t="s">
        <v>6186</v>
      </c>
      <c r="P567" s="42" t="s">
        <v>6186</v>
      </c>
    </row>
    <row r="568" spans="1:16" ht="14.25" customHeight="1" x14ac:dyDescent="0.15">
      <c r="A568" s="42" t="s">
        <v>6216</v>
      </c>
      <c r="B568" s="40" t="s">
        <v>11</v>
      </c>
      <c r="C568" s="42" t="s">
        <v>6186</v>
      </c>
      <c r="D568" s="42" t="s">
        <v>6186</v>
      </c>
      <c r="E568" s="42" t="s">
        <v>6186</v>
      </c>
      <c r="F568" s="42" t="s">
        <v>6186</v>
      </c>
      <c r="G568" s="42" t="s">
        <v>6186</v>
      </c>
      <c r="H568" s="42" t="s">
        <v>6186</v>
      </c>
      <c r="I568" s="42" t="s">
        <v>6219</v>
      </c>
      <c r="J568" s="40" t="s">
        <v>13</v>
      </c>
      <c r="K568" s="42" t="s">
        <v>6346</v>
      </c>
      <c r="L568" s="42" t="s">
        <v>6479</v>
      </c>
      <c r="M568" s="42" t="s">
        <v>6186</v>
      </c>
      <c r="N568" s="42" t="s">
        <v>6186</v>
      </c>
      <c r="O568" s="42" t="s">
        <v>6186</v>
      </c>
      <c r="P568" s="42" t="s">
        <v>6186</v>
      </c>
    </row>
    <row r="569" spans="1:16" ht="14.25" customHeight="1" x14ac:dyDescent="0.15">
      <c r="A569" s="42" t="s">
        <v>6220</v>
      </c>
      <c r="B569" s="40" t="s">
        <v>14</v>
      </c>
      <c r="C569" s="42" t="s">
        <v>6330</v>
      </c>
      <c r="D569" s="42" t="s">
        <v>6573</v>
      </c>
      <c r="E569" s="42" t="s">
        <v>6186</v>
      </c>
      <c r="F569" s="42" t="s">
        <v>6186</v>
      </c>
      <c r="G569" s="42" t="s">
        <v>6186</v>
      </c>
      <c r="H569" s="42" t="s">
        <v>6186</v>
      </c>
      <c r="I569" s="42" t="s">
        <v>6221</v>
      </c>
      <c r="J569" s="40" t="s">
        <v>15</v>
      </c>
      <c r="K569" s="42" t="s">
        <v>6186</v>
      </c>
      <c r="L569" s="42" t="s">
        <v>6186</v>
      </c>
      <c r="M569" s="42" t="s">
        <v>6186</v>
      </c>
      <c r="N569" s="42" t="s">
        <v>6186</v>
      </c>
      <c r="O569" s="42" t="s">
        <v>6186</v>
      </c>
      <c r="P569" s="42" t="s">
        <v>6186</v>
      </c>
    </row>
    <row r="570" spans="1:16" ht="14.25" customHeight="1" x14ac:dyDescent="0.15">
      <c r="A570" s="42" t="s">
        <v>6222</v>
      </c>
      <c r="B570" s="40" t="s">
        <v>13</v>
      </c>
      <c r="C570" s="42" t="s">
        <v>6330</v>
      </c>
      <c r="D570" s="42" t="s">
        <v>6572</v>
      </c>
      <c r="E570" s="42" t="s">
        <v>6186</v>
      </c>
      <c r="F570" s="42" t="s">
        <v>6186</v>
      </c>
      <c r="G570" s="42" t="s">
        <v>6186</v>
      </c>
      <c r="H570" s="42" t="s">
        <v>6186</v>
      </c>
      <c r="I570" s="42" t="s">
        <v>6224</v>
      </c>
      <c r="J570" s="40" t="s">
        <v>16</v>
      </c>
      <c r="K570" s="42" t="s">
        <v>6186</v>
      </c>
      <c r="L570" s="42" t="s">
        <v>6186</v>
      </c>
      <c r="M570" s="42" t="s">
        <v>6186</v>
      </c>
      <c r="N570" s="42" t="s">
        <v>6186</v>
      </c>
      <c r="O570" s="42" t="s">
        <v>6186</v>
      </c>
      <c r="P570" s="42" t="s">
        <v>6186</v>
      </c>
    </row>
    <row r="571" spans="1:16" ht="14.25" customHeight="1" x14ac:dyDescent="0.15">
      <c r="A571" s="42" t="s">
        <v>6225</v>
      </c>
      <c r="B571" s="40" t="s">
        <v>15</v>
      </c>
      <c r="C571" s="42" t="s">
        <v>6482</v>
      </c>
      <c r="D571" s="42" t="s">
        <v>6572</v>
      </c>
      <c r="E571" s="42" t="s">
        <v>6186</v>
      </c>
      <c r="F571" s="42" t="s">
        <v>6186</v>
      </c>
      <c r="G571" s="42" t="s">
        <v>6186</v>
      </c>
      <c r="H571" s="42" t="s">
        <v>6186</v>
      </c>
      <c r="I571" s="42" t="s">
        <v>6227</v>
      </c>
      <c r="J571" s="40" t="s">
        <v>17</v>
      </c>
      <c r="K571" s="42" t="s">
        <v>6186</v>
      </c>
      <c r="L571" s="42" t="s">
        <v>6186</v>
      </c>
      <c r="M571" s="42" t="s">
        <v>6186</v>
      </c>
      <c r="N571" s="42" t="s">
        <v>6186</v>
      </c>
      <c r="O571" s="42" t="s">
        <v>6186</v>
      </c>
      <c r="P571" s="42" t="s">
        <v>6186</v>
      </c>
    </row>
    <row r="572" spans="1:16" ht="14.25" customHeight="1" x14ac:dyDescent="0.15">
      <c r="A572" s="42" t="s">
        <v>6228</v>
      </c>
      <c r="B572" s="40" t="s">
        <v>16</v>
      </c>
      <c r="C572" s="42" t="s">
        <v>6482</v>
      </c>
      <c r="D572" s="42" t="s">
        <v>6382</v>
      </c>
      <c r="E572" s="42" t="s">
        <v>6186</v>
      </c>
      <c r="F572" s="42" t="s">
        <v>6186</v>
      </c>
      <c r="G572" s="42" t="s">
        <v>6186</v>
      </c>
      <c r="H572" s="42" t="s">
        <v>6186</v>
      </c>
      <c r="I572" s="42" t="s">
        <v>6230</v>
      </c>
      <c r="J572" s="40" t="s">
        <v>18</v>
      </c>
      <c r="K572" s="42" t="s">
        <v>6186</v>
      </c>
      <c r="L572" s="42" t="s">
        <v>6186</v>
      </c>
      <c r="M572" s="42" t="s">
        <v>6186</v>
      </c>
      <c r="N572" s="42" t="s">
        <v>6186</v>
      </c>
      <c r="O572" s="42" t="s">
        <v>6186</v>
      </c>
      <c r="P572" s="42" t="s">
        <v>6186</v>
      </c>
    </row>
    <row r="573" spans="1:16" ht="14.25" customHeight="1" x14ac:dyDescent="0.15">
      <c r="A573" s="42" t="s">
        <v>6231</v>
      </c>
      <c r="B573" s="40" t="s">
        <v>17</v>
      </c>
      <c r="C573" s="42" t="s">
        <v>6315</v>
      </c>
      <c r="D573" s="42" t="s">
        <v>6553</v>
      </c>
      <c r="E573" s="42" t="s">
        <v>6186</v>
      </c>
      <c r="F573" s="42" t="s">
        <v>6186</v>
      </c>
      <c r="G573" s="42" t="s">
        <v>6186</v>
      </c>
      <c r="H573" s="42" t="s">
        <v>6186</v>
      </c>
      <c r="I573" s="42" t="s">
        <v>6234</v>
      </c>
      <c r="J573" s="40" t="s">
        <v>11</v>
      </c>
      <c r="K573" s="42" t="s">
        <v>6186</v>
      </c>
      <c r="L573" s="42" t="s">
        <v>6186</v>
      </c>
      <c r="M573" s="42" t="s">
        <v>6186</v>
      </c>
      <c r="N573" s="42" t="s">
        <v>6186</v>
      </c>
      <c r="O573" s="42" t="s">
        <v>6186</v>
      </c>
      <c r="P573" s="42" t="s">
        <v>6186</v>
      </c>
    </row>
    <row r="574" spans="1:16" ht="14.25" customHeight="1" x14ac:dyDescent="0.15">
      <c r="A574" s="42" t="s">
        <v>6235</v>
      </c>
      <c r="B574" s="40" t="s">
        <v>18</v>
      </c>
      <c r="C574" s="42" t="s">
        <v>6346</v>
      </c>
      <c r="D574" s="42" t="s">
        <v>6479</v>
      </c>
      <c r="E574" s="42" t="s">
        <v>6186</v>
      </c>
      <c r="F574" s="42" t="s">
        <v>6186</v>
      </c>
      <c r="G574" s="42" t="s">
        <v>6186</v>
      </c>
      <c r="H574" s="42" t="s">
        <v>6186</v>
      </c>
      <c r="I574" s="42" t="s">
        <v>12</v>
      </c>
      <c r="J574" s="42" t="s">
        <v>12</v>
      </c>
      <c r="K574" s="42" t="s">
        <v>12</v>
      </c>
      <c r="L574" s="42" t="s">
        <v>12</v>
      </c>
      <c r="M574" s="42" t="s">
        <v>12</v>
      </c>
      <c r="N574" s="42" t="s">
        <v>12</v>
      </c>
      <c r="O574" s="42" t="s">
        <v>12</v>
      </c>
      <c r="P574" s="42" t="s">
        <v>12</v>
      </c>
    </row>
    <row r="575" spans="1:16" ht="14.25" customHeight="1" x14ac:dyDescent="0.15">
      <c r="A575" s="35"/>
      <c r="C575" s="46"/>
      <c r="D575" s="46"/>
      <c r="E575" s="46"/>
      <c r="F575" s="46"/>
      <c r="G575" s="47"/>
      <c r="H575" s="47"/>
      <c r="I575" s="36"/>
      <c r="M575" s="131" t="s">
        <v>6237</v>
      </c>
      <c r="N575" s="131"/>
      <c r="O575" s="131"/>
      <c r="P575" s="131"/>
    </row>
    <row r="576" spans="1:16" ht="14.25" customHeight="1" x14ac:dyDescent="0.15">
      <c r="A576" s="34"/>
    </row>
    <row r="577" spans="1:16" ht="14.25" customHeight="1" x14ac:dyDescent="0.15">
      <c r="A577" s="34"/>
    </row>
    <row r="578" spans="1:16" ht="14.25" customHeight="1" x14ac:dyDescent="0.15">
      <c r="A578" s="35"/>
      <c r="B578" s="36"/>
    </row>
    <row r="579" spans="1:16" ht="14.25" customHeight="1" x14ac:dyDescent="0.15">
      <c r="A579" s="124" t="s">
        <v>6178</v>
      </c>
      <c r="B579" s="125"/>
      <c r="C579" s="125"/>
      <c r="D579" s="126"/>
      <c r="E579" s="124" t="s">
        <v>6574</v>
      </c>
      <c r="F579" s="125"/>
      <c r="G579" s="126"/>
      <c r="H579" s="124" t="s">
        <v>6282</v>
      </c>
      <c r="I579" s="126"/>
      <c r="J579" s="125" t="s">
        <v>6181</v>
      </c>
      <c r="K579" s="125"/>
      <c r="L579" s="126"/>
      <c r="M579" s="124" t="s">
        <v>6182</v>
      </c>
      <c r="N579" s="125"/>
      <c r="O579" s="125"/>
      <c r="P579" s="126"/>
    </row>
    <row r="580" spans="1:16" ht="14.25" customHeight="1" x14ac:dyDescent="0.15">
      <c r="A580" s="124" t="s">
        <v>6368</v>
      </c>
      <c r="B580" s="125"/>
      <c r="C580" s="125"/>
      <c r="D580" s="125"/>
      <c r="E580" s="125"/>
      <c r="F580" s="125"/>
      <c r="G580" s="125"/>
      <c r="H580" s="125"/>
      <c r="I580" s="125"/>
      <c r="J580" s="125"/>
      <c r="K580" s="125"/>
      <c r="L580" s="125"/>
      <c r="M580" s="125"/>
      <c r="N580" s="125"/>
      <c r="O580" s="125"/>
      <c r="P580" s="126"/>
    </row>
    <row r="581" spans="1:16" ht="14.25" customHeight="1" x14ac:dyDescent="0.15">
      <c r="A581" s="124" t="s">
        <v>6184</v>
      </c>
      <c r="B581" s="125"/>
      <c r="C581" s="125"/>
      <c r="D581" s="125"/>
      <c r="E581" s="125"/>
      <c r="F581" s="125"/>
      <c r="G581" s="125"/>
      <c r="H581" s="125"/>
      <c r="I581" s="125"/>
      <c r="J581" s="125"/>
      <c r="K581" s="125"/>
      <c r="L581" s="125"/>
      <c r="M581" s="125"/>
      <c r="N581" s="125"/>
      <c r="O581" s="125"/>
      <c r="P581" s="126"/>
    </row>
    <row r="582" spans="1:16" ht="14.25" customHeight="1" x14ac:dyDescent="0.15">
      <c r="A582" s="37"/>
      <c r="B582" s="38"/>
      <c r="C582" s="127" t="s">
        <v>4</v>
      </c>
      <c r="D582" s="128"/>
      <c r="E582" s="129" t="s">
        <v>5</v>
      </c>
      <c r="F582" s="130"/>
      <c r="G582" s="129" t="s">
        <v>6</v>
      </c>
      <c r="H582" s="130"/>
      <c r="I582" s="38"/>
      <c r="J582" s="38"/>
      <c r="K582" s="127" t="s">
        <v>4</v>
      </c>
      <c r="L582" s="128"/>
      <c r="M582" s="129" t="s">
        <v>5</v>
      </c>
      <c r="N582" s="130"/>
      <c r="O582" s="129" t="s">
        <v>6</v>
      </c>
      <c r="P582" s="130"/>
    </row>
    <row r="583" spans="1:16" ht="24" customHeight="1" x14ac:dyDescent="0.15">
      <c r="A583" s="39" t="s">
        <v>7</v>
      </c>
      <c r="B583" s="40" t="s">
        <v>8</v>
      </c>
      <c r="C583" s="41" t="s">
        <v>9</v>
      </c>
      <c r="D583" s="41" t="s">
        <v>10</v>
      </c>
      <c r="E583" s="41" t="s">
        <v>9</v>
      </c>
      <c r="F583" s="41" t="s">
        <v>10</v>
      </c>
      <c r="G583" s="41" t="s">
        <v>9</v>
      </c>
      <c r="H583" s="41" t="s">
        <v>10</v>
      </c>
      <c r="I583" s="48" t="s">
        <v>7</v>
      </c>
      <c r="J583" s="40" t="s">
        <v>8</v>
      </c>
      <c r="K583" s="41" t="s">
        <v>9</v>
      </c>
      <c r="L583" s="41" t="s">
        <v>10</v>
      </c>
      <c r="M583" s="41" t="s">
        <v>9</v>
      </c>
      <c r="N583" s="41" t="s">
        <v>10</v>
      </c>
      <c r="O583" s="41" t="s">
        <v>9</v>
      </c>
      <c r="P583" s="41" t="s">
        <v>10</v>
      </c>
    </row>
    <row r="584" spans="1:16" ht="14.25" customHeight="1" x14ac:dyDescent="0.15">
      <c r="A584" s="42" t="s">
        <v>6185</v>
      </c>
      <c r="B584" s="40" t="s">
        <v>17</v>
      </c>
      <c r="C584" s="42" t="s">
        <v>6186</v>
      </c>
      <c r="D584" s="42" t="s">
        <v>6186</v>
      </c>
      <c r="E584" s="42" t="s">
        <v>6186</v>
      </c>
      <c r="F584" s="42" t="s">
        <v>6186</v>
      </c>
      <c r="G584" s="42" t="s">
        <v>6186</v>
      </c>
      <c r="H584" s="42" t="s">
        <v>6186</v>
      </c>
      <c r="I584" s="42" t="s">
        <v>6187</v>
      </c>
      <c r="J584" s="40" t="s">
        <v>11</v>
      </c>
      <c r="K584" s="42" t="s">
        <v>6340</v>
      </c>
      <c r="L584" s="42" t="s">
        <v>6459</v>
      </c>
      <c r="M584" s="42" t="s">
        <v>6186</v>
      </c>
      <c r="N584" s="42" t="s">
        <v>6186</v>
      </c>
      <c r="O584" s="42" t="s">
        <v>6186</v>
      </c>
      <c r="P584" s="42" t="s">
        <v>6186</v>
      </c>
    </row>
    <row r="585" spans="1:16" ht="14.25" customHeight="1" x14ac:dyDescent="0.15">
      <c r="A585" s="42" t="s">
        <v>6190</v>
      </c>
      <c r="B585" s="40" t="s">
        <v>18</v>
      </c>
      <c r="C585" s="42" t="s">
        <v>6186</v>
      </c>
      <c r="D585" s="42" t="s">
        <v>6186</v>
      </c>
      <c r="E585" s="42" t="s">
        <v>6186</v>
      </c>
      <c r="F585" s="42" t="s">
        <v>6186</v>
      </c>
      <c r="G585" s="42" t="s">
        <v>6186</v>
      </c>
      <c r="H585" s="42" t="s">
        <v>6186</v>
      </c>
      <c r="I585" s="42" t="s">
        <v>6191</v>
      </c>
      <c r="J585" s="40" t="s">
        <v>14</v>
      </c>
      <c r="K585" s="42" t="s">
        <v>6433</v>
      </c>
      <c r="L585" s="42" t="s">
        <v>6501</v>
      </c>
      <c r="M585" s="42" t="s">
        <v>6186</v>
      </c>
      <c r="N585" s="42" t="s">
        <v>6186</v>
      </c>
      <c r="O585" s="42" t="s">
        <v>6186</v>
      </c>
      <c r="P585" s="42" t="s">
        <v>6186</v>
      </c>
    </row>
    <row r="586" spans="1:16" ht="14.25" customHeight="1" x14ac:dyDescent="0.15">
      <c r="A586" s="42" t="s">
        <v>6194</v>
      </c>
      <c r="B586" s="40" t="s">
        <v>11</v>
      </c>
      <c r="C586" s="42" t="s">
        <v>6186</v>
      </c>
      <c r="D586" s="42" t="s">
        <v>6186</v>
      </c>
      <c r="E586" s="42" t="s">
        <v>6186</v>
      </c>
      <c r="F586" s="42" t="s">
        <v>6186</v>
      </c>
      <c r="G586" s="42" t="s">
        <v>6186</v>
      </c>
      <c r="H586" s="42" t="s">
        <v>6186</v>
      </c>
      <c r="I586" s="42" t="s">
        <v>6195</v>
      </c>
      <c r="J586" s="40" t="s">
        <v>13</v>
      </c>
      <c r="K586" s="44">
        <v>0.33263888888177501</v>
      </c>
      <c r="L586" s="44" t="s">
        <v>6575</v>
      </c>
      <c r="M586" s="43" t="s">
        <v>6186</v>
      </c>
      <c r="N586" s="43" t="s">
        <v>6186</v>
      </c>
      <c r="O586" s="43" t="s">
        <v>6186</v>
      </c>
      <c r="P586" s="43" t="s">
        <v>6186</v>
      </c>
    </row>
    <row r="587" spans="1:16" ht="14.25" customHeight="1" x14ac:dyDescent="0.15">
      <c r="A587" s="42" t="s">
        <v>6198</v>
      </c>
      <c r="B587" s="40" t="s">
        <v>14</v>
      </c>
      <c r="C587" s="43" t="s">
        <v>6186</v>
      </c>
      <c r="D587" s="43" t="s">
        <v>6186</v>
      </c>
      <c r="E587" s="43" t="s">
        <v>6186</v>
      </c>
      <c r="F587" s="43" t="s">
        <v>6186</v>
      </c>
      <c r="G587" s="43" t="s">
        <v>6186</v>
      </c>
      <c r="H587" s="43" t="s">
        <v>6186</v>
      </c>
      <c r="I587" s="42" t="s">
        <v>6199</v>
      </c>
      <c r="J587" s="40" t="s">
        <v>15</v>
      </c>
      <c r="K587" s="42" t="s">
        <v>6393</v>
      </c>
      <c r="L587" s="42" t="s">
        <v>6509</v>
      </c>
      <c r="M587" s="42" t="s">
        <v>6186</v>
      </c>
      <c r="N587" s="42" t="s">
        <v>6186</v>
      </c>
      <c r="O587" s="42" t="s">
        <v>6186</v>
      </c>
      <c r="P587" s="42" t="s">
        <v>6186</v>
      </c>
    </row>
    <row r="588" spans="1:16" ht="14.25" customHeight="1" x14ac:dyDescent="0.15">
      <c r="A588" s="42" t="s">
        <v>6202</v>
      </c>
      <c r="B588" s="40" t="s">
        <v>13</v>
      </c>
      <c r="C588" s="42" t="s">
        <v>6186</v>
      </c>
      <c r="D588" s="42" t="s">
        <v>6186</v>
      </c>
      <c r="E588" s="42" t="s">
        <v>6186</v>
      </c>
      <c r="F588" s="42" t="s">
        <v>6186</v>
      </c>
      <c r="G588" s="42" t="s">
        <v>6186</v>
      </c>
      <c r="H588" s="42" t="s">
        <v>6186</v>
      </c>
      <c r="I588" s="42" t="s">
        <v>6203</v>
      </c>
      <c r="J588" s="40" t="s">
        <v>16</v>
      </c>
      <c r="K588" s="42" t="s">
        <v>6340</v>
      </c>
      <c r="L588" s="45" t="s">
        <v>6576</v>
      </c>
      <c r="M588" s="42" t="s">
        <v>6186</v>
      </c>
      <c r="N588" s="42" t="s">
        <v>6186</v>
      </c>
      <c r="O588" s="42" t="s">
        <v>6186</v>
      </c>
      <c r="P588" s="42" t="s">
        <v>6186</v>
      </c>
    </row>
    <row r="589" spans="1:16" ht="14.25" customHeight="1" x14ac:dyDescent="0.15">
      <c r="A589" s="42" t="s">
        <v>6204</v>
      </c>
      <c r="B589" s="40" t="s">
        <v>15</v>
      </c>
      <c r="C589" s="42" t="s">
        <v>6186</v>
      </c>
      <c r="D589" s="42" t="s">
        <v>6186</v>
      </c>
      <c r="E589" s="42" t="s">
        <v>6186</v>
      </c>
      <c r="F589" s="42" t="s">
        <v>6186</v>
      </c>
      <c r="G589" s="42" t="s">
        <v>6186</v>
      </c>
      <c r="H589" s="42" t="s">
        <v>6186</v>
      </c>
      <c r="I589" s="42" t="s">
        <v>6205</v>
      </c>
      <c r="J589" s="40" t="s">
        <v>17</v>
      </c>
      <c r="K589" s="42" t="s">
        <v>6400</v>
      </c>
      <c r="L589" s="42" t="s">
        <v>6503</v>
      </c>
      <c r="M589" s="42" t="s">
        <v>6186</v>
      </c>
      <c r="N589" s="42" t="s">
        <v>6186</v>
      </c>
      <c r="O589" s="42" t="s">
        <v>6186</v>
      </c>
      <c r="P589" s="42" t="s">
        <v>6186</v>
      </c>
    </row>
    <row r="590" spans="1:16" ht="14.25" customHeight="1" x14ac:dyDescent="0.15">
      <c r="A590" s="42" t="s">
        <v>6206</v>
      </c>
      <c r="B590" s="40" t="s">
        <v>16</v>
      </c>
      <c r="C590" s="42" t="s">
        <v>6186</v>
      </c>
      <c r="D590" s="42" t="s">
        <v>6186</v>
      </c>
      <c r="E590" s="42" t="s">
        <v>6186</v>
      </c>
      <c r="F590" s="42" t="s">
        <v>6186</v>
      </c>
      <c r="G590" s="42" t="s">
        <v>6186</v>
      </c>
      <c r="H590" s="42" t="s">
        <v>6186</v>
      </c>
      <c r="I590" s="42" t="s">
        <v>6207</v>
      </c>
      <c r="J590" s="40" t="s">
        <v>18</v>
      </c>
      <c r="K590" s="44">
        <v>0.33194444444961801</v>
      </c>
      <c r="L590" s="42" t="s">
        <v>6504</v>
      </c>
      <c r="M590" s="42" t="s">
        <v>6186</v>
      </c>
      <c r="N590" s="42" t="s">
        <v>6186</v>
      </c>
      <c r="O590" s="42" t="s">
        <v>6186</v>
      </c>
      <c r="P590" s="42" t="s">
        <v>6186</v>
      </c>
    </row>
    <row r="591" spans="1:16" ht="14.25" customHeight="1" x14ac:dyDescent="0.15">
      <c r="A591" s="42" t="s">
        <v>6208</v>
      </c>
      <c r="B591" s="40" t="s">
        <v>17</v>
      </c>
      <c r="C591" s="42" t="s">
        <v>6186</v>
      </c>
      <c r="D591" s="42" t="s">
        <v>6186</v>
      </c>
      <c r="E591" s="42" t="s">
        <v>6186</v>
      </c>
      <c r="F591" s="42" t="s">
        <v>6186</v>
      </c>
      <c r="G591" s="42" t="s">
        <v>6186</v>
      </c>
      <c r="H591" s="42" t="s">
        <v>6186</v>
      </c>
      <c r="I591" s="42" t="s">
        <v>6211</v>
      </c>
      <c r="J591" s="40" t="s">
        <v>11</v>
      </c>
      <c r="K591" s="42"/>
      <c r="L591" s="42"/>
      <c r="M591" s="42" t="s">
        <v>6186</v>
      </c>
      <c r="N591" s="42" t="s">
        <v>6186</v>
      </c>
      <c r="O591" s="42" t="s">
        <v>6186</v>
      </c>
      <c r="P591" s="42" t="s">
        <v>6186</v>
      </c>
    </row>
    <row r="592" spans="1:16" ht="14.25" customHeight="1" x14ac:dyDescent="0.15">
      <c r="A592" s="42" t="s">
        <v>6212</v>
      </c>
      <c r="B592" s="40" t="s">
        <v>18</v>
      </c>
      <c r="C592" s="42" t="s">
        <v>6186</v>
      </c>
      <c r="D592" s="42" t="s">
        <v>6186</v>
      </c>
      <c r="E592" s="42" t="s">
        <v>6186</v>
      </c>
      <c r="F592" s="42" t="s">
        <v>6186</v>
      </c>
      <c r="G592" s="42" t="s">
        <v>6186</v>
      </c>
      <c r="H592" s="42" t="s">
        <v>6186</v>
      </c>
      <c r="I592" s="42" t="s">
        <v>6215</v>
      </c>
      <c r="J592" s="40" t="s">
        <v>14</v>
      </c>
      <c r="K592" s="42" t="s">
        <v>6340</v>
      </c>
      <c r="L592" s="45" t="s">
        <v>6576</v>
      </c>
      <c r="M592" s="42" t="s">
        <v>6186</v>
      </c>
      <c r="N592" s="42" t="s">
        <v>6186</v>
      </c>
      <c r="O592" s="42" t="s">
        <v>6186</v>
      </c>
      <c r="P592" s="42" t="s">
        <v>6186</v>
      </c>
    </row>
    <row r="593" spans="1:16" ht="14.25" customHeight="1" x14ac:dyDescent="0.15">
      <c r="A593" s="42" t="s">
        <v>6216</v>
      </c>
      <c r="B593" s="40" t="s">
        <v>11</v>
      </c>
      <c r="C593" s="42" t="s">
        <v>6186</v>
      </c>
      <c r="D593" s="42" t="s">
        <v>6186</v>
      </c>
      <c r="E593" s="42" t="s">
        <v>6186</v>
      </c>
      <c r="F593" s="42" t="s">
        <v>6186</v>
      </c>
      <c r="G593" s="42" t="s">
        <v>6186</v>
      </c>
      <c r="H593" s="42" t="s">
        <v>6186</v>
      </c>
      <c r="I593" s="42" t="s">
        <v>6219</v>
      </c>
      <c r="J593" s="40" t="s">
        <v>13</v>
      </c>
      <c r="K593" s="42" t="s">
        <v>6330</v>
      </c>
      <c r="L593" s="42" t="s">
        <v>6504</v>
      </c>
      <c r="M593" s="42" t="s">
        <v>6186</v>
      </c>
      <c r="N593" s="42" t="s">
        <v>6186</v>
      </c>
      <c r="O593" s="42" t="s">
        <v>6186</v>
      </c>
      <c r="P593" s="42" t="s">
        <v>6186</v>
      </c>
    </row>
    <row r="594" spans="1:16" ht="14.25" customHeight="1" x14ac:dyDescent="0.15">
      <c r="A594" s="42" t="s">
        <v>6220</v>
      </c>
      <c r="B594" s="40" t="s">
        <v>14</v>
      </c>
      <c r="C594" s="42" t="s">
        <v>6330</v>
      </c>
      <c r="D594" s="42" t="s">
        <v>6375</v>
      </c>
      <c r="E594" s="42" t="s">
        <v>6186</v>
      </c>
      <c r="F594" s="42" t="s">
        <v>6186</v>
      </c>
      <c r="G594" s="42" t="s">
        <v>6186</v>
      </c>
      <c r="H594" s="42" t="s">
        <v>6186</v>
      </c>
      <c r="I594" s="42" t="s">
        <v>6221</v>
      </c>
      <c r="J594" s="40" t="s">
        <v>15</v>
      </c>
      <c r="K594" s="42" t="s">
        <v>6483</v>
      </c>
      <c r="L594" s="42" t="s">
        <v>6577</v>
      </c>
      <c r="M594" s="42" t="s">
        <v>6186</v>
      </c>
      <c r="N594" s="42" t="s">
        <v>6186</v>
      </c>
      <c r="O594" s="42" t="s">
        <v>6186</v>
      </c>
      <c r="P594" s="42" t="s">
        <v>6186</v>
      </c>
    </row>
    <row r="595" spans="1:16" ht="14.25" customHeight="1" x14ac:dyDescent="0.15">
      <c r="A595" s="42" t="s">
        <v>6222</v>
      </c>
      <c r="B595" s="40" t="s">
        <v>13</v>
      </c>
      <c r="C595" s="42" t="s">
        <v>6330</v>
      </c>
      <c r="D595" s="42" t="s">
        <v>6553</v>
      </c>
      <c r="E595" s="42" t="s">
        <v>6186</v>
      </c>
      <c r="F595" s="42" t="s">
        <v>6186</v>
      </c>
      <c r="G595" s="42" t="s">
        <v>6186</v>
      </c>
      <c r="H595" s="42" t="s">
        <v>6186</v>
      </c>
      <c r="I595" s="42" t="s">
        <v>6224</v>
      </c>
      <c r="J595" s="40" t="s">
        <v>16</v>
      </c>
      <c r="K595" s="42" t="s">
        <v>6330</v>
      </c>
      <c r="L595" s="42" t="s">
        <v>6501</v>
      </c>
      <c r="M595" s="42" t="s">
        <v>6186</v>
      </c>
      <c r="N595" s="42" t="s">
        <v>6186</v>
      </c>
      <c r="O595" s="42" t="s">
        <v>6186</v>
      </c>
      <c r="P595" s="42" t="s">
        <v>6186</v>
      </c>
    </row>
    <row r="596" spans="1:16" ht="14.25" customHeight="1" x14ac:dyDescent="0.15">
      <c r="A596" s="42" t="s">
        <v>6225</v>
      </c>
      <c r="B596" s="40" t="s">
        <v>15</v>
      </c>
      <c r="C596" s="42" t="s">
        <v>6482</v>
      </c>
      <c r="D596" s="42" t="s">
        <v>6572</v>
      </c>
      <c r="E596" s="42" t="s">
        <v>6186</v>
      </c>
      <c r="F596" s="42" t="s">
        <v>6186</v>
      </c>
      <c r="G596" s="42" t="s">
        <v>6186</v>
      </c>
      <c r="H596" s="42" t="s">
        <v>6186</v>
      </c>
      <c r="I596" s="42" t="s">
        <v>6227</v>
      </c>
      <c r="J596" s="40" t="s">
        <v>17</v>
      </c>
      <c r="K596" s="42" t="s">
        <v>6315</v>
      </c>
      <c r="L596" s="44" t="s">
        <v>6575</v>
      </c>
      <c r="M596" s="42" t="s">
        <v>6186</v>
      </c>
      <c r="N596" s="42" t="s">
        <v>6186</v>
      </c>
      <c r="O596" s="42" t="s">
        <v>6186</v>
      </c>
      <c r="P596" s="42" t="s">
        <v>6186</v>
      </c>
    </row>
    <row r="597" spans="1:16" ht="14.25" customHeight="1" x14ac:dyDescent="0.15">
      <c r="A597" s="42" t="s">
        <v>6228</v>
      </c>
      <c r="B597" s="40" t="s">
        <v>16</v>
      </c>
      <c r="C597" s="42" t="s">
        <v>6482</v>
      </c>
      <c r="D597" s="42" t="s">
        <v>6428</v>
      </c>
      <c r="E597" s="42" t="s">
        <v>6186</v>
      </c>
      <c r="F597" s="42" t="s">
        <v>6186</v>
      </c>
      <c r="G597" s="42" t="s">
        <v>6186</v>
      </c>
      <c r="H597" s="42" t="s">
        <v>6186</v>
      </c>
      <c r="I597" s="42" t="s">
        <v>6230</v>
      </c>
      <c r="J597" s="40" t="s">
        <v>18</v>
      </c>
      <c r="K597" s="42" t="s">
        <v>6431</v>
      </c>
      <c r="L597" s="42" t="s">
        <v>6578</v>
      </c>
      <c r="M597" s="42" t="s">
        <v>6186</v>
      </c>
      <c r="N597" s="42" t="s">
        <v>6186</v>
      </c>
      <c r="O597" s="42" t="s">
        <v>6186</v>
      </c>
      <c r="P597" s="42" t="s">
        <v>6186</v>
      </c>
    </row>
    <row r="598" spans="1:16" ht="14.25" customHeight="1" x14ac:dyDescent="0.15">
      <c r="A598" s="42" t="s">
        <v>6231</v>
      </c>
      <c r="B598" s="40" t="s">
        <v>17</v>
      </c>
      <c r="C598" s="42" t="s">
        <v>6315</v>
      </c>
      <c r="D598" s="42" t="s">
        <v>6333</v>
      </c>
      <c r="E598" s="42" t="s">
        <v>6186</v>
      </c>
      <c r="F598" s="42" t="s">
        <v>6186</v>
      </c>
      <c r="G598" s="42" t="s">
        <v>6186</v>
      </c>
      <c r="H598" s="42" t="s">
        <v>6186</v>
      </c>
      <c r="I598" s="42" t="s">
        <v>6234</v>
      </c>
      <c r="J598" s="40" t="s">
        <v>11</v>
      </c>
      <c r="K598" s="42" t="s">
        <v>6186</v>
      </c>
      <c r="L598" s="42" t="s">
        <v>6186</v>
      </c>
      <c r="M598" s="42" t="s">
        <v>6186</v>
      </c>
      <c r="N598" s="42" t="s">
        <v>6186</v>
      </c>
      <c r="O598" s="42" t="s">
        <v>6186</v>
      </c>
      <c r="P598" s="42" t="s">
        <v>6186</v>
      </c>
    </row>
    <row r="599" spans="1:16" ht="14.25" customHeight="1" x14ac:dyDescent="0.15">
      <c r="A599" s="42" t="s">
        <v>6235</v>
      </c>
      <c r="B599" s="40" t="s">
        <v>18</v>
      </c>
      <c r="C599" s="42" t="s">
        <v>6346</v>
      </c>
      <c r="D599" s="42" t="s">
        <v>6466</v>
      </c>
      <c r="E599" s="42" t="s">
        <v>6186</v>
      </c>
      <c r="F599" s="42" t="s">
        <v>6186</v>
      </c>
      <c r="G599" s="42" t="s">
        <v>6186</v>
      </c>
      <c r="H599" s="42" t="s">
        <v>6186</v>
      </c>
      <c r="I599" s="42" t="s">
        <v>12</v>
      </c>
      <c r="J599" s="42" t="s">
        <v>12</v>
      </c>
      <c r="K599" s="42" t="s">
        <v>12</v>
      </c>
      <c r="L599" s="42" t="s">
        <v>12</v>
      </c>
      <c r="M599" s="42" t="s">
        <v>12</v>
      </c>
      <c r="N599" s="42" t="s">
        <v>12</v>
      </c>
      <c r="O599" s="42" t="s">
        <v>12</v>
      </c>
      <c r="P599" s="42" t="s">
        <v>12</v>
      </c>
    </row>
    <row r="600" spans="1:16" ht="14.25" customHeight="1" x14ac:dyDescent="0.15">
      <c r="A600" s="35"/>
      <c r="C600" s="46"/>
      <c r="D600" s="46"/>
      <c r="E600" s="46"/>
      <c r="F600" s="46"/>
      <c r="G600" s="47"/>
      <c r="H600" s="47"/>
      <c r="I600" s="36"/>
      <c r="M600" s="131" t="s">
        <v>6237</v>
      </c>
      <c r="N600" s="131"/>
      <c r="O600" s="131"/>
      <c r="P600" s="131"/>
    </row>
    <row r="601" spans="1:16" ht="14.25" customHeight="1" x14ac:dyDescent="0.15">
      <c r="A601" s="34"/>
    </row>
    <row r="602" spans="1:16" ht="14.25" customHeight="1" x14ac:dyDescent="0.15">
      <c r="A602" s="34"/>
    </row>
    <row r="603" spans="1:16" ht="14.25" customHeight="1" x14ac:dyDescent="0.15">
      <c r="A603" s="35"/>
      <c r="B603" s="36"/>
    </row>
    <row r="604" spans="1:16" ht="14.25" customHeight="1" x14ac:dyDescent="0.15">
      <c r="A604" s="124" t="s">
        <v>6178</v>
      </c>
      <c r="B604" s="125"/>
      <c r="C604" s="125"/>
      <c r="D604" s="126"/>
      <c r="E604" s="124" t="s">
        <v>6579</v>
      </c>
      <c r="F604" s="125"/>
      <c r="G604" s="126"/>
      <c r="H604" s="124" t="s">
        <v>6289</v>
      </c>
      <c r="I604" s="126"/>
      <c r="J604" s="125" t="s">
        <v>6181</v>
      </c>
      <c r="K604" s="125"/>
      <c r="L604" s="126"/>
      <c r="M604" s="124" t="s">
        <v>6182</v>
      </c>
      <c r="N604" s="125"/>
      <c r="O604" s="125"/>
      <c r="P604" s="126"/>
    </row>
    <row r="605" spans="1:16" ht="14.25" customHeight="1" x14ac:dyDescent="0.15">
      <c r="A605" s="124" t="s">
        <v>6273</v>
      </c>
      <c r="B605" s="125"/>
      <c r="C605" s="125"/>
      <c r="D605" s="125"/>
      <c r="E605" s="125"/>
      <c r="F605" s="125"/>
      <c r="G605" s="125"/>
      <c r="H605" s="125"/>
      <c r="I605" s="125"/>
      <c r="J605" s="125"/>
      <c r="K605" s="125"/>
      <c r="L605" s="125"/>
      <c r="M605" s="125"/>
      <c r="N605" s="125"/>
      <c r="O605" s="125"/>
      <c r="P605" s="126"/>
    </row>
    <row r="606" spans="1:16" ht="14.25" customHeight="1" x14ac:dyDescent="0.15">
      <c r="A606" s="124" t="s">
        <v>6184</v>
      </c>
      <c r="B606" s="125"/>
      <c r="C606" s="125"/>
      <c r="D606" s="125"/>
      <c r="E606" s="125"/>
      <c r="F606" s="125"/>
      <c r="G606" s="125"/>
      <c r="H606" s="125"/>
      <c r="I606" s="125"/>
      <c r="J606" s="125"/>
      <c r="K606" s="125"/>
      <c r="L606" s="125"/>
      <c r="M606" s="125"/>
      <c r="N606" s="125"/>
      <c r="O606" s="125"/>
      <c r="P606" s="126"/>
    </row>
    <row r="607" spans="1:16" ht="14.25" customHeight="1" x14ac:dyDescent="0.15">
      <c r="A607" s="37"/>
      <c r="B607" s="38"/>
      <c r="C607" s="127" t="s">
        <v>4</v>
      </c>
      <c r="D607" s="128"/>
      <c r="E607" s="129" t="s">
        <v>5</v>
      </c>
      <c r="F607" s="130"/>
      <c r="G607" s="129" t="s">
        <v>6</v>
      </c>
      <c r="H607" s="130"/>
      <c r="I607" s="38"/>
      <c r="J607" s="38"/>
      <c r="K607" s="127" t="s">
        <v>4</v>
      </c>
      <c r="L607" s="128"/>
      <c r="M607" s="129" t="s">
        <v>5</v>
      </c>
      <c r="N607" s="130"/>
      <c r="O607" s="129" t="s">
        <v>6</v>
      </c>
      <c r="P607" s="130"/>
    </row>
    <row r="608" spans="1:16" ht="24" customHeight="1" x14ac:dyDescent="0.15">
      <c r="A608" s="39" t="s">
        <v>7</v>
      </c>
      <c r="B608" s="40" t="s">
        <v>8</v>
      </c>
      <c r="C608" s="41" t="s">
        <v>9</v>
      </c>
      <c r="D608" s="41" t="s">
        <v>10</v>
      </c>
      <c r="E608" s="41" t="s">
        <v>9</v>
      </c>
      <c r="F608" s="41" t="s">
        <v>10</v>
      </c>
      <c r="G608" s="41" t="s">
        <v>9</v>
      </c>
      <c r="H608" s="41" t="s">
        <v>10</v>
      </c>
      <c r="I608" s="48" t="s">
        <v>7</v>
      </c>
      <c r="J608" s="40" t="s">
        <v>8</v>
      </c>
      <c r="K608" s="41" t="s">
        <v>9</v>
      </c>
      <c r="L608" s="41" t="s">
        <v>10</v>
      </c>
      <c r="M608" s="41" t="s">
        <v>9</v>
      </c>
      <c r="N608" s="41" t="s">
        <v>10</v>
      </c>
      <c r="O608" s="41" t="s">
        <v>9</v>
      </c>
      <c r="P608" s="41" t="s">
        <v>10</v>
      </c>
    </row>
    <row r="609" spans="1:16" ht="14.25" customHeight="1" x14ac:dyDescent="0.15">
      <c r="A609" s="42" t="s">
        <v>6185</v>
      </c>
      <c r="B609" s="40" t="s">
        <v>17</v>
      </c>
      <c r="C609" s="43" t="s">
        <v>6186</v>
      </c>
      <c r="D609" s="43" t="s">
        <v>6186</v>
      </c>
      <c r="E609" s="43" t="s">
        <v>6186</v>
      </c>
      <c r="F609" s="43" t="s">
        <v>6186</v>
      </c>
      <c r="G609" s="43" t="s">
        <v>6186</v>
      </c>
      <c r="H609" s="43" t="s">
        <v>6186</v>
      </c>
      <c r="I609" s="42" t="s">
        <v>6187</v>
      </c>
      <c r="J609" s="40" t="s">
        <v>11</v>
      </c>
      <c r="K609" s="44">
        <v>0.322916666656965</v>
      </c>
      <c r="L609" s="44">
        <v>0.83958333331975199</v>
      </c>
      <c r="M609" s="43" t="s">
        <v>6186</v>
      </c>
      <c r="N609" s="43" t="s">
        <v>6186</v>
      </c>
      <c r="O609" s="43" t="s">
        <v>6186</v>
      </c>
      <c r="P609" s="43" t="s">
        <v>6186</v>
      </c>
    </row>
    <row r="610" spans="1:16" ht="14.25" customHeight="1" x14ac:dyDescent="0.15">
      <c r="A610" s="42" t="s">
        <v>6190</v>
      </c>
      <c r="B610" s="40" t="s">
        <v>18</v>
      </c>
      <c r="C610" s="43" t="s">
        <v>6186</v>
      </c>
      <c r="D610" s="43" t="s">
        <v>6186</v>
      </c>
      <c r="E610" s="43" t="s">
        <v>6186</v>
      </c>
      <c r="F610" s="43" t="s">
        <v>6186</v>
      </c>
      <c r="G610" s="43" t="s">
        <v>6186</v>
      </c>
      <c r="H610" s="43" t="s">
        <v>6186</v>
      </c>
      <c r="I610" s="42" t="s">
        <v>6191</v>
      </c>
      <c r="J610" s="40" t="s">
        <v>14</v>
      </c>
      <c r="K610" s="44">
        <v>0.32638888887595402</v>
      </c>
      <c r="L610" s="44">
        <v>0.806944444455439</v>
      </c>
      <c r="M610" s="43" t="s">
        <v>6186</v>
      </c>
      <c r="N610" s="43" t="s">
        <v>6186</v>
      </c>
      <c r="O610" s="43" t="s">
        <v>6186</v>
      </c>
      <c r="P610" s="43" t="s">
        <v>6186</v>
      </c>
    </row>
    <row r="611" spans="1:16" ht="14.25" customHeight="1" x14ac:dyDescent="0.15">
      <c r="A611" s="42" t="s">
        <v>6194</v>
      </c>
      <c r="B611" s="40" t="s">
        <v>11</v>
      </c>
      <c r="C611" s="43" t="s">
        <v>6186</v>
      </c>
      <c r="D611" s="43" t="s">
        <v>6186</v>
      </c>
      <c r="E611" s="43" t="s">
        <v>6186</v>
      </c>
      <c r="F611" s="43" t="s">
        <v>6186</v>
      </c>
      <c r="G611" s="43" t="s">
        <v>6186</v>
      </c>
      <c r="H611" s="43" t="s">
        <v>6186</v>
      </c>
      <c r="I611" s="42" t="s">
        <v>6195</v>
      </c>
      <c r="J611" s="40" t="s">
        <v>13</v>
      </c>
      <c r="K611" s="44">
        <v>0.33263888888888898</v>
      </c>
      <c r="L611" s="45" t="s">
        <v>6377</v>
      </c>
      <c r="M611" s="42" t="s">
        <v>6186</v>
      </c>
      <c r="N611" s="42" t="s">
        <v>6186</v>
      </c>
      <c r="O611" s="42" t="s">
        <v>6186</v>
      </c>
      <c r="P611" s="42" t="s">
        <v>6186</v>
      </c>
    </row>
    <row r="612" spans="1:16" ht="14.25" customHeight="1" x14ac:dyDescent="0.15">
      <c r="A612" s="42" t="s">
        <v>6198</v>
      </c>
      <c r="B612" s="40" t="s">
        <v>14</v>
      </c>
      <c r="C612" s="42" t="s">
        <v>6186</v>
      </c>
      <c r="D612" s="42" t="s">
        <v>6186</v>
      </c>
      <c r="E612" s="42" t="s">
        <v>6186</v>
      </c>
      <c r="F612" s="42" t="s">
        <v>6186</v>
      </c>
      <c r="G612" s="42" t="s">
        <v>6186</v>
      </c>
      <c r="H612" s="42" t="s">
        <v>6186</v>
      </c>
      <c r="I612" s="42" t="s">
        <v>6199</v>
      </c>
      <c r="J612" s="40" t="s">
        <v>15</v>
      </c>
      <c r="K612" s="44">
        <v>0.33263888888888898</v>
      </c>
      <c r="L612" s="45" t="s">
        <v>6576</v>
      </c>
      <c r="M612" s="42" t="s">
        <v>6186</v>
      </c>
      <c r="N612" s="42" t="s">
        <v>6186</v>
      </c>
      <c r="O612" s="42" t="s">
        <v>6186</v>
      </c>
      <c r="P612" s="42" t="s">
        <v>6186</v>
      </c>
    </row>
    <row r="613" spans="1:16" ht="14.25" customHeight="1" x14ac:dyDescent="0.15">
      <c r="A613" s="42" t="s">
        <v>6202</v>
      </c>
      <c r="B613" s="40" t="s">
        <v>13</v>
      </c>
      <c r="C613" s="42" t="s">
        <v>6186</v>
      </c>
      <c r="D613" s="42" t="s">
        <v>6186</v>
      </c>
      <c r="E613" s="42" t="s">
        <v>6186</v>
      </c>
      <c r="F613" s="42" t="s">
        <v>6186</v>
      </c>
      <c r="G613" s="42" t="s">
        <v>6186</v>
      </c>
      <c r="H613" s="42" t="s">
        <v>6186</v>
      </c>
      <c r="I613" s="42" t="s">
        <v>6203</v>
      </c>
      <c r="J613" s="40" t="s">
        <v>16</v>
      </c>
      <c r="K613" s="42" t="s">
        <v>6393</v>
      </c>
      <c r="L613" s="42" t="s">
        <v>6503</v>
      </c>
      <c r="M613" s="42" t="s">
        <v>6186</v>
      </c>
      <c r="N613" s="42" t="s">
        <v>6186</v>
      </c>
      <c r="O613" s="42" t="s">
        <v>6186</v>
      </c>
      <c r="P613" s="42" t="s">
        <v>6186</v>
      </c>
    </row>
    <row r="614" spans="1:16" ht="14.25" customHeight="1" x14ac:dyDescent="0.15">
      <c r="A614" s="42" t="s">
        <v>6204</v>
      </c>
      <c r="B614" s="40" t="s">
        <v>15</v>
      </c>
      <c r="C614" s="42" t="s">
        <v>6186</v>
      </c>
      <c r="D614" s="42" t="s">
        <v>6186</v>
      </c>
      <c r="E614" s="42" t="s">
        <v>6186</v>
      </c>
      <c r="F614" s="42" t="s">
        <v>6186</v>
      </c>
      <c r="G614" s="42" t="s">
        <v>6186</v>
      </c>
      <c r="H614" s="42" t="s">
        <v>6186</v>
      </c>
      <c r="I614" s="42" t="s">
        <v>6205</v>
      </c>
      <c r="J614" s="40" t="s">
        <v>17</v>
      </c>
      <c r="K614" s="42" t="s">
        <v>6483</v>
      </c>
      <c r="L614" s="42" t="s">
        <v>6504</v>
      </c>
      <c r="M614" s="42" t="s">
        <v>6186</v>
      </c>
      <c r="N614" s="42" t="s">
        <v>6186</v>
      </c>
      <c r="O614" s="42" t="s">
        <v>6186</v>
      </c>
      <c r="P614" s="42" t="s">
        <v>6186</v>
      </c>
    </row>
    <row r="615" spans="1:16" ht="14.25" customHeight="1" x14ac:dyDescent="0.15">
      <c r="A615" s="42" t="s">
        <v>6206</v>
      </c>
      <c r="B615" s="40" t="s">
        <v>16</v>
      </c>
      <c r="C615" s="42" t="s">
        <v>6186</v>
      </c>
      <c r="D615" s="42" t="s">
        <v>6186</v>
      </c>
      <c r="E615" s="42" t="s">
        <v>6186</v>
      </c>
      <c r="F615" s="42" t="s">
        <v>6186</v>
      </c>
      <c r="G615" s="42" t="s">
        <v>6186</v>
      </c>
      <c r="H615" s="42" t="s">
        <v>6186</v>
      </c>
      <c r="I615" s="42" t="s">
        <v>6207</v>
      </c>
      <c r="J615" s="40" t="s">
        <v>18</v>
      </c>
      <c r="K615" s="42" t="s">
        <v>6502</v>
      </c>
      <c r="L615" s="42" t="s">
        <v>6504</v>
      </c>
      <c r="M615" s="42" t="s">
        <v>6186</v>
      </c>
      <c r="N615" s="42" t="s">
        <v>6186</v>
      </c>
      <c r="O615" s="42" t="s">
        <v>6186</v>
      </c>
      <c r="P615" s="42" t="s">
        <v>6186</v>
      </c>
    </row>
    <row r="616" spans="1:16" ht="14.25" customHeight="1" x14ac:dyDescent="0.15">
      <c r="A616" s="42" t="s">
        <v>6208</v>
      </c>
      <c r="B616" s="40" t="s">
        <v>17</v>
      </c>
      <c r="C616" s="42" t="s">
        <v>6186</v>
      </c>
      <c r="D616" s="42" t="s">
        <v>6186</v>
      </c>
      <c r="E616" s="42" t="s">
        <v>6186</v>
      </c>
      <c r="F616" s="42" t="s">
        <v>6186</v>
      </c>
      <c r="G616" s="42" t="s">
        <v>6186</v>
      </c>
      <c r="H616" s="42" t="s">
        <v>6186</v>
      </c>
      <c r="I616" s="42" t="s">
        <v>6211</v>
      </c>
      <c r="J616" s="40" t="s">
        <v>11</v>
      </c>
      <c r="K616" s="42" t="s">
        <v>6458</v>
      </c>
      <c r="L616" s="42" t="s">
        <v>6505</v>
      </c>
      <c r="M616" s="42" t="s">
        <v>6186</v>
      </c>
      <c r="N616" s="42" t="s">
        <v>6186</v>
      </c>
      <c r="O616" s="42" t="s">
        <v>6186</v>
      </c>
      <c r="P616" s="42" t="s">
        <v>6186</v>
      </c>
    </row>
    <row r="617" spans="1:16" ht="14.25" customHeight="1" x14ac:dyDescent="0.15">
      <c r="A617" s="42" t="s">
        <v>6212</v>
      </c>
      <c r="B617" s="40" t="s">
        <v>18</v>
      </c>
      <c r="C617" s="42" t="s">
        <v>6186</v>
      </c>
      <c r="D617" s="42" t="s">
        <v>6186</v>
      </c>
      <c r="E617" s="42" t="s">
        <v>6186</v>
      </c>
      <c r="F617" s="42" t="s">
        <v>6186</v>
      </c>
      <c r="G617" s="42" t="s">
        <v>6186</v>
      </c>
      <c r="H617" s="42" t="s">
        <v>6186</v>
      </c>
      <c r="I617" s="42" t="s">
        <v>6215</v>
      </c>
      <c r="J617" s="40" t="s">
        <v>14</v>
      </c>
      <c r="K617" s="42" t="s">
        <v>6483</v>
      </c>
      <c r="L617" s="45" t="s">
        <v>6377</v>
      </c>
      <c r="M617" s="42" t="s">
        <v>6186</v>
      </c>
      <c r="N617" s="42" t="s">
        <v>6186</v>
      </c>
      <c r="O617" s="42" t="s">
        <v>6186</v>
      </c>
      <c r="P617" s="42" t="s">
        <v>6186</v>
      </c>
    </row>
    <row r="618" spans="1:16" ht="14.25" customHeight="1" x14ac:dyDescent="0.15">
      <c r="A618" s="42" t="s">
        <v>6216</v>
      </c>
      <c r="B618" s="40" t="s">
        <v>11</v>
      </c>
      <c r="C618" s="42" t="s">
        <v>6186</v>
      </c>
      <c r="D618" s="42" t="s">
        <v>6186</v>
      </c>
      <c r="E618" s="42" t="s">
        <v>6186</v>
      </c>
      <c r="F618" s="42" t="s">
        <v>6186</v>
      </c>
      <c r="G618" s="42" t="s">
        <v>6186</v>
      </c>
      <c r="H618" s="42" t="s">
        <v>6186</v>
      </c>
      <c r="I618" s="42" t="s">
        <v>6219</v>
      </c>
      <c r="J618" s="40" t="s">
        <v>13</v>
      </c>
      <c r="K618" s="42" t="s">
        <v>6390</v>
      </c>
      <c r="L618" s="45" t="s">
        <v>6576</v>
      </c>
      <c r="M618" s="43" t="s">
        <v>6186</v>
      </c>
      <c r="N618" s="43" t="s">
        <v>6186</v>
      </c>
      <c r="O618" s="43" t="s">
        <v>6186</v>
      </c>
      <c r="P618" s="43" t="s">
        <v>6186</v>
      </c>
    </row>
    <row r="619" spans="1:16" ht="14.25" customHeight="1" x14ac:dyDescent="0.15">
      <c r="A619" s="42" t="s">
        <v>6220</v>
      </c>
      <c r="B619" s="40" t="s">
        <v>14</v>
      </c>
      <c r="C619" s="43" t="s">
        <v>6186</v>
      </c>
      <c r="D619" s="43" t="s">
        <v>6186</v>
      </c>
      <c r="E619" s="43" t="s">
        <v>6186</v>
      </c>
      <c r="F619" s="43" t="s">
        <v>6186</v>
      </c>
      <c r="G619" s="43" t="s">
        <v>6186</v>
      </c>
      <c r="H619" s="43" t="s">
        <v>6186</v>
      </c>
      <c r="I619" s="42" t="s">
        <v>6221</v>
      </c>
      <c r="J619" s="40" t="s">
        <v>15</v>
      </c>
      <c r="K619" s="42" t="s">
        <v>6346</v>
      </c>
      <c r="L619" s="42" t="s">
        <v>6580</v>
      </c>
      <c r="M619" s="43" t="s">
        <v>6186</v>
      </c>
      <c r="N619" s="43" t="s">
        <v>6186</v>
      </c>
      <c r="O619" s="43" t="s">
        <v>6186</v>
      </c>
      <c r="P619" s="43" t="s">
        <v>6186</v>
      </c>
    </row>
    <row r="620" spans="1:16" ht="14.25" customHeight="1" x14ac:dyDescent="0.15">
      <c r="A620" s="42" t="s">
        <v>6222</v>
      </c>
      <c r="B620" s="40" t="s">
        <v>13</v>
      </c>
      <c r="C620" s="43" t="s">
        <v>6186</v>
      </c>
      <c r="D620" s="43" t="s">
        <v>6186</v>
      </c>
      <c r="E620" s="43" t="s">
        <v>6186</v>
      </c>
      <c r="F620" s="43" t="s">
        <v>6186</v>
      </c>
      <c r="G620" s="43" t="s">
        <v>6186</v>
      </c>
      <c r="H620" s="43" t="s">
        <v>6186</v>
      </c>
      <c r="I620" s="42" t="s">
        <v>6224</v>
      </c>
      <c r="J620" s="40" t="s">
        <v>16</v>
      </c>
      <c r="K620" s="42" t="s">
        <v>6433</v>
      </c>
      <c r="L620" s="42" t="s">
        <v>6241</v>
      </c>
      <c r="M620" s="43" t="s">
        <v>6186</v>
      </c>
      <c r="N620" s="43" t="s">
        <v>6186</v>
      </c>
      <c r="O620" s="43" t="s">
        <v>6186</v>
      </c>
      <c r="P620" s="43" t="s">
        <v>6186</v>
      </c>
    </row>
    <row r="621" spans="1:16" ht="14.25" customHeight="1" x14ac:dyDescent="0.15">
      <c r="A621" s="42" t="s">
        <v>6225</v>
      </c>
      <c r="B621" s="40" t="s">
        <v>15</v>
      </c>
      <c r="C621" s="43" t="s">
        <v>6186</v>
      </c>
      <c r="D621" s="43" t="s">
        <v>6186</v>
      </c>
      <c r="E621" s="43" t="s">
        <v>6186</v>
      </c>
      <c r="F621" s="43" t="s">
        <v>6186</v>
      </c>
      <c r="G621" s="43" t="s">
        <v>6186</v>
      </c>
      <c r="H621" s="43" t="s">
        <v>6186</v>
      </c>
      <c r="I621" s="42" t="s">
        <v>6227</v>
      </c>
      <c r="J621" s="40" t="s">
        <v>17</v>
      </c>
      <c r="K621" s="42" t="s">
        <v>6330</v>
      </c>
      <c r="L621" s="42" t="s">
        <v>6581</v>
      </c>
      <c r="M621" s="43" t="s">
        <v>6186</v>
      </c>
      <c r="N621" s="43" t="s">
        <v>6186</v>
      </c>
      <c r="O621" s="43" t="s">
        <v>6186</v>
      </c>
      <c r="P621" s="43" t="s">
        <v>6186</v>
      </c>
    </row>
    <row r="622" spans="1:16" ht="14.25" customHeight="1" x14ac:dyDescent="0.15">
      <c r="A622" s="42" t="s">
        <v>6228</v>
      </c>
      <c r="B622" s="40" t="s">
        <v>16</v>
      </c>
      <c r="C622" s="43" t="s">
        <v>6186</v>
      </c>
      <c r="D622" s="43" t="s">
        <v>6186</v>
      </c>
      <c r="E622" s="43" t="s">
        <v>6186</v>
      </c>
      <c r="F622" s="43" t="s">
        <v>6186</v>
      </c>
      <c r="G622" s="43" t="s">
        <v>6186</v>
      </c>
      <c r="H622" s="43" t="s">
        <v>6186</v>
      </c>
      <c r="I622" s="42" t="s">
        <v>6230</v>
      </c>
      <c r="J622" s="40" t="s">
        <v>18</v>
      </c>
      <c r="K622" s="42" t="s">
        <v>6315</v>
      </c>
      <c r="L622" s="44">
        <v>0.806944444455439</v>
      </c>
      <c r="M622" s="43" t="s">
        <v>6186</v>
      </c>
      <c r="N622" s="43" t="s">
        <v>6186</v>
      </c>
      <c r="O622" s="43" t="s">
        <v>6186</v>
      </c>
      <c r="P622" s="43" t="s">
        <v>6186</v>
      </c>
    </row>
    <row r="623" spans="1:16" ht="14.25" customHeight="1" x14ac:dyDescent="0.15">
      <c r="A623" s="42" t="s">
        <v>6231</v>
      </c>
      <c r="B623" s="40" t="s">
        <v>17</v>
      </c>
      <c r="C623" s="43" t="s">
        <v>6186</v>
      </c>
      <c r="D623" s="43" t="s">
        <v>6186</v>
      </c>
      <c r="E623" s="43" t="s">
        <v>6186</v>
      </c>
      <c r="F623" s="43" t="s">
        <v>6186</v>
      </c>
      <c r="G623" s="43" t="s">
        <v>6186</v>
      </c>
      <c r="H623" s="43" t="s">
        <v>6186</v>
      </c>
      <c r="I623" s="42" t="s">
        <v>6234</v>
      </c>
      <c r="J623" s="40" t="s">
        <v>11</v>
      </c>
      <c r="K623" s="44">
        <v>0.33263888888177501</v>
      </c>
      <c r="L623" s="45" t="s">
        <v>6377</v>
      </c>
      <c r="M623" s="43" t="s">
        <v>6186</v>
      </c>
      <c r="N623" s="43" t="s">
        <v>6186</v>
      </c>
      <c r="O623" s="43" t="s">
        <v>6186</v>
      </c>
      <c r="P623" s="43" t="s">
        <v>6186</v>
      </c>
    </row>
    <row r="624" spans="1:16" ht="14.25" customHeight="1" x14ac:dyDescent="0.15">
      <c r="A624" s="42" t="s">
        <v>6235</v>
      </c>
      <c r="B624" s="40" t="s">
        <v>18</v>
      </c>
      <c r="C624" s="44">
        <v>0.322916666656965</v>
      </c>
      <c r="D624" s="44">
        <v>0.72916666665696495</v>
      </c>
      <c r="E624" s="43" t="s">
        <v>6186</v>
      </c>
      <c r="F624" s="43" t="s">
        <v>6186</v>
      </c>
      <c r="G624" s="43" t="s">
        <v>6186</v>
      </c>
      <c r="H624" s="43" t="s">
        <v>6186</v>
      </c>
      <c r="I624" s="42" t="s">
        <v>12</v>
      </c>
      <c r="J624" s="42" t="s">
        <v>12</v>
      </c>
      <c r="K624" s="42" t="s">
        <v>12</v>
      </c>
      <c r="L624" s="42" t="s">
        <v>12</v>
      </c>
      <c r="M624" s="42" t="s">
        <v>12</v>
      </c>
      <c r="N624" s="42" t="s">
        <v>12</v>
      </c>
      <c r="O624" s="42" t="s">
        <v>12</v>
      </c>
      <c r="P624" s="42" t="s">
        <v>12</v>
      </c>
    </row>
    <row r="625" spans="1:16" ht="14.25" customHeight="1" x14ac:dyDescent="0.15">
      <c r="A625" s="35"/>
      <c r="C625" s="46"/>
      <c r="D625" s="46"/>
      <c r="E625" s="46"/>
      <c r="F625" s="46"/>
      <c r="G625" s="47"/>
      <c r="H625" s="47"/>
      <c r="I625" s="36"/>
      <c r="M625" s="131" t="s">
        <v>6237</v>
      </c>
      <c r="N625" s="131"/>
      <c r="O625" s="131"/>
      <c r="P625" s="131"/>
    </row>
    <row r="626" spans="1:16" ht="14.25" customHeight="1" x14ac:dyDescent="0.15">
      <c r="A626" s="34"/>
    </row>
    <row r="627" spans="1:16" ht="14.25" customHeight="1" x14ac:dyDescent="0.15">
      <c r="A627" s="34"/>
    </row>
    <row r="628" spans="1:16" ht="14.25" customHeight="1" x14ac:dyDescent="0.15">
      <c r="A628" s="35"/>
      <c r="B628" s="36"/>
    </row>
    <row r="629" spans="1:16" ht="14.25" customHeight="1" x14ac:dyDescent="0.15">
      <c r="A629" s="124" t="s">
        <v>6178</v>
      </c>
      <c r="B629" s="125"/>
      <c r="C629" s="125"/>
      <c r="D629" s="126"/>
      <c r="E629" s="124" t="s">
        <v>6582</v>
      </c>
      <c r="F629" s="125"/>
      <c r="G629" s="126"/>
      <c r="H629" s="124" t="s">
        <v>6583</v>
      </c>
      <c r="I629" s="126"/>
      <c r="J629" s="125" t="s">
        <v>6181</v>
      </c>
      <c r="K629" s="125"/>
      <c r="L629" s="126"/>
      <c r="M629" s="124" t="s">
        <v>6182</v>
      </c>
      <c r="N629" s="125"/>
      <c r="O629" s="125"/>
      <c r="P629" s="126"/>
    </row>
    <row r="630" spans="1:16" ht="14.25" customHeight="1" x14ac:dyDescent="0.15">
      <c r="A630" s="124" t="s">
        <v>6273</v>
      </c>
      <c r="B630" s="125"/>
      <c r="C630" s="125"/>
      <c r="D630" s="125"/>
      <c r="E630" s="125"/>
      <c r="F630" s="125"/>
      <c r="G630" s="125"/>
      <c r="H630" s="125"/>
      <c r="I630" s="125"/>
      <c r="J630" s="125"/>
      <c r="K630" s="125"/>
      <c r="L630" s="125"/>
      <c r="M630" s="125"/>
      <c r="N630" s="125"/>
      <c r="O630" s="125"/>
      <c r="P630" s="126"/>
    </row>
    <row r="631" spans="1:16" ht="14.25" customHeight="1" x14ac:dyDescent="0.15">
      <c r="A631" s="124" t="s">
        <v>6184</v>
      </c>
      <c r="B631" s="125"/>
      <c r="C631" s="125"/>
      <c r="D631" s="125"/>
      <c r="E631" s="125"/>
      <c r="F631" s="125"/>
      <c r="G631" s="125"/>
      <c r="H631" s="125"/>
      <c r="I631" s="125"/>
      <c r="J631" s="125"/>
      <c r="K631" s="125"/>
      <c r="L631" s="125"/>
      <c r="M631" s="125"/>
      <c r="N631" s="125"/>
      <c r="O631" s="125"/>
      <c r="P631" s="126"/>
    </row>
    <row r="632" spans="1:16" ht="14.25" customHeight="1" x14ac:dyDescent="0.15">
      <c r="A632" s="37"/>
      <c r="B632" s="38"/>
      <c r="C632" s="127" t="s">
        <v>4</v>
      </c>
      <c r="D632" s="128"/>
      <c r="E632" s="129" t="s">
        <v>5</v>
      </c>
      <c r="F632" s="130"/>
      <c r="G632" s="129" t="s">
        <v>6</v>
      </c>
      <c r="H632" s="130"/>
      <c r="I632" s="38"/>
      <c r="J632" s="38"/>
      <c r="K632" s="127" t="s">
        <v>4</v>
      </c>
      <c r="L632" s="128"/>
      <c r="M632" s="129" t="s">
        <v>5</v>
      </c>
      <c r="N632" s="130"/>
      <c r="O632" s="129" t="s">
        <v>6</v>
      </c>
      <c r="P632" s="130"/>
    </row>
    <row r="633" spans="1:16" ht="24" customHeight="1" x14ac:dyDescent="0.15">
      <c r="A633" s="39" t="s">
        <v>7</v>
      </c>
      <c r="B633" s="40" t="s">
        <v>8</v>
      </c>
      <c r="C633" s="41" t="s">
        <v>9</v>
      </c>
      <c r="D633" s="41" t="s">
        <v>10</v>
      </c>
      <c r="E633" s="41" t="s">
        <v>9</v>
      </c>
      <c r="F633" s="41" t="s">
        <v>10</v>
      </c>
      <c r="G633" s="41" t="s">
        <v>9</v>
      </c>
      <c r="H633" s="41" t="s">
        <v>10</v>
      </c>
      <c r="I633" s="48" t="s">
        <v>7</v>
      </c>
      <c r="J633" s="40" t="s">
        <v>8</v>
      </c>
      <c r="K633" s="41" t="s">
        <v>9</v>
      </c>
      <c r="L633" s="41" t="s">
        <v>10</v>
      </c>
      <c r="M633" s="41" t="s">
        <v>9</v>
      </c>
      <c r="N633" s="41" t="s">
        <v>10</v>
      </c>
      <c r="O633" s="41" t="s">
        <v>9</v>
      </c>
      <c r="P633" s="41" t="s">
        <v>10</v>
      </c>
    </row>
    <row r="634" spans="1:16" ht="14.25" customHeight="1" x14ac:dyDescent="0.15">
      <c r="A634" s="42" t="s">
        <v>6185</v>
      </c>
      <c r="B634" s="40" t="s">
        <v>17</v>
      </c>
      <c r="C634" s="42" t="s">
        <v>6186</v>
      </c>
      <c r="D634" s="42" t="s">
        <v>6186</v>
      </c>
      <c r="E634" s="42" t="s">
        <v>6186</v>
      </c>
      <c r="F634" s="42" t="s">
        <v>6186</v>
      </c>
      <c r="G634" s="42" t="s">
        <v>6186</v>
      </c>
      <c r="H634" s="42" t="s">
        <v>6186</v>
      </c>
      <c r="I634" s="42" t="s">
        <v>6187</v>
      </c>
      <c r="J634" s="40" t="s">
        <v>11</v>
      </c>
      <c r="K634" s="42" t="s">
        <v>6315</v>
      </c>
      <c r="L634" s="42" t="s">
        <v>6316</v>
      </c>
      <c r="M634" s="42" t="s">
        <v>6186</v>
      </c>
      <c r="N634" s="42" t="s">
        <v>6186</v>
      </c>
      <c r="O634" s="42" t="s">
        <v>6186</v>
      </c>
      <c r="P634" s="42" t="s">
        <v>6186</v>
      </c>
    </row>
    <row r="635" spans="1:16" ht="14.25" customHeight="1" x14ac:dyDescent="0.15">
      <c r="A635" s="42" t="s">
        <v>6190</v>
      </c>
      <c r="B635" s="40" t="s">
        <v>18</v>
      </c>
      <c r="C635" s="42" t="s">
        <v>6186</v>
      </c>
      <c r="D635" s="42" t="s">
        <v>6186</v>
      </c>
      <c r="E635" s="42" t="s">
        <v>6186</v>
      </c>
      <c r="F635" s="42" t="s">
        <v>6186</v>
      </c>
      <c r="G635" s="42" t="s">
        <v>6186</v>
      </c>
      <c r="H635" s="42" t="s">
        <v>6186</v>
      </c>
      <c r="I635" s="42" t="s">
        <v>6191</v>
      </c>
      <c r="J635" s="40" t="s">
        <v>14</v>
      </c>
      <c r="K635" s="42" t="s">
        <v>6317</v>
      </c>
      <c r="L635" s="42" t="s">
        <v>6318</v>
      </c>
      <c r="M635" s="42" t="s">
        <v>6186</v>
      </c>
      <c r="N635" s="42" t="s">
        <v>6186</v>
      </c>
      <c r="O635" s="42" t="s">
        <v>6186</v>
      </c>
      <c r="P635" s="42" t="s">
        <v>6186</v>
      </c>
    </row>
    <row r="636" spans="1:16" ht="14.25" customHeight="1" x14ac:dyDescent="0.15">
      <c r="A636" s="42" t="s">
        <v>6194</v>
      </c>
      <c r="B636" s="40" t="s">
        <v>11</v>
      </c>
      <c r="C636" s="42" t="s">
        <v>6186</v>
      </c>
      <c r="D636" s="42" t="s">
        <v>6186</v>
      </c>
      <c r="E636" s="42" t="s">
        <v>6186</v>
      </c>
      <c r="F636" s="42" t="s">
        <v>6186</v>
      </c>
      <c r="G636" s="42" t="s">
        <v>6186</v>
      </c>
      <c r="H636" s="42" t="s">
        <v>6186</v>
      </c>
      <c r="I636" s="42" t="s">
        <v>6195</v>
      </c>
      <c r="J636" s="40" t="s">
        <v>13</v>
      </c>
      <c r="K636" s="42" t="s">
        <v>6317</v>
      </c>
      <c r="L636" s="42" t="s">
        <v>6320</v>
      </c>
      <c r="M636" s="42" t="s">
        <v>6186</v>
      </c>
      <c r="N636" s="42" t="s">
        <v>6186</v>
      </c>
      <c r="O636" s="42" t="s">
        <v>6186</v>
      </c>
      <c r="P636" s="42" t="s">
        <v>6186</v>
      </c>
    </row>
    <row r="637" spans="1:16" ht="14.25" customHeight="1" x14ac:dyDescent="0.15">
      <c r="A637" s="42" t="s">
        <v>6198</v>
      </c>
      <c r="B637" s="40" t="s">
        <v>14</v>
      </c>
      <c r="C637" s="42" t="s">
        <v>6186</v>
      </c>
      <c r="D637" s="42" t="s">
        <v>6186</v>
      </c>
      <c r="E637" s="42" t="s">
        <v>6186</v>
      </c>
      <c r="F637" s="42" t="s">
        <v>6186</v>
      </c>
      <c r="G637" s="42" t="s">
        <v>6186</v>
      </c>
      <c r="H637" s="42" t="s">
        <v>6186</v>
      </c>
      <c r="I637" s="42" t="s">
        <v>6199</v>
      </c>
      <c r="J637" s="40" t="s">
        <v>15</v>
      </c>
      <c r="K637" s="42" t="s">
        <v>6321</v>
      </c>
      <c r="L637" s="42" t="s">
        <v>6509</v>
      </c>
      <c r="M637" s="42" t="s">
        <v>6186</v>
      </c>
      <c r="N637" s="42" t="s">
        <v>6186</v>
      </c>
      <c r="O637" s="42" t="s">
        <v>6186</v>
      </c>
      <c r="P637" s="42" t="s">
        <v>6186</v>
      </c>
    </row>
    <row r="638" spans="1:16" ht="14.25" customHeight="1" x14ac:dyDescent="0.15">
      <c r="A638" s="42" t="s">
        <v>6202</v>
      </c>
      <c r="B638" s="40" t="s">
        <v>13</v>
      </c>
      <c r="C638" s="42" t="s">
        <v>6186</v>
      </c>
      <c r="D638" s="42" t="s">
        <v>6186</v>
      </c>
      <c r="E638" s="42" t="s">
        <v>6186</v>
      </c>
      <c r="F638" s="42" t="s">
        <v>6186</v>
      </c>
      <c r="G638" s="42" t="s">
        <v>6186</v>
      </c>
      <c r="H638" s="42" t="s">
        <v>6186</v>
      </c>
      <c r="I638" s="42" t="s">
        <v>6203</v>
      </c>
      <c r="J638" s="40" t="s">
        <v>16</v>
      </c>
      <c r="K638" s="42" t="s">
        <v>6393</v>
      </c>
      <c r="L638" s="42" t="s">
        <v>6324</v>
      </c>
      <c r="M638" s="42" t="s">
        <v>6186</v>
      </c>
      <c r="N638" s="42" t="s">
        <v>6186</v>
      </c>
      <c r="O638" s="42" t="s">
        <v>6186</v>
      </c>
      <c r="P638" s="42" t="s">
        <v>6186</v>
      </c>
    </row>
    <row r="639" spans="1:16" ht="14.25" customHeight="1" x14ac:dyDescent="0.15">
      <c r="A639" s="42" t="s">
        <v>6204</v>
      </c>
      <c r="B639" s="40" t="s">
        <v>15</v>
      </c>
      <c r="C639" s="42" t="s">
        <v>6186</v>
      </c>
      <c r="D639" s="42" t="s">
        <v>6186</v>
      </c>
      <c r="E639" s="42" t="s">
        <v>6186</v>
      </c>
      <c r="F639" s="42" t="s">
        <v>6186</v>
      </c>
      <c r="G639" s="42" t="s">
        <v>6186</v>
      </c>
      <c r="H639" s="42" t="s">
        <v>6186</v>
      </c>
      <c r="I639" s="42" t="s">
        <v>6205</v>
      </c>
      <c r="J639" s="40" t="s">
        <v>17</v>
      </c>
      <c r="K639" s="42" t="s">
        <v>6483</v>
      </c>
      <c r="L639" s="42" t="s">
        <v>6318</v>
      </c>
      <c r="M639" s="43" t="s">
        <v>6186</v>
      </c>
      <c r="N639" s="43" t="s">
        <v>6186</v>
      </c>
      <c r="O639" s="43" t="s">
        <v>6186</v>
      </c>
      <c r="P639" s="43" t="s">
        <v>6186</v>
      </c>
    </row>
    <row r="640" spans="1:16" ht="14.25" customHeight="1" x14ac:dyDescent="0.15">
      <c r="A640" s="42" t="s">
        <v>6206</v>
      </c>
      <c r="B640" s="40" t="s">
        <v>16</v>
      </c>
      <c r="C640" s="43" t="s">
        <v>6186</v>
      </c>
      <c r="D640" s="43" t="s">
        <v>6186</v>
      </c>
      <c r="E640" s="43" t="s">
        <v>6186</v>
      </c>
      <c r="F640" s="43" t="s">
        <v>6186</v>
      </c>
      <c r="G640" s="43" t="s">
        <v>6186</v>
      </c>
      <c r="H640" s="43" t="s">
        <v>6186</v>
      </c>
      <c r="I640" s="42" t="s">
        <v>6207</v>
      </c>
      <c r="J640" s="40" t="s">
        <v>18</v>
      </c>
      <c r="K640" s="42" t="s">
        <v>6502</v>
      </c>
      <c r="L640" s="42" t="s">
        <v>6584</v>
      </c>
      <c r="M640" s="42" t="s">
        <v>6186</v>
      </c>
      <c r="N640" s="42" t="s">
        <v>6186</v>
      </c>
      <c r="O640" s="42" t="s">
        <v>6186</v>
      </c>
      <c r="P640" s="42" t="s">
        <v>6186</v>
      </c>
    </row>
    <row r="641" spans="1:16" ht="14.25" customHeight="1" x14ac:dyDescent="0.15">
      <c r="A641" s="42" t="s">
        <v>6208</v>
      </c>
      <c r="B641" s="40" t="s">
        <v>17</v>
      </c>
      <c r="C641" s="42" t="s">
        <v>6186</v>
      </c>
      <c r="D641" s="42" t="s">
        <v>6186</v>
      </c>
      <c r="E641" s="42" t="s">
        <v>6186</v>
      </c>
      <c r="F641" s="42" t="s">
        <v>6186</v>
      </c>
      <c r="G641" s="42" t="s">
        <v>6186</v>
      </c>
      <c r="H641" s="42" t="s">
        <v>6186</v>
      </c>
      <c r="I641" s="42" t="s">
        <v>6211</v>
      </c>
      <c r="J641" s="40" t="s">
        <v>11</v>
      </c>
      <c r="K641" s="42" t="s">
        <v>6458</v>
      </c>
      <c r="L641" s="42" t="s">
        <v>6328</v>
      </c>
      <c r="M641" s="42" t="s">
        <v>6186</v>
      </c>
      <c r="N641" s="42" t="s">
        <v>6186</v>
      </c>
      <c r="O641" s="42" t="s">
        <v>6186</v>
      </c>
      <c r="P641" s="42" t="s">
        <v>6186</v>
      </c>
    </row>
    <row r="642" spans="1:16" ht="14.25" customHeight="1" x14ac:dyDescent="0.15">
      <c r="A642" s="42" t="s">
        <v>6212</v>
      </c>
      <c r="B642" s="40" t="s">
        <v>18</v>
      </c>
      <c r="C642" s="42" t="s">
        <v>6186</v>
      </c>
      <c r="D642" s="42" t="s">
        <v>6186</v>
      </c>
      <c r="E642" s="42" t="s">
        <v>6186</v>
      </c>
      <c r="F642" s="42" t="s">
        <v>6186</v>
      </c>
      <c r="G642" s="42" t="s">
        <v>6186</v>
      </c>
      <c r="H642" s="42" t="s">
        <v>6186</v>
      </c>
      <c r="I642" s="42" t="s">
        <v>6215</v>
      </c>
      <c r="J642" s="40" t="s">
        <v>14</v>
      </c>
      <c r="K642" s="42" t="s">
        <v>6400</v>
      </c>
      <c r="L642" s="42" t="s">
        <v>6396</v>
      </c>
      <c r="M642" s="42" t="s">
        <v>6186</v>
      </c>
      <c r="N642" s="42" t="s">
        <v>6186</v>
      </c>
      <c r="O642" s="42" t="s">
        <v>6186</v>
      </c>
      <c r="P642" s="42" t="s">
        <v>6186</v>
      </c>
    </row>
    <row r="643" spans="1:16" ht="14.25" customHeight="1" x14ac:dyDescent="0.15">
      <c r="A643" s="42" t="s">
        <v>6216</v>
      </c>
      <c r="B643" s="40" t="s">
        <v>11</v>
      </c>
      <c r="C643" s="42" t="s">
        <v>6186</v>
      </c>
      <c r="D643" s="42" t="s">
        <v>6186</v>
      </c>
      <c r="E643" s="42" t="s">
        <v>6186</v>
      </c>
      <c r="F643" s="42" t="s">
        <v>6186</v>
      </c>
      <c r="G643" s="42" t="s">
        <v>6186</v>
      </c>
      <c r="H643" s="42" t="s">
        <v>6186</v>
      </c>
      <c r="I643" s="42" t="s">
        <v>6219</v>
      </c>
      <c r="J643" s="40" t="s">
        <v>13</v>
      </c>
      <c r="K643" s="42" t="s">
        <v>6390</v>
      </c>
      <c r="L643" s="42" t="s">
        <v>6333</v>
      </c>
      <c r="M643" s="42" t="s">
        <v>6186</v>
      </c>
      <c r="N643" s="42" t="s">
        <v>6186</v>
      </c>
      <c r="O643" s="42" t="s">
        <v>6186</v>
      </c>
      <c r="P643" s="42" t="s">
        <v>6186</v>
      </c>
    </row>
    <row r="644" spans="1:16" ht="14.25" customHeight="1" x14ac:dyDescent="0.15">
      <c r="A644" s="42" t="s">
        <v>6220</v>
      </c>
      <c r="B644" s="40" t="s">
        <v>14</v>
      </c>
      <c r="C644" s="42" t="s">
        <v>6186</v>
      </c>
      <c r="D644" s="42" t="s">
        <v>6186</v>
      </c>
      <c r="E644" s="42" t="s">
        <v>6186</v>
      </c>
      <c r="F644" s="42" t="s">
        <v>6186</v>
      </c>
      <c r="G644" s="42" t="s">
        <v>6186</v>
      </c>
      <c r="H644" s="42" t="s">
        <v>6186</v>
      </c>
      <c r="I644" s="42" t="s">
        <v>6221</v>
      </c>
      <c r="J644" s="40" t="s">
        <v>15</v>
      </c>
      <c r="K644" s="42" t="s">
        <v>6431</v>
      </c>
      <c r="L644" s="42" t="s">
        <v>6335</v>
      </c>
      <c r="M644" s="42" t="s">
        <v>6186</v>
      </c>
      <c r="N644" s="42" t="s">
        <v>6186</v>
      </c>
      <c r="O644" s="42" t="s">
        <v>6186</v>
      </c>
      <c r="P644" s="42" t="s">
        <v>6186</v>
      </c>
    </row>
    <row r="645" spans="1:16" ht="14.25" customHeight="1" x14ac:dyDescent="0.15">
      <c r="A645" s="42" t="s">
        <v>6222</v>
      </c>
      <c r="B645" s="40" t="s">
        <v>13</v>
      </c>
      <c r="C645" s="42" t="s">
        <v>6186</v>
      </c>
      <c r="D645" s="42" t="s">
        <v>6186</v>
      </c>
      <c r="E645" s="42" t="s">
        <v>6186</v>
      </c>
      <c r="F645" s="42" t="s">
        <v>6186</v>
      </c>
      <c r="G645" s="42" t="s">
        <v>6186</v>
      </c>
      <c r="H645" s="42" t="s">
        <v>6186</v>
      </c>
      <c r="I645" s="42" t="s">
        <v>6224</v>
      </c>
      <c r="J645" s="40" t="s">
        <v>16</v>
      </c>
      <c r="K645" s="42" t="s">
        <v>6340</v>
      </c>
      <c r="L645" s="42" t="s">
        <v>6338</v>
      </c>
      <c r="M645" s="42" t="s">
        <v>6186</v>
      </c>
      <c r="N645" s="42" t="s">
        <v>6186</v>
      </c>
      <c r="O645" s="42" t="s">
        <v>6186</v>
      </c>
      <c r="P645" s="42" t="s">
        <v>6186</v>
      </c>
    </row>
    <row r="646" spans="1:16" ht="14.25" customHeight="1" x14ac:dyDescent="0.15">
      <c r="A646" s="42" t="s">
        <v>6225</v>
      </c>
      <c r="B646" s="40" t="s">
        <v>15</v>
      </c>
      <c r="C646" s="42" t="s">
        <v>6186</v>
      </c>
      <c r="D646" s="42" t="s">
        <v>6186</v>
      </c>
      <c r="E646" s="42" t="s">
        <v>6186</v>
      </c>
      <c r="F646" s="42" t="s">
        <v>6186</v>
      </c>
      <c r="G646" s="42" t="s">
        <v>6186</v>
      </c>
      <c r="H646" s="42" t="s">
        <v>6186</v>
      </c>
      <c r="I646" s="42" t="s">
        <v>6227</v>
      </c>
      <c r="J646" s="40" t="s">
        <v>17</v>
      </c>
      <c r="K646" s="42" t="s">
        <v>6340</v>
      </c>
      <c r="L646" s="42" t="s">
        <v>6585</v>
      </c>
      <c r="M646" s="42" t="s">
        <v>6186</v>
      </c>
      <c r="N646" s="42" t="s">
        <v>6186</v>
      </c>
      <c r="O646" s="42" t="s">
        <v>6186</v>
      </c>
      <c r="P646" s="42" t="s">
        <v>6186</v>
      </c>
    </row>
    <row r="647" spans="1:16" ht="14.25" customHeight="1" x14ac:dyDescent="0.15">
      <c r="A647" s="42" t="s">
        <v>6228</v>
      </c>
      <c r="B647" s="40" t="s">
        <v>16</v>
      </c>
      <c r="C647" s="42" t="s">
        <v>6186</v>
      </c>
      <c r="D647" s="42" t="s">
        <v>6186</v>
      </c>
      <c r="E647" s="42" t="s">
        <v>6186</v>
      </c>
      <c r="F647" s="42" t="s">
        <v>6186</v>
      </c>
      <c r="G647" s="42" t="s">
        <v>6186</v>
      </c>
      <c r="H647" s="42" t="s">
        <v>6186</v>
      </c>
      <c r="I647" s="42" t="s">
        <v>6230</v>
      </c>
      <c r="J647" s="40" t="s">
        <v>18</v>
      </c>
      <c r="K647" s="42" t="s">
        <v>6315</v>
      </c>
      <c r="L647" s="42" t="s">
        <v>6345</v>
      </c>
      <c r="M647" s="42" t="s">
        <v>6186</v>
      </c>
      <c r="N647" s="42" t="s">
        <v>6186</v>
      </c>
      <c r="O647" s="42" t="s">
        <v>6186</v>
      </c>
      <c r="P647" s="42" t="s">
        <v>6186</v>
      </c>
    </row>
    <row r="648" spans="1:16" ht="14.25" customHeight="1" x14ac:dyDescent="0.15">
      <c r="A648" s="42" t="s">
        <v>6231</v>
      </c>
      <c r="B648" s="40" t="s">
        <v>17</v>
      </c>
      <c r="C648" s="42" t="s">
        <v>6186</v>
      </c>
      <c r="D648" s="42" t="s">
        <v>6186</v>
      </c>
      <c r="E648" s="42" t="s">
        <v>6186</v>
      </c>
      <c r="F648" s="42" t="s">
        <v>6186</v>
      </c>
      <c r="G648" s="42" t="s">
        <v>6186</v>
      </c>
      <c r="H648" s="42" t="s">
        <v>6186</v>
      </c>
      <c r="I648" s="42" t="s">
        <v>6234</v>
      </c>
      <c r="J648" s="40" t="s">
        <v>11</v>
      </c>
      <c r="K648" s="42" t="s">
        <v>6317</v>
      </c>
      <c r="L648" s="42" t="s">
        <v>6586</v>
      </c>
      <c r="M648" s="42" t="s">
        <v>6186</v>
      </c>
      <c r="N648" s="42" t="s">
        <v>6186</v>
      </c>
      <c r="O648" s="42" t="s">
        <v>6186</v>
      </c>
      <c r="P648" s="42" t="s">
        <v>6186</v>
      </c>
    </row>
    <row r="649" spans="1:16" ht="14.25" customHeight="1" x14ac:dyDescent="0.15">
      <c r="A649" s="42" t="s">
        <v>6235</v>
      </c>
      <c r="B649" s="40" t="s">
        <v>18</v>
      </c>
      <c r="C649" s="42" t="s">
        <v>6317</v>
      </c>
      <c r="D649" s="42" t="s">
        <v>6350</v>
      </c>
      <c r="E649" s="42" t="s">
        <v>6186</v>
      </c>
      <c r="F649" s="42" t="s">
        <v>6186</v>
      </c>
      <c r="G649" s="42" t="s">
        <v>6186</v>
      </c>
      <c r="H649" s="42" t="s">
        <v>6186</v>
      </c>
      <c r="I649" s="42" t="s">
        <v>12</v>
      </c>
      <c r="J649" s="42" t="s">
        <v>12</v>
      </c>
      <c r="K649" s="42" t="s">
        <v>12</v>
      </c>
      <c r="L649" s="42" t="s">
        <v>12</v>
      </c>
      <c r="M649" s="42" t="s">
        <v>12</v>
      </c>
      <c r="N649" s="42" t="s">
        <v>12</v>
      </c>
      <c r="O649" s="42" t="s">
        <v>12</v>
      </c>
      <c r="P649" s="42" t="s">
        <v>12</v>
      </c>
    </row>
    <row r="650" spans="1:16" ht="14.25" customHeight="1" x14ac:dyDescent="0.15">
      <c r="A650" s="35"/>
      <c r="C650" s="46"/>
      <c r="D650" s="46"/>
      <c r="E650" s="46"/>
      <c r="F650" s="46"/>
      <c r="G650" s="47"/>
      <c r="H650" s="47"/>
      <c r="I650" s="36"/>
      <c r="M650" s="131" t="s">
        <v>6237</v>
      </c>
      <c r="N650" s="131"/>
      <c r="O650" s="131"/>
      <c r="P650" s="131"/>
    </row>
    <row r="651" spans="1:16" ht="14.25" customHeight="1" x14ac:dyDescent="0.15">
      <c r="A651" s="34"/>
    </row>
    <row r="652" spans="1:16" ht="14.25" customHeight="1" x14ac:dyDescent="0.15">
      <c r="A652" s="34"/>
    </row>
    <row r="653" spans="1:16" ht="14.25" customHeight="1" x14ac:dyDescent="0.15">
      <c r="A653" s="35"/>
      <c r="B653" s="36"/>
    </row>
    <row r="654" spans="1:16" ht="14.25" customHeight="1" x14ac:dyDescent="0.15">
      <c r="A654" s="124" t="s">
        <v>6178</v>
      </c>
      <c r="B654" s="125"/>
      <c r="C654" s="125"/>
      <c r="D654" s="126"/>
      <c r="E654" s="124" t="s">
        <v>6587</v>
      </c>
      <c r="F654" s="125"/>
      <c r="G654" s="126"/>
      <c r="H654" s="124" t="s">
        <v>6293</v>
      </c>
      <c r="I654" s="126"/>
      <c r="J654" s="125" t="s">
        <v>6181</v>
      </c>
      <c r="K654" s="125"/>
      <c r="L654" s="126"/>
      <c r="M654" s="124" t="s">
        <v>6182</v>
      </c>
      <c r="N654" s="125"/>
      <c r="O654" s="125"/>
      <c r="P654" s="126"/>
    </row>
    <row r="655" spans="1:16" ht="14.25" customHeight="1" x14ac:dyDescent="0.15">
      <c r="A655" s="124" t="s">
        <v>6588</v>
      </c>
      <c r="B655" s="125"/>
      <c r="C655" s="125"/>
      <c r="D655" s="125"/>
      <c r="E655" s="125"/>
      <c r="F655" s="125"/>
      <c r="G655" s="125"/>
      <c r="H655" s="125"/>
      <c r="I655" s="125"/>
      <c r="J655" s="125"/>
      <c r="K655" s="125"/>
      <c r="L655" s="125"/>
      <c r="M655" s="125"/>
      <c r="N655" s="125"/>
      <c r="O655" s="125"/>
      <c r="P655" s="126"/>
    </row>
    <row r="656" spans="1:16" ht="14.25" customHeight="1" x14ac:dyDescent="0.15">
      <c r="A656" s="124" t="s">
        <v>6184</v>
      </c>
      <c r="B656" s="125"/>
      <c r="C656" s="125"/>
      <c r="D656" s="125"/>
      <c r="E656" s="125"/>
      <c r="F656" s="125"/>
      <c r="G656" s="125"/>
      <c r="H656" s="125"/>
      <c r="I656" s="125"/>
      <c r="J656" s="125"/>
      <c r="K656" s="125"/>
      <c r="L656" s="125"/>
      <c r="M656" s="125"/>
      <c r="N656" s="125"/>
      <c r="O656" s="125"/>
      <c r="P656" s="126"/>
    </row>
    <row r="657" spans="1:16" ht="14.25" customHeight="1" x14ac:dyDescent="0.15">
      <c r="A657" s="37"/>
      <c r="B657" s="38"/>
      <c r="C657" s="127" t="s">
        <v>4</v>
      </c>
      <c r="D657" s="128"/>
      <c r="E657" s="129" t="s">
        <v>5</v>
      </c>
      <c r="F657" s="130"/>
      <c r="G657" s="129" t="s">
        <v>6</v>
      </c>
      <c r="H657" s="130"/>
      <c r="I657" s="38"/>
      <c r="J657" s="38"/>
      <c r="K657" s="127" t="s">
        <v>4</v>
      </c>
      <c r="L657" s="128"/>
      <c r="M657" s="129" t="s">
        <v>5</v>
      </c>
      <c r="N657" s="130"/>
      <c r="O657" s="129" t="s">
        <v>6</v>
      </c>
      <c r="P657" s="130"/>
    </row>
    <row r="658" spans="1:16" ht="24" customHeight="1" x14ac:dyDescent="0.15">
      <c r="A658" s="39" t="s">
        <v>7</v>
      </c>
      <c r="B658" s="40" t="s">
        <v>8</v>
      </c>
      <c r="C658" s="41" t="s">
        <v>9</v>
      </c>
      <c r="D658" s="41" t="s">
        <v>10</v>
      </c>
      <c r="E658" s="41" t="s">
        <v>9</v>
      </c>
      <c r="F658" s="41" t="s">
        <v>10</v>
      </c>
      <c r="G658" s="41" t="s">
        <v>9</v>
      </c>
      <c r="H658" s="41" t="s">
        <v>10</v>
      </c>
      <c r="I658" s="48" t="s">
        <v>7</v>
      </c>
      <c r="J658" s="40" t="s">
        <v>8</v>
      </c>
      <c r="K658" s="41" t="s">
        <v>9</v>
      </c>
      <c r="L658" s="41" t="s">
        <v>10</v>
      </c>
      <c r="M658" s="41" t="s">
        <v>9</v>
      </c>
      <c r="N658" s="41" t="s">
        <v>10</v>
      </c>
      <c r="O658" s="41" t="s">
        <v>9</v>
      </c>
      <c r="P658" s="41" t="s">
        <v>10</v>
      </c>
    </row>
    <row r="659" spans="1:16" ht="14.25" customHeight="1" x14ac:dyDescent="0.15">
      <c r="A659" s="42" t="s">
        <v>6185</v>
      </c>
      <c r="B659" s="40" t="s">
        <v>17</v>
      </c>
      <c r="C659" s="42" t="s">
        <v>6186</v>
      </c>
      <c r="D659" s="42" t="s">
        <v>6186</v>
      </c>
      <c r="E659" s="42" t="s">
        <v>6186</v>
      </c>
      <c r="F659" s="42" t="s">
        <v>6186</v>
      </c>
      <c r="G659" s="42" t="s">
        <v>6186</v>
      </c>
      <c r="H659" s="42" t="s">
        <v>6186</v>
      </c>
      <c r="I659" s="42" t="s">
        <v>6187</v>
      </c>
      <c r="J659" s="40" t="s">
        <v>11</v>
      </c>
      <c r="K659" s="42" t="s">
        <v>6463</v>
      </c>
      <c r="L659" s="42" t="s">
        <v>6481</v>
      </c>
      <c r="M659" s="42" t="s">
        <v>6186</v>
      </c>
      <c r="N659" s="42" t="s">
        <v>6186</v>
      </c>
      <c r="O659" s="42" t="s">
        <v>6186</v>
      </c>
      <c r="P659" s="42" t="s">
        <v>6186</v>
      </c>
    </row>
    <row r="660" spans="1:16" ht="14.25" customHeight="1" x14ac:dyDescent="0.15">
      <c r="A660" s="42" t="s">
        <v>6190</v>
      </c>
      <c r="B660" s="40" t="s">
        <v>18</v>
      </c>
      <c r="C660" s="42" t="s">
        <v>6186</v>
      </c>
      <c r="D660" s="42" t="s">
        <v>6186</v>
      </c>
      <c r="E660" s="42" t="s">
        <v>6186</v>
      </c>
      <c r="F660" s="42" t="s">
        <v>6186</v>
      </c>
      <c r="G660" s="42" t="s">
        <v>6186</v>
      </c>
      <c r="H660" s="42" t="s">
        <v>6186</v>
      </c>
      <c r="I660" s="42" t="s">
        <v>6191</v>
      </c>
      <c r="J660" s="40" t="s">
        <v>14</v>
      </c>
      <c r="K660" s="42" t="s">
        <v>6463</v>
      </c>
      <c r="L660" s="42" t="s">
        <v>6589</v>
      </c>
      <c r="M660" s="42" t="s">
        <v>6186</v>
      </c>
      <c r="N660" s="42" t="s">
        <v>6186</v>
      </c>
      <c r="O660" s="42" t="s">
        <v>6186</v>
      </c>
      <c r="P660" s="42" t="s">
        <v>6186</v>
      </c>
    </row>
    <row r="661" spans="1:16" ht="14.25" customHeight="1" x14ac:dyDescent="0.15">
      <c r="A661" s="42" t="s">
        <v>6194</v>
      </c>
      <c r="B661" s="40" t="s">
        <v>11</v>
      </c>
      <c r="C661" s="42" t="s">
        <v>6186</v>
      </c>
      <c r="D661" s="42" t="s">
        <v>6186</v>
      </c>
      <c r="E661" s="42" t="s">
        <v>6186</v>
      </c>
      <c r="F661" s="42" t="s">
        <v>6186</v>
      </c>
      <c r="G661" s="42" t="s">
        <v>6186</v>
      </c>
      <c r="H661" s="42" t="s">
        <v>6186</v>
      </c>
      <c r="I661" s="42" t="s">
        <v>6195</v>
      </c>
      <c r="J661" s="40" t="s">
        <v>13</v>
      </c>
      <c r="K661" s="42" t="s">
        <v>6443</v>
      </c>
      <c r="L661" s="42" t="s">
        <v>6590</v>
      </c>
      <c r="M661" s="42" t="s">
        <v>6186</v>
      </c>
      <c r="N661" s="42" t="s">
        <v>6186</v>
      </c>
      <c r="O661" s="42" t="s">
        <v>6186</v>
      </c>
      <c r="P661" s="42" t="s">
        <v>6186</v>
      </c>
    </row>
    <row r="662" spans="1:16" ht="14.25" customHeight="1" x14ac:dyDescent="0.15">
      <c r="A662" s="42" t="s">
        <v>6198</v>
      </c>
      <c r="B662" s="40" t="s">
        <v>14</v>
      </c>
      <c r="C662" s="42" t="s">
        <v>6186</v>
      </c>
      <c r="D662" s="42" t="s">
        <v>6186</v>
      </c>
      <c r="E662" s="42" t="s">
        <v>6186</v>
      </c>
      <c r="F662" s="42" t="s">
        <v>6186</v>
      </c>
      <c r="G662" s="42" t="s">
        <v>6186</v>
      </c>
      <c r="H662" s="42" t="s">
        <v>6186</v>
      </c>
      <c r="I662" s="42" t="s">
        <v>6199</v>
      </c>
      <c r="J662" s="40" t="s">
        <v>15</v>
      </c>
      <c r="K662" s="42" t="s">
        <v>6433</v>
      </c>
      <c r="L662" s="42" t="s">
        <v>6591</v>
      </c>
      <c r="M662" s="42" t="s">
        <v>6186</v>
      </c>
      <c r="N662" s="42" t="s">
        <v>6186</v>
      </c>
      <c r="O662" s="42" t="s">
        <v>6186</v>
      </c>
      <c r="P662" s="42" t="s">
        <v>6186</v>
      </c>
    </row>
    <row r="663" spans="1:16" ht="14.25" customHeight="1" x14ac:dyDescent="0.15">
      <c r="A663" s="42" t="s">
        <v>6202</v>
      </c>
      <c r="B663" s="40" t="s">
        <v>13</v>
      </c>
      <c r="C663" s="42" t="s">
        <v>6186</v>
      </c>
      <c r="D663" s="42" t="s">
        <v>6186</v>
      </c>
      <c r="E663" s="42" t="s">
        <v>6186</v>
      </c>
      <c r="F663" s="42" t="s">
        <v>6186</v>
      </c>
      <c r="G663" s="42" t="s">
        <v>6186</v>
      </c>
      <c r="H663" s="42" t="s">
        <v>6186</v>
      </c>
      <c r="I663" s="42" t="s">
        <v>6203</v>
      </c>
      <c r="J663" s="40" t="s">
        <v>16</v>
      </c>
      <c r="K663" s="45" t="s">
        <v>6483</v>
      </c>
      <c r="L663" s="42" t="s">
        <v>6512</v>
      </c>
      <c r="M663" s="42" t="s">
        <v>6186</v>
      </c>
      <c r="N663" s="42" t="s">
        <v>6186</v>
      </c>
      <c r="O663" s="42" t="s">
        <v>6186</v>
      </c>
      <c r="P663" s="42" t="s">
        <v>6186</v>
      </c>
    </row>
    <row r="664" spans="1:16" ht="14.25" customHeight="1" x14ac:dyDescent="0.15">
      <c r="A664" s="42" t="s">
        <v>6204</v>
      </c>
      <c r="B664" s="40" t="s">
        <v>15</v>
      </c>
      <c r="C664" s="42" t="s">
        <v>6186</v>
      </c>
      <c r="D664" s="42" t="s">
        <v>6186</v>
      </c>
      <c r="E664" s="42" t="s">
        <v>6186</v>
      </c>
      <c r="F664" s="42" t="s">
        <v>6186</v>
      </c>
      <c r="G664" s="42" t="s">
        <v>6186</v>
      </c>
      <c r="H664" s="42" t="s">
        <v>6186</v>
      </c>
      <c r="I664" s="42" t="s">
        <v>6205</v>
      </c>
      <c r="J664" s="40" t="s">
        <v>17</v>
      </c>
      <c r="K664" s="45" t="s">
        <v>6431</v>
      </c>
      <c r="L664" s="42" t="s">
        <v>6513</v>
      </c>
      <c r="M664" s="42" t="s">
        <v>6186</v>
      </c>
      <c r="N664" s="42" t="s">
        <v>6186</v>
      </c>
      <c r="O664" s="42" t="s">
        <v>6186</v>
      </c>
      <c r="P664" s="42" t="s">
        <v>6186</v>
      </c>
    </row>
    <row r="665" spans="1:16" ht="14.25" customHeight="1" x14ac:dyDescent="0.15">
      <c r="A665" s="42" t="s">
        <v>6206</v>
      </c>
      <c r="B665" s="40" t="s">
        <v>16</v>
      </c>
      <c r="C665" s="42" t="s">
        <v>6186</v>
      </c>
      <c r="D665" s="42" t="s">
        <v>6186</v>
      </c>
      <c r="E665" s="42" t="s">
        <v>6186</v>
      </c>
      <c r="F665" s="42" t="s">
        <v>6186</v>
      </c>
      <c r="G665" s="42" t="s">
        <v>6186</v>
      </c>
      <c r="H665" s="42" t="s">
        <v>6186</v>
      </c>
      <c r="I665" s="42" t="s">
        <v>6207</v>
      </c>
      <c r="J665" s="40" t="s">
        <v>18</v>
      </c>
      <c r="K665" s="45" t="s">
        <v>6433</v>
      </c>
      <c r="L665" s="45" t="s">
        <v>6514</v>
      </c>
      <c r="M665" s="42" t="s">
        <v>6186</v>
      </c>
      <c r="N665" s="42" t="s">
        <v>6186</v>
      </c>
      <c r="O665" s="42" t="s">
        <v>6186</v>
      </c>
      <c r="P665" s="42" t="s">
        <v>6186</v>
      </c>
    </row>
    <row r="666" spans="1:16" ht="14.25" customHeight="1" x14ac:dyDescent="0.15">
      <c r="A666" s="42" t="s">
        <v>6208</v>
      </c>
      <c r="B666" s="40" t="s">
        <v>17</v>
      </c>
      <c r="C666" s="42" t="s">
        <v>6393</v>
      </c>
      <c r="D666" s="42" t="s">
        <v>6441</v>
      </c>
      <c r="E666" s="42" t="s">
        <v>6186</v>
      </c>
      <c r="F666" s="42" t="s">
        <v>6186</v>
      </c>
      <c r="G666" s="42" t="s">
        <v>6186</v>
      </c>
      <c r="H666" s="42" t="s">
        <v>6186</v>
      </c>
      <c r="I666" s="42" t="s">
        <v>6211</v>
      </c>
      <c r="J666" s="40" t="s">
        <v>11</v>
      </c>
      <c r="K666" s="44">
        <v>0.32847222223063</v>
      </c>
      <c r="L666" s="45" t="s">
        <v>6316</v>
      </c>
      <c r="M666" s="42" t="s">
        <v>6186</v>
      </c>
      <c r="N666" s="42" t="s">
        <v>6186</v>
      </c>
      <c r="O666" s="42" t="s">
        <v>6186</v>
      </c>
      <c r="P666" s="42" t="s">
        <v>6186</v>
      </c>
    </row>
    <row r="667" spans="1:16" ht="14.25" customHeight="1" x14ac:dyDescent="0.15">
      <c r="A667" s="42" t="s">
        <v>6212</v>
      </c>
      <c r="B667" s="40" t="s">
        <v>18</v>
      </c>
      <c r="C667" s="42" t="s">
        <v>6483</v>
      </c>
      <c r="D667" s="42" t="s">
        <v>6466</v>
      </c>
      <c r="E667" s="42" t="s">
        <v>6186</v>
      </c>
      <c r="F667" s="42" t="s">
        <v>6186</v>
      </c>
      <c r="G667" s="42" t="s">
        <v>6186</v>
      </c>
      <c r="H667" s="42" t="s">
        <v>6186</v>
      </c>
      <c r="I667" s="42" t="s">
        <v>6215</v>
      </c>
      <c r="J667" s="40" t="s">
        <v>14</v>
      </c>
      <c r="K667" s="44">
        <v>0.33124999998835802</v>
      </c>
      <c r="L667" s="45" t="s">
        <v>6592</v>
      </c>
      <c r="M667" s="42" t="s">
        <v>6186</v>
      </c>
      <c r="N667" s="42" t="s">
        <v>6186</v>
      </c>
      <c r="O667" s="42" t="s">
        <v>6186</v>
      </c>
      <c r="P667" s="42" t="s">
        <v>6186</v>
      </c>
    </row>
    <row r="668" spans="1:16" ht="14.25" customHeight="1" x14ac:dyDescent="0.15">
      <c r="A668" s="42" t="s">
        <v>6216</v>
      </c>
      <c r="B668" s="40" t="s">
        <v>11</v>
      </c>
      <c r="C668" s="42" t="s">
        <v>6502</v>
      </c>
      <c r="D668" s="42" t="s">
        <v>6369</v>
      </c>
      <c r="E668" s="42" t="s">
        <v>6186</v>
      </c>
      <c r="F668" s="42" t="s">
        <v>6186</v>
      </c>
      <c r="G668" s="42" t="s">
        <v>6186</v>
      </c>
      <c r="H668" s="42" t="s">
        <v>6186</v>
      </c>
      <c r="I668" s="42" t="s">
        <v>6219</v>
      </c>
      <c r="J668" s="40" t="s">
        <v>13</v>
      </c>
      <c r="K668" s="45" t="s">
        <v>6393</v>
      </c>
      <c r="L668" s="42" t="s">
        <v>6515</v>
      </c>
      <c r="M668" s="42" t="s">
        <v>6186</v>
      </c>
      <c r="N668" s="42" t="s">
        <v>6186</v>
      </c>
      <c r="O668" s="42" t="s">
        <v>6186</v>
      </c>
      <c r="P668" s="42" t="s">
        <v>6186</v>
      </c>
    </row>
    <row r="669" spans="1:16" ht="14.25" customHeight="1" x14ac:dyDescent="0.15">
      <c r="A669" s="42" t="s">
        <v>6220</v>
      </c>
      <c r="B669" s="40" t="s">
        <v>14</v>
      </c>
      <c r="C669" s="42" t="s">
        <v>6458</v>
      </c>
      <c r="D669" s="42" t="s">
        <v>6593</v>
      </c>
      <c r="E669" s="42" t="s">
        <v>6186</v>
      </c>
      <c r="F669" s="42" t="s">
        <v>6186</v>
      </c>
      <c r="G669" s="42" t="s">
        <v>6186</v>
      </c>
      <c r="H669" s="42" t="s">
        <v>6186</v>
      </c>
      <c r="I669" s="42" t="s">
        <v>6221</v>
      </c>
      <c r="J669" s="40" t="s">
        <v>15</v>
      </c>
      <c r="K669" s="45" t="s">
        <v>6458</v>
      </c>
      <c r="L669" s="42" t="s">
        <v>6594</v>
      </c>
      <c r="M669" s="42" t="s">
        <v>6186</v>
      </c>
      <c r="N669" s="42" t="s">
        <v>6186</v>
      </c>
      <c r="O669" s="42" t="s">
        <v>6186</v>
      </c>
      <c r="P669" s="42" t="s">
        <v>6186</v>
      </c>
    </row>
    <row r="670" spans="1:16" ht="14.25" customHeight="1" x14ac:dyDescent="0.15">
      <c r="A670" s="42" t="s">
        <v>6222</v>
      </c>
      <c r="B670" s="40" t="s">
        <v>13</v>
      </c>
      <c r="C670" s="42" t="s">
        <v>6317</v>
      </c>
      <c r="D670" s="42" t="s">
        <v>6356</v>
      </c>
      <c r="E670" s="42" t="s">
        <v>6186</v>
      </c>
      <c r="F670" s="42" t="s">
        <v>6186</v>
      </c>
      <c r="G670" s="42" t="s">
        <v>6186</v>
      </c>
      <c r="H670" s="42" t="s">
        <v>6186</v>
      </c>
      <c r="I670" s="42" t="s">
        <v>6224</v>
      </c>
      <c r="J670" s="40" t="s">
        <v>16</v>
      </c>
      <c r="K670" s="45" t="s">
        <v>6433</v>
      </c>
      <c r="L670" s="42" t="s">
        <v>6495</v>
      </c>
      <c r="M670" s="42" t="s">
        <v>6186</v>
      </c>
      <c r="N670" s="42" t="s">
        <v>6186</v>
      </c>
      <c r="O670" s="42" t="s">
        <v>6186</v>
      </c>
      <c r="P670" s="42" t="s">
        <v>6186</v>
      </c>
    </row>
    <row r="671" spans="1:16" ht="14.25" customHeight="1" x14ac:dyDescent="0.15">
      <c r="A671" s="42" t="s">
        <v>6225</v>
      </c>
      <c r="B671" s="40" t="s">
        <v>15</v>
      </c>
      <c r="C671" s="42" t="s">
        <v>6390</v>
      </c>
      <c r="D671" s="42" t="s">
        <v>6524</v>
      </c>
      <c r="E671" s="42" t="s">
        <v>6186</v>
      </c>
      <c r="F671" s="42" t="s">
        <v>6186</v>
      </c>
      <c r="G671" s="42" t="s">
        <v>6186</v>
      </c>
      <c r="H671" s="42" t="s">
        <v>6186</v>
      </c>
      <c r="I671" s="42" t="s">
        <v>6227</v>
      </c>
      <c r="J671" s="40" t="s">
        <v>17</v>
      </c>
      <c r="K671" s="44">
        <v>0.327777777777778</v>
      </c>
      <c r="L671" s="42" t="s">
        <v>6518</v>
      </c>
      <c r="M671" s="42" t="s">
        <v>6186</v>
      </c>
      <c r="N671" s="42" t="s">
        <v>6186</v>
      </c>
      <c r="O671" s="42" t="s">
        <v>6186</v>
      </c>
      <c r="P671" s="42" t="s">
        <v>6186</v>
      </c>
    </row>
    <row r="672" spans="1:16" ht="14.25" customHeight="1" x14ac:dyDescent="0.15">
      <c r="A672" s="42" t="s">
        <v>6228</v>
      </c>
      <c r="B672" s="40" t="s">
        <v>16</v>
      </c>
      <c r="C672" s="42" t="s">
        <v>6467</v>
      </c>
      <c r="D672" s="42" t="s">
        <v>6496</v>
      </c>
      <c r="E672" s="42" t="s">
        <v>6186</v>
      </c>
      <c r="F672" s="42" t="s">
        <v>6186</v>
      </c>
      <c r="G672" s="42" t="s">
        <v>6186</v>
      </c>
      <c r="H672" s="42" t="s">
        <v>6186</v>
      </c>
      <c r="I672" s="42" t="s">
        <v>6230</v>
      </c>
      <c r="J672" s="40" t="s">
        <v>18</v>
      </c>
      <c r="K672" s="44">
        <v>0.33194444444444399</v>
      </c>
      <c r="L672" s="42" t="s">
        <v>6516</v>
      </c>
      <c r="M672" s="42" t="s">
        <v>6186</v>
      </c>
      <c r="N672" s="42" t="s">
        <v>6186</v>
      </c>
      <c r="O672" s="42" t="s">
        <v>6186</v>
      </c>
      <c r="P672" s="42" t="s">
        <v>6186</v>
      </c>
    </row>
    <row r="673" spans="1:16" ht="14.25" customHeight="1" x14ac:dyDescent="0.15">
      <c r="A673" s="42" t="s">
        <v>6231</v>
      </c>
      <c r="B673" s="40" t="s">
        <v>17</v>
      </c>
      <c r="C673" s="42" t="s">
        <v>6340</v>
      </c>
      <c r="D673" s="42" t="s">
        <v>6498</v>
      </c>
      <c r="E673" s="42" t="s">
        <v>6186</v>
      </c>
      <c r="F673" s="42" t="s">
        <v>6186</v>
      </c>
      <c r="G673" s="42" t="s">
        <v>6186</v>
      </c>
      <c r="H673" s="42" t="s">
        <v>6186</v>
      </c>
      <c r="I673" s="42" t="s">
        <v>6234</v>
      </c>
      <c r="J673" s="40" t="s">
        <v>11</v>
      </c>
      <c r="K673" s="45" t="s">
        <v>6317</v>
      </c>
      <c r="L673" s="42" t="s">
        <v>6495</v>
      </c>
      <c r="M673" s="42" t="s">
        <v>6186</v>
      </c>
      <c r="N673" s="42" t="s">
        <v>6186</v>
      </c>
      <c r="O673" s="42" t="s">
        <v>6186</v>
      </c>
      <c r="P673" s="42" t="s">
        <v>6186</v>
      </c>
    </row>
    <row r="674" spans="1:16" ht="14.25" customHeight="1" x14ac:dyDescent="0.15">
      <c r="A674" s="42" t="s">
        <v>6235</v>
      </c>
      <c r="B674" s="40" t="s">
        <v>18</v>
      </c>
      <c r="C674" s="42" t="s">
        <v>6340</v>
      </c>
      <c r="D674" s="42" t="s">
        <v>6499</v>
      </c>
      <c r="E674" s="42" t="s">
        <v>6186</v>
      </c>
      <c r="F674" s="42" t="s">
        <v>6186</v>
      </c>
      <c r="G674" s="42" t="s">
        <v>6186</v>
      </c>
      <c r="H674" s="42" t="s">
        <v>6186</v>
      </c>
      <c r="I674" s="42" t="s">
        <v>12</v>
      </c>
      <c r="J674" s="42" t="s">
        <v>12</v>
      </c>
      <c r="K674" s="42" t="s">
        <v>12</v>
      </c>
      <c r="L674" s="42" t="s">
        <v>12</v>
      </c>
      <c r="M674" s="42" t="s">
        <v>12</v>
      </c>
      <c r="N674" s="42" t="s">
        <v>12</v>
      </c>
      <c r="O674" s="42" t="s">
        <v>12</v>
      </c>
      <c r="P674" s="42" t="s">
        <v>12</v>
      </c>
    </row>
    <row r="675" spans="1:16" ht="14.25" customHeight="1" x14ac:dyDescent="0.15">
      <c r="A675" s="35"/>
      <c r="C675" s="46"/>
      <c r="D675" s="46"/>
      <c r="E675" s="46"/>
      <c r="F675" s="46"/>
      <c r="G675" s="47"/>
      <c r="H675" s="47"/>
      <c r="I675" s="36"/>
      <c r="M675" s="131" t="s">
        <v>6237</v>
      </c>
      <c r="N675" s="131"/>
      <c r="O675" s="131"/>
      <c r="P675" s="131"/>
    </row>
    <row r="679" spans="1:16" ht="14.25" customHeight="1" x14ac:dyDescent="0.15">
      <c r="A679" s="124" t="s">
        <v>6178</v>
      </c>
      <c r="B679" s="125"/>
      <c r="C679" s="125"/>
      <c r="D679" s="126"/>
      <c r="E679" s="124" t="s">
        <v>6595</v>
      </c>
      <c r="F679" s="125"/>
      <c r="G679" s="126"/>
      <c r="H679" s="124" t="s">
        <v>6300</v>
      </c>
      <c r="I679" s="126"/>
      <c r="J679" s="125" t="s">
        <v>6181</v>
      </c>
      <c r="K679" s="125"/>
      <c r="L679" s="126"/>
      <c r="M679" s="124" t="s">
        <v>6182</v>
      </c>
      <c r="N679" s="125"/>
      <c r="O679" s="125"/>
      <c r="P679" s="126"/>
    </row>
    <row r="680" spans="1:16" ht="14.25" customHeight="1" x14ac:dyDescent="0.15">
      <c r="A680" s="124" t="s">
        <v>6405</v>
      </c>
      <c r="B680" s="125"/>
      <c r="C680" s="125"/>
      <c r="D680" s="125"/>
      <c r="E680" s="125"/>
      <c r="F680" s="125"/>
      <c r="G680" s="125"/>
      <c r="H680" s="125"/>
      <c r="I680" s="125"/>
      <c r="J680" s="125"/>
      <c r="K680" s="125"/>
      <c r="L680" s="125"/>
      <c r="M680" s="125"/>
      <c r="N680" s="125"/>
      <c r="O680" s="125"/>
      <c r="P680" s="126"/>
    </row>
    <row r="681" spans="1:16" ht="14.25" customHeight="1" x14ac:dyDescent="0.15">
      <c r="A681" s="124" t="s">
        <v>6184</v>
      </c>
      <c r="B681" s="125"/>
      <c r="C681" s="125"/>
      <c r="D681" s="125"/>
      <c r="E681" s="125"/>
      <c r="F681" s="125"/>
      <c r="G681" s="125"/>
      <c r="H681" s="125"/>
      <c r="I681" s="125"/>
      <c r="J681" s="125"/>
      <c r="K681" s="125"/>
      <c r="L681" s="125"/>
      <c r="M681" s="125"/>
      <c r="N681" s="125"/>
      <c r="O681" s="125"/>
      <c r="P681" s="126"/>
    </row>
    <row r="682" spans="1:16" ht="14.25" customHeight="1" x14ac:dyDescent="0.15">
      <c r="A682" s="37"/>
      <c r="B682" s="38"/>
      <c r="C682" s="127" t="s">
        <v>4</v>
      </c>
      <c r="D682" s="128"/>
      <c r="E682" s="129" t="s">
        <v>5</v>
      </c>
      <c r="F682" s="130"/>
      <c r="G682" s="129" t="s">
        <v>6</v>
      </c>
      <c r="H682" s="130"/>
      <c r="I682" s="38"/>
      <c r="J682" s="38"/>
      <c r="K682" s="127" t="s">
        <v>4</v>
      </c>
      <c r="L682" s="128"/>
      <c r="M682" s="129" t="s">
        <v>5</v>
      </c>
      <c r="N682" s="130"/>
      <c r="O682" s="129" t="s">
        <v>6</v>
      </c>
      <c r="P682" s="130"/>
    </row>
    <row r="683" spans="1:16" ht="14.25" customHeight="1" x14ac:dyDescent="0.15">
      <c r="A683" s="39" t="s">
        <v>7</v>
      </c>
      <c r="B683" s="40" t="s">
        <v>8</v>
      </c>
      <c r="C683" s="41" t="s">
        <v>9</v>
      </c>
      <c r="D683" s="41" t="s">
        <v>10</v>
      </c>
      <c r="E683" s="41" t="s">
        <v>9</v>
      </c>
      <c r="F683" s="41" t="s">
        <v>10</v>
      </c>
      <c r="G683" s="41" t="s">
        <v>9</v>
      </c>
      <c r="H683" s="41" t="s">
        <v>10</v>
      </c>
      <c r="I683" s="48" t="s">
        <v>7</v>
      </c>
      <c r="J683" s="40" t="s">
        <v>8</v>
      </c>
      <c r="K683" s="41" t="s">
        <v>9</v>
      </c>
      <c r="L683" s="41" t="s">
        <v>10</v>
      </c>
      <c r="M683" s="41" t="s">
        <v>9</v>
      </c>
      <c r="N683" s="41" t="s">
        <v>10</v>
      </c>
      <c r="O683" s="41" t="s">
        <v>9</v>
      </c>
      <c r="P683" s="41" t="s">
        <v>10</v>
      </c>
    </row>
    <row r="684" spans="1:16" ht="14.25" customHeight="1" x14ac:dyDescent="0.15">
      <c r="A684" s="42" t="s">
        <v>6185</v>
      </c>
      <c r="B684" s="40" t="s">
        <v>17</v>
      </c>
      <c r="C684" s="42" t="s">
        <v>6186</v>
      </c>
      <c r="D684" s="42" t="s">
        <v>6186</v>
      </c>
      <c r="E684" s="42" t="s">
        <v>6186</v>
      </c>
      <c r="F684" s="42" t="s">
        <v>6186</v>
      </c>
      <c r="G684" s="42" t="s">
        <v>6186</v>
      </c>
      <c r="H684" s="42" t="s">
        <v>6186</v>
      </c>
      <c r="I684" s="42" t="s">
        <v>6187</v>
      </c>
      <c r="J684" s="40" t="s">
        <v>11</v>
      </c>
      <c r="K684" s="42" t="s">
        <v>6186</v>
      </c>
      <c r="L684" s="42" t="s">
        <v>6186</v>
      </c>
      <c r="M684" s="42" t="s">
        <v>6186</v>
      </c>
      <c r="N684" s="42" t="s">
        <v>6186</v>
      </c>
      <c r="O684" s="42" t="s">
        <v>6186</v>
      </c>
      <c r="P684" s="42" t="s">
        <v>6186</v>
      </c>
    </row>
    <row r="685" spans="1:16" ht="14.25" customHeight="1" x14ac:dyDescent="0.15">
      <c r="A685" s="42" t="s">
        <v>6190</v>
      </c>
      <c r="B685" s="40" t="s">
        <v>18</v>
      </c>
      <c r="C685" s="42" t="s">
        <v>6186</v>
      </c>
      <c r="D685" s="42" t="s">
        <v>6186</v>
      </c>
      <c r="E685" s="42" t="s">
        <v>6186</v>
      </c>
      <c r="F685" s="42" t="s">
        <v>6186</v>
      </c>
      <c r="G685" s="42" t="s">
        <v>6186</v>
      </c>
      <c r="H685" s="42" t="s">
        <v>6186</v>
      </c>
      <c r="I685" s="42" t="s">
        <v>6191</v>
      </c>
      <c r="J685" s="40" t="s">
        <v>14</v>
      </c>
      <c r="K685" s="42" t="s">
        <v>6355</v>
      </c>
      <c r="L685" s="42" t="s">
        <v>6596</v>
      </c>
      <c r="M685" s="42" t="s">
        <v>6186</v>
      </c>
      <c r="N685" s="42" t="s">
        <v>6186</v>
      </c>
      <c r="O685" s="42" t="s">
        <v>6186</v>
      </c>
      <c r="P685" s="42" t="s">
        <v>6186</v>
      </c>
    </row>
    <row r="686" spans="1:16" ht="14.25" customHeight="1" x14ac:dyDescent="0.15">
      <c r="A686" s="42" t="s">
        <v>6194</v>
      </c>
      <c r="B686" s="40" t="s">
        <v>11</v>
      </c>
      <c r="C686" s="42" t="s">
        <v>6186</v>
      </c>
      <c r="D686" s="42" t="s">
        <v>6186</v>
      </c>
      <c r="E686" s="42" t="s">
        <v>6186</v>
      </c>
      <c r="F686" s="42" t="s">
        <v>6186</v>
      </c>
      <c r="G686" s="42" t="s">
        <v>6186</v>
      </c>
      <c r="H686" s="42" t="s">
        <v>6186</v>
      </c>
      <c r="I686" s="42" t="s">
        <v>6195</v>
      </c>
      <c r="J686" s="40" t="s">
        <v>13</v>
      </c>
      <c r="K686" s="42" t="s">
        <v>6511</v>
      </c>
      <c r="L686" s="42" t="s">
        <v>6369</v>
      </c>
      <c r="M686" s="42" t="s">
        <v>6186</v>
      </c>
      <c r="N686" s="42" t="s">
        <v>6186</v>
      </c>
      <c r="O686" s="42" t="s">
        <v>6186</v>
      </c>
      <c r="P686" s="42" t="s">
        <v>6186</v>
      </c>
    </row>
    <row r="687" spans="1:16" ht="14.25" customHeight="1" x14ac:dyDescent="0.15">
      <c r="A687" s="42" t="s">
        <v>6198</v>
      </c>
      <c r="B687" s="40" t="s">
        <v>14</v>
      </c>
      <c r="C687" s="42" t="s">
        <v>6186</v>
      </c>
      <c r="D687" s="42" t="s">
        <v>6186</v>
      </c>
      <c r="E687" s="42" t="s">
        <v>6186</v>
      </c>
      <c r="F687" s="42" t="s">
        <v>6186</v>
      </c>
      <c r="G687" s="42" t="s">
        <v>6186</v>
      </c>
      <c r="H687" s="42" t="s">
        <v>6186</v>
      </c>
      <c r="I687" s="42" t="s">
        <v>6199</v>
      </c>
      <c r="J687" s="40" t="s">
        <v>15</v>
      </c>
      <c r="K687" s="42" t="s">
        <v>6402</v>
      </c>
      <c r="L687" s="42" t="s">
        <v>6459</v>
      </c>
      <c r="M687" s="42" t="s">
        <v>6186</v>
      </c>
      <c r="N687" s="42" t="s">
        <v>6186</v>
      </c>
      <c r="O687" s="42" t="s">
        <v>6186</v>
      </c>
      <c r="P687" s="42" t="s">
        <v>6186</v>
      </c>
    </row>
    <row r="688" spans="1:16" ht="14.25" customHeight="1" x14ac:dyDescent="0.15">
      <c r="A688" s="42" t="s">
        <v>6202</v>
      </c>
      <c r="B688" s="40" t="s">
        <v>13</v>
      </c>
      <c r="C688" s="42" t="s">
        <v>6186</v>
      </c>
      <c r="D688" s="42" t="s">
        <v>6186</v>
      </c>
      <c r="E688" s="42" t="s">
        <v>6186</v>
      </c>
      <c r="F688" s="42" t="s">
        <v>6186</v>
      </c>
      <c r="G688" s="42" t="s">
        <v>6186</v>
      </c>
      <c r="H688" s="42" t="s">
        <v>6186</v>
      </c>
      <c r="I688" s="42" t="s">
        <v>6203</v>
      </c>
      <c r="J688" s="40" t="s">
        <v>16</v>
      </c>
      <c r="K688" s="44">
        <v>0.33124999998835802</v>
      </c>
      <c r="L688" s="42" t="s">
        <v>6371</v>
      </c>
      <c r="M688" s="42" t="s">
        <v>6186</v>
      </c>
      <c r="N688" s="42" t="s">
        <v>6186</v>
      </c>
      <c r="O688" s="42" t="s">
        <v>6186</v>
      </c>
      <c r="P688" s="42" t="s">
        <v>6186</v>
      </c>
    </row>
    <row r="689" spans="1:16" ht="14.25" customHeight="1" x14ac:dyDescent="0.15">
      <c r="A689" s="42" t="s">
        <v>6204</v>
      </c>
      <c r="B689" s="40" t="s">
        <v>15</v>
      </c>
      <c r="C689" s="42" t="s">
        <v>6186</v>
      </c>
      <c r="D689" s="42" t="s">
        <v>6186</v>
      </c>
      <c r="E689" s="42" t="s">
        <v>6186</v>
      </c>
      <c r="F689" s="42" t="s">
        <v>6186</v>
      </c>
      <c r="G689" s="42" t="s">
        <v>6186</v>
      </c>
      <c r="H689" s="42" t="s">
        <v>6186</v>
      </c>
      <c r="I689" s="42" t="s">
        <v>6205</v>
      </c>
      <c r="J689" s="40" t="s">
        <v>17</v>
      </c>
      <c r="K689" s="45" t="s">
        <v>6346</v>
      </c>
      <c r="L689" s="42" t="s">
        <v>6372</v>
      </c>
      <c r="M689" s="42" t="s">
        <v>6186</v>
      </c>
      <c r="N689" s="42" t="s">
        <v>6186</v>
      </c>
      <c r="O689" s="42" t="s">
        <v>6186</v>
      </c>
      <c r="P689" s="42" t="s">
        <v>6186</v>
      </c>
    </row>
    <row r="690" spans="1:16" ht="14.25" customHeight="1" x14ac:dyDescent="0.15">
      <c r="A690" s="42" t="s">
        <v>6206</v>
      </c>
      <c r="B690" s="40" t="s">
        <v>16</v>
      </c>
      <c r="C690" s="42" t="s">
        <v>6186</v>
      </c>
      <c r="D690" s="42" t="s">
        <v>6186</v>
      </c>
      <c r="E690" s="42" t="s">
        <v>6186</v>
      </c>
      <c r="F690" s="42" t="s">
        <v>6186</v>
      </c>
      <c r="G690" s="42" t="s">
        <v>6186</v>
      </c>
      <c r="H690" s="42" t="s">
        <v>6186</v>
      </c>
      <c r="I690" s="42" t="s">
        <v>6207</v>
      </c>
      <c r="J690" s="40" t="s">
        <v>18</v>
      </c>
      <c r="K690" s="44">
        <v>0.33263888888177501</v>
      </c>
      <c r="L690" s="45" t="s">
        <v>6369</v>
      </c>
      <c r="M690" s="42" t="s">
        <v>6186</v>
      </c>
      <c r="N690" s="42" t="s">
        <v>6186</v>
      </c>
      <c r="O690" s="42" t="s">
        <v>6186</v>
      </c>
      <c r="P690" s="42" t="s">
        <v>6186</v>
      </c>
    </row>
    <row r="691" spans="1:16" ht="14.25" customHeight="1" x14ac:dyDescent="0.15">
      <c r="A691" s="42" t="s">
        <v>6208</v>
      </c>
      <c r="B691" s="40" t="s">
        <v>17</v>
      </c>
      <c r="C691" s="42" t="s">
        <v>6186</v>
      </c>
      <c r="D691" s="42" t="s">
        <v>6186</v>
      </c>
      <c r="E691" s="42" t="s">
        <v>6186</v>
      </c>
      <c r="F691" s="42" t="s">
        <v>6186</v>
      </c>
      <c r="G691" s="42" t="s">
        <v>6186</v>
      </c>
      <c r="H691" s="42" t="s">
        <v>6186</v>
      </c>
      <c r="I691" s="42" t="s">
        <v>6211</v>
      </c>
      <c r="J691" s="40" t="s">
        <v>11</v>
      </c>
      <c r="K691" s="43" t="s">
        <v>6186</v>
      </c>
      <c r="L691" s="43" t="s">
        <v>6186</v>
      </c>
      <c r="M691" s="42" t="s">
        <v>6186</v>
      </c>
      <c r="N691" s="42" t="s">
        <v>6186</v>
      </c>
      <c r="O691" s="42" t="s">
        <v>6186</v>
      </c>
      <c r="P691" s="42" t="s">
        <v>6186</v>
      </c>
    </row>
    <row r="692" spans="1:16" ht="14.25" customHeight="1" x14ac:dyDescent="0.15">
      <c r="A692" s="42" t="s">
        <v>6212</v>
      </c>
      <c r="B692" s="40" t="s">
        <v>18</v>
      </c>
      <c r="C692" s="42" t="s">
        <v>6186</v>
      </c>
      <c r="D692" s="42" t="s">
        <v>6186</v>
      </c>
      <c r="E692" s="42" t="s">
        <v>6186</v>
      </c>
      <c r="F692" s="42" t="s">
        <v>6186</v>
      </c>
      <c r="G692" s="42" t="s">
        <v>6186</v>
      </c>
      <c r="H692" s="42" t="s">
        <v>6186</v>
      </c>
      <c r="I692" s="42" t="s">
        <v>6215</v>
      </c>
      <c r="J692" s="40" t="s">
        <v>14</v>
      </c>
      <c r="K692" s="44">
        <v>0.32569444444444401</v>
      </c>
      <c r="L692" s="44">
        <v>0.8125</v>
      </c>
      <c r="M692" s="42" t="s">
        <v>6186</v>
      </c>
      <c r="N692" s="42" t="s">
        <v>6186</v>
      </c>
      <c r="O692" s="42" t="s">
        <v>6186</v>
      </c>
      <c r="P692" s="42" t="s">
        <v>6186</v>
      </c>
    </row>
    <row r="693" spans="1:16" ht="14.25" customHeight="1" x14ac:dyDescent="0.15">
      <c r="A693" s="42" t="s">
        <v>6216</v>
      </c>
      <c r="B693" s="40" t="s">
        <v>11</v>
      </c>
      <c r="C693" s="42" t="s">
        <v>6186</v>
      </c>
      <c r="D693" s="42" t="s">
        <v>6186</v>
      </c>
      <c r="E693" s="42" t="s">
        <v>6186</v>
      </c>
      <c r="F693" s="42" t="s">
        <v>6186</v>
      </c>
      <c r="G693" s="42" t="s">
        <v>6186</v>
      </c>
      <c r="H693" s="42" t="s">
        <v>6186</v>
      </c>
      <c r="I693" s="42" t="s">
        <v>6219</v>
      </c>
      <c r="J693" s="40" t="s">
        <v>13</v>
      </c>
      <c r="K693" s="44">
        <v>0.32569444444379803</v>
      </c>
      <c r="L693" s="42" t="s">
        <v>6505</v>
      </c>
      <c r="M693" s="42" t="s">
        <v>6186</v>
      </c>
      <c r="N693" s="42" t="s">
        <v>6186</v>
      </c>
      <c r="O693" s="42" t="s">
        <v>6186</v>
      </c>
      <c r="P693" s="42" t="s">
        <v>6186</v>
      </c>
    </row>
    <row r="694" spans="1:16" ht="14.25" customHeight="1" x14ac:dyDescent="0.15">
      <c r="A694" s="42" t="s">
        <v>6220</v>
      </c>
      <c r="B694" s="40" t="s">
        <v>14</v>
      </c>
      <c r="C694" s="42" t="s">
        <v>6597</v>
      </c>
      <c r="D694" s="42" t="s">
        <v>6411</v>
      </c>
      <c r="E694" s="42" t="s">
        <v>6186</v>
      </c>
      <c r="F694" s="42" t="s">
        <v>6186</v>
      </c>
      <c r="G694" s="42" t="s">
        <v>6186</v>
      </c>
      <c r="H694" s="42" t="s">
        <v>6186</v>
      </c>
      <c r="I694" s="42" t="s">
        <v>6221</v>
      </c>
      <c r="J694" s="40" t="s">
        <v>15</v>
      </c>
      <c r="K694" s="44">
        <v>0.3125</v>
      </c>
      <c r="L694" s="42" t="s">
        <v>6506</v>
      </c>
      <c r="M694" s="42" t="s">
        <v>6186</v>
      </c>
      <c r="N694" s="42" t="s">
        <v>6186</v>
      </c>
      <c r="O694" s="42" t="s">
        <v>6186</v>
      </c>
      <c r="P694" s="42" t="s">
        <v>6186</v>
      </c>
    </row>
    <row r="695" spans="1:16" ht="14.25" customHeight="1" x14ac:dyDescent="0.15">
      <c r="A695" s="42" t="s">
        <v>6222</v>
      </c>
      <c r="B695" s="40" t="s">
        <v>13</v>
      </c>
      <c r="C695" s="42" t="s">
        <v>6378</v>
      </c>
      <c r="D695" s="42" t="s">
        <v>6111</v>
      </c>
      <c r="E695" s="42" t="s">
        <v>6186</v>
      </c>
      <c r="F695" s="42" t="s">
        <v>6186</v>
      </c>
      <c r="G695" s="42" t="s">
        <v>6186</v>
      </c>
      <c r="H695" s="42" t="s">
        <v>6186</v>
      </c>
      <c r="I695" s="42" t="s">
        <v>6224</v>
      </c>
      <c r="J695" s="40" t="s">
        <v>16</v>
      </c>
      <c r="K695" s="44">
        <v>0.33124999999999999</v>
      </c>
      <c r="L695" s="42" t="s">
        <v>6598</v>
      </c>
      <c r="M695" s="42" t="s">
        <v>6186</v>
      </c>
      <c r="N695" s="42" t="s">
        <v>6186</v>
      </c>
      <c r="O695" s="42" t="s">
        <v>6186</v>
      </c>
      <c r="P695" s="42" t="s">
        <v>6186</v>
      </c>
    </row>
    <row r="696" spans="1:16" ht="14.25" customHeight="1" x14ac:dyDescent="0.15">
      <c r="A696" s="42" t="s">
        <v>6225</v>
      </c>
      <c r="B696" s="40" t="s">
        <v>15</v>
      </c>
      <c r="C696" s="42" t="s">
        <v>6355</v>
      </c>
      <c r="D696" s="42" t="s">
        <v>6435</v>
      </c>
      <c r="E696" s="42" t="s">
        <v>6186</v>
      </c>
      <c r="F696" s="42" t="s">
        <v>6186</v>
      </c>
      <c r="G696" s="42" t="s">
        <v>6186</v>
      </c>
      <c r="H696" s="42" t="s">
        <v>6186</v>
      </c>
      <c r="I696" s="42" t="s">
        <v>6227</v>
      </c>
      <c r="J696" s="40" t="s">
        <v>17</v>
      </c>
      <c r="K696" s="45" t="s">
        <v>6378</v>
      </c>
      <c r="L696" s="45" t="s">
        <v>6599</v>
      </c>
      <c r="M696" s="42" t="s">
        <v>6186</v>
      </c>
      <c r="N696" s="42" t="s">
        <v>6186</v>
      </c>
      <c r="O696" s="42" t="s">
        <v>6186</v>
      </c>
      <c r="P696" s="42" t="s">
        <v>6186</v>
      </c>
    </row>
    <row r="697" spans="1:16" ht="14.25" customHeight="1" x14ac:dyDescent="0.15">
      <c r="A697" s="42" t="s">
        <v>6228</v>
      </c>
      <c r="B697" s="40" t="s">
        <v>16</v>
      </c>
      <c r="C697" s="42" t="s">
        <v>6355</v>
      </c>
      <c r="D697" s="42" t="s">
        <v>6517</v>
      </c>
      <c r="E697" s="42" t="s">
        <v>6186</v>
      </c>
      <c r="F697" s="42" t="s">
        <v>6186</v>
      </c>
      <c r="G697" s="42" t="s">
        <v>6186</v>
      </c>
      <c r="H697" s="42" t="s">
        <v>6186</v>
      </c>
      <c r="I697" s="42" t="s">
        <v>6230</v>
      </c>
      <c r="J697" s="40" t="s">
        <v>18</v>
      </c>
      <c r="K697" s="44">
        <v>0.33055555555555599</v>
      </c>
      <c r="L697" s="45" t="s">
        <v>6111</v>
      </c>
      <c r="M697" s="42" t="s">
        <v>6186</v>
      </c>
      <c r="N697" s="42" t="s">
        <v>6186</v>
      </c>
      <c r="O697" s="42" t="s">
        <v>6186</v>
      </c>
      <c r="P697" s="42" t="s">
        <v>6186</v>
      </c>
    </row>
    <row r="698" spans="1:16" ht="14.25" customHeight="1" x14ac:dyDescent="0.15">
      <c r="A698" s="42" t="s">
        <v>6231</v>
      </c>
      <c r="B698" s="40" t="s">
        <v>17</v>
      </c>
      <c r="C698" s="42" t="s">
        <v>6597</v>
      </c>
      <c r="D698" s="42" t="s">
        <v>6381</v>
      </c>
      <c r="E698" s="42" t="s">
        <v>6186</v>
      </c>
      <c r="F698" s="42" t="s">
        <v>6186</v>
      </c>
      <c r="G698" s="42" t="s">
        <v>6186</v>
      </c>
      <c r="H698" s="42" t="s">
        <v>6186</v>
      </c>
      <c r="I698" s="42" t="s">
        <v>6234</v>
      </c>
      <c r="J698" s="40" t="s">
        <v>11</v>
      </c>
      <c r="K698" s="44"/>
      <c r="L698" s="45"/>
      <c r="M698" s="42" t="s">
        <v>6186</v>
      </c>
      <c r="N698" s="42" t="s">
        <v>6186</v>
      </c>
      <c r="O698" s="42" t="s">
        <v>6186</v>
      </c>
      <c r="P698" s="42" t="s">
        <v>6186</v>
      </c>
    </row>
    <row r="699" spans="1:16" ht="14.25" customHeight="1" x14ac:dyDescent="0.15">
      <c r="A699" s="42" t="s">
        <v>6235</v>
      </c>
      <c r="B699" s="40" t="s">
        <v>18</v>
      </c>
      <c r="C699" s="42" t="s">
        <v>6402</v>
      </c>
      <c r="D699" s="42" t="s">
        <v>6432</v>
      </c>
      <c r="E699" s="42" t="s">
        <v>6186</v>
      </c>
      <c r="F699" s="42" t="s">
        <v>6186</v>
      </c>
      <c r="G699" s="42" t="s">
        <v>6186</v>
      </c>
      <c r="H699" s="42" t="s">
        <v>6186</v>
      </c>
      <c r="I699" s="42" t="s">
        <v>12</v>
      </c>
      <c r="J699" s="42" t="s">
        <v>12</v>
      </c>
      <c r="K699" s="42" t="s">
        <v>12</v>
      </c>
      <c r="L699" s="42" t="s">
        <v>12</v>
      </c>
      <c r="M699" s="42" t="s">
        <v>12</v>
      </c>
      <c r="N699" s="42" t="s">
        <v>12</v>
      </c>
      <c r="O699" s="42" t="s">
        <v>12</v>
      </c>
      <c r="P699" s="42" t="s">
        <v>12</v>
      </c>
    </row>
    <row r="700" spans="1:16" ht="14.25" customHeight="1" x14ac:dyDescent="0.15">
      <c r="A700" s="35"/>
      <c r="C700" s="46"/>
      <c r="D700" s="46"/>
      <c r="E700" s="46"/>
      <c r="F700" s="46"/>
      <c r="G700" s="47"/>
      <c r="H700" s="47"/>
      <c r="I700" s="36"/>
      <c r="M700" s="131" t="s">
        <v>6237</v>
      </c>
      <c r="N700" s="131"/>
      <c r="O700" s="131"/>
      <c r="P700" s="131"/>
    </row>
    <row r="704" spans="1:16" ht="14.25" customHeight="1" x14ac:dyDescent="0.15">
      <c r="A704" s="124" t="s">
        <v>6178</v>
      </c>
      <c r="B704" s="125"/>
      <c r="C704" s="125"/>
      <c r="D704" s="126"/>
      <c r="E704" s="124" t="s">
        <v>6600</v>
      </c>
      <c r="F704" s="125"/>
      <c r="G704" s="126"/>
      <c r="H704" s="124" t="s">
        <v>6302</v>
      </c>
      <c r="I704" s="126"/>
      <c r="J704" s="125" t="s">
        <v>6181</v>
      </c>
      <c r="K704" s="125"/>
      <c r="L704" s="126"/>
      <c r="M704" s="124" t="s">
        <v>6182</v>
      </c>
      <c r="N704" s="125"/>
      <c r="O704" s="125"/>
      <c r="P704" s="126"/>
    </row>
    <row r="705" spans="1:16" ht="14.25" customHeight="1" x14ac:dyDescent="0.15">
      <c r="A705" s="124" t="s">
        <v>6353</v>
      </c>
      <c r="B705" s="125"/>
      <c r="C705" s="125"/>
      <c r="D705" s="125"/>
      <c r="E705" s="125"/>
      <c r="F705" s="125"/>
      <c r="G705" s="125"/>
      <c r="H705" s="125"/>
      <c r="I705" s="125"/>
      <c r="J705" s="125"/>
      <c r="K705" s="125"/>
      <c r="L705" s="125"/>
      <c r="M705" s="125"/>
      <c r="N705" s="125"/>
      <c r="O705" s="125"/>
      <c r="P705" s="126"/>
    </row>
    <row r="706" spans="1:16" ht="14.25" customHeight="1" x14ac:dyDescent="0.15">
      <c r="A706" s="124" t="s">
        <v>6184</v>
      </c>
      <c r="B706" s="125"/>
      <c r="C706" s="125"/>
      <c r="D706" s="125"/>
      <c r="E706" s="125"/>
      <c r="F706" s="125"/>
      <c r="G706" s="125"/>
      <c r="H706" s="125"/>
      <c r="I706" s="125"/>
      <c r="J706" s="125"/>
      <c r="K706" s="125"/>
      <c r="L706" s="125"/>
      <c r="M706" s="125"/>
      <c r="N706" s="125"/>
      <c r="O706" s="125"/>
      <c r="P706" s="126"/>
    </row>
    <row r="707" spans="1:16" ht="14.25" customHeight="1" x14ac:dyDescent="0.15">
      <c r="A707" s="37"/>
      <c r="B707" s="38"/>
      <c r="C707" s="127" t="s">
        <v>4</v>
      </c>
      <c r="D707" s="128"/>
      <c r="E707" s="129" t="s">
        <v>5</v>
      </c>
      <c r="F707" s="130"/>
      <c r="G707" s="129" t="s">
        <v>6</v>
      </c>
      <c r="H707" s="130"/>
      <c r="I707" s="38"/>
      <c r="J707" s="38"/>
      <c r="K707" s="127" t="s">
        <v>4</v>
      </c>
      <c r="L707" s="128"/>
      <c r="M707" s="129" t="s">
        <v>5</v>
      </c>
      <c r="N707" s="130"/>
      <c r="O707" s="129" t="s">
        <v>6</v>
      </c>
      <c r="P707" s="130"/>
    </row>
    <row r="708" spans="1:16" ht="14.25" customHeight="1" x14ac:dyDescent="0.15">
      <c r="A708" s="39" t="s">
        <v>7</v>
      </c>
      <c r="B708" s="40" t="s">
        <v>8</v>
      </c>
      <c r="C708" s="41" t="s">
        <v>9</v>
      </c>
      <c r="D708" s="41" t="s">
        <v>10</v>
      </c>
      <c r="E708" s="41" t="s">
        <v>9</v>
      </c>
      <c r="F708" s="41" t="s">
        <v>10</v>
      </c>
      <c r="G708" s="41" t="s">
        <v>9</v>
      </c>
      <c r="H708" s="41" t="s">
        <v>10</v>
      </c>
      <c r="I708" s="48" t="s">
        <v>7</v>
      </c>
      <c r="J708" s="40" t="s">
        <v>8</v>
      </c>
      <c r="K708" s="41" t="s">
        <v>9</v>
      </c>
      <c r="L708" s="41" t="s">
        <v>10</v>
      </c>
      <c r="M708" s="41" t="s">
        <v>9</v>
      </c>
      <c r="N708" s="41" t="s">
        <v>10</v>
      </c>
      <c r="O708" s="41" t="s">
        <v>9</v>
      </c>
      <c r="P708" s="41" t="s">
        <v>10</v>
      </c>
    </row>
    <row r="709" spans="1:16" ht="14.25" customHeight="1" x14ac:dyDescent="0.15">
      <c r="A709" s="42" t="s">
        <v>6185</v>
      </c>
      <c r="B709" s="40" t="s">
        <v>17</v>
      </c>
      <c r="C709" s="42" t="s">
        <v>6186</v>
      </c>
      <c r="D709" s="42" t="s">
        <v>6186</v>
      </c>
      <c r="E709" s="42" t="s">
        <v>6186</v>
      </c>
      <c r="F709" s="42" t="s">
        <v>6186</v>
      </c>
      <c r="G709" s="42" t="s">
        <v>6186</v>
      </c>
      <c r="H709" s="42" t="s">
        <v>6186</v>
      </c>
      <c r="I709" s="42" t="s">
        <v>6187</v>
      </c>
      <c r="J709" s="40" t="s">
        <v>11</v>
      </c>
      <c r="K709" s="42" t="s">
        <v>6482</v>
      </c>
      <c r="L709" s="42" t="s">
        <v>6423</v>
      </c>
      <c r="M709" s="42" t="s">
        <v>6186</v>
      </c>
      <c r="N709" s="42" t="s">
        <v>6186</v>
      </c>
      <c r="O709" s="42" t="s">
        <v>6186</v>
      </c>
      <c r="P709" s="42" t="s">
        <v>6186</v>
      </c>
    </row>
    <row r="710" spans="1:16" ht="14.25" customHeight="1" x14ac:dyDescent="0.15">
      <c r="A710" s="42" t="s">
        <v>6190</v>
      </c>
      <c r="B710" s="40" t="s">
        <v>18</v>
      </c>
      <c r="C710" s="42" t="s">
        <v>6186</v>
      </c>
      <c r="D710" s="42" t="s">
        <v>6186</v>
      </c>
      <c r="E710" s="42" t="s">
        <v>6186</v>
      </c>
      <c r="F710" s="42" t="s">
        <v>6186</v>
      </c>
      <c r="G710" s="42" t="s">
        <v>6186</v>
      </c>
      <c r="H710" s="42" t="s">
        <v>6186</v>
      </c>
      <c r="I710" s="42" t="s">
        <v>6191</v>
      </c>
      <c r="J710" s="40" t="s">
        <v>14</v>
      </c>
      <c r="K710" s="42" t="s">
        <v>6400</v>
      </c>
      <c r="L710" s="42" t="s">
        <v>6428</v>
      </c>
      <c r="M710" s="42" t="s">
        <v>6186</v>
      </c>
      <c r="N710" s="42" t="s">
        <v>6186</v>
      </c>
      <c r="O710" s="42" t="s">
        <v>6186</v>
      </c>
      <c r="P710" s="42" t="s">
        <v>6186</v>
      </c>
    </row>
    <row r="711" spans="1:16" ht="14.25" customHeight="1" x14ac:dyDescent="0.15">
      <c r="A711" s="42" t="s">
        <v>6194</v>
      </c>
      <c r="B711" s="40" t="s">
        <v>11</v>
      </c>
      <c r="C711" s="42" t="s">
        <v>6186</v>
      </c>
      <c r="D711" s="42" t="s">
        <v>6186</v>
      </c>
      <c r="E711" s="42" t="s">
        <v>6186</v>
      </c>
      <c r="F711" s="42" t="s">
        <v>6186</v>
      </c>
      <c r="G711" s="42" t="s">
        <v>6186</v>
      </c>
      <c r="H711" s="42" t="s">
        <v>6186</v>
      </c>
      <c r="I711" s="42" t="s">
        <v>6195</v>
      </c>
      <c r="J711" s="40" t="s">
        <v>13</v>
      </c>
      <c r="K711" s="42" t="s">
        <v>6186</v>
      </c>
      <c r="L711" s="42" t="s">
        <v>6186</v>
      </c>
      <c r="M711" s="42" t="s">
        <v>6186</v>
      </c>
      <c r="N711" s="42" t="s">
        <v>6186</v>
      </c>
      <c r="O711" s="42" t="s">
        <v>6186</v>
      </c>
      <c r="P711" s="42" t="s">
        <v>6186</v>
      </c>
    </row>
    <row r="712" spans="1:16" ht="14.25" customHeight="1" x14ac:dyDescent="0.15">
      <c r="A712" s="42" t="s">
        <v>6198</v>
      </c>
      <c r="B712" s="40" t="s">
        <v>14</v>
      </c>
      <c r="C712" s="42" t="s">
        <v>6186</v>
      </c>
      <c r="D712" s="42" t="s">
        <v>6186</v>
      </c>
      <c r="E712" s="42" t="s">
        <v>6186</v>
      </c>
      <c r="F712" s="42" t="s">
        <v>6186</v>
      </c>
      <c r="G712" s="42" t="s">
        <v>6186</v>
      </c>
      <c r="H712" s="42" t="s">
        <v>6186</v>
      </c>
      <c r="I712" s="42" t="s">
        <v>6199</v>
      </c>
      <c r="J712" s="40" t="s">
        <v>15</v>
      </c>
      <c r="K712" s="42" t="s">
        <v>6186</v>
      </c>
      <c r="L712" s="42" t="s">
        <v>6186</v>
      </c>
      <c r="M712" s="42" t="s">
        <v>6186</v>
      </c>
      <c r="N712" s="42" t="s">
        <v>6186</v>
      </c>
      <c r="O712" s="42" t="s">
        <v>6186</v>
      </c>
      <c r="P712" s="42" t="s">
        <v>6186</v>
      </c>
    </row>
    <row r="713" spans="1:16" ht="14.25" customHeight="1" x14ac:dyDescent="0.15">
      <c r="A713" s="42" t="s">
        <v>6202</v>
      </c>
      <c r="B713" s="40" t="s">
        <v>13</v>
      </c>
      <c r="C713" s="42" t="s">
        <v>6186</v>
      </c>
      <c r="D713" s="42" t="s">
        <v>6186</v>
      </c>
      <c r="E713" s="42" t="s">
        <v>6186</v>
      </c>
      <c r="F713" s="42" t="s">
        <v>6186</v>
      </c>
      <c r="G713" s="42" t="s">
        <v>6186</v>
      </c>
      <c r="H713" s="42" t="s">
        <v>6186</v>
      </c>
      <c r="I713" s="42" t="s">
        <v>6203</v>
      </c>
      <c r="J713" s="40" t="s">
        <v>16</v>
      </c>
      <c r="K713" s="42" t="s">
        <v>6186</v>
      </c>
      <c r="L713" s="42" t="s">
        <v>6186</v>
      </c>
      <c r="M713" s="42" t="s">
        <v>6186</v>
      </c>
      <c r="N713" s="42" t="s">
        <v>6186</v>
      </c>
      <c r="O713" s="42" t="s">
        <v>6186</v>
      </c>
      <c r="P713" s="42" t="s">
        <v>6186</v>
      </c>
    </row>
    <row r="714" spans="1:16" ht="14.25" customHeight="1" x14ac:dyDescent="0.15">
      <c r="A714" s="42" t="s">
        <v>6204</v>
      </c>
      <c r="B714" s="40" t="s">
        <v>15</v>
      </c>
      <c r="C714" s="42" t="s">
        <v>6186</v>
      </c>
      <c r="D714" s="42" t="s">
        <v>6186</v>
      </c>
      <c r="E714" s="42" t="s">
        <v>6186</v>
      </c>
      <c r="F714" s="42" t="s">
        <v>6186</v>
      </c>
      <c r="G714" s="42" t="s">
        <v>6186</v>
      </c>
      <c r="H714" s="42" t="s">
        <v>6186</v>
      </c>
      <c r="I714" s="42" t="s">
        <v>6205</v>
      </c>
      <c r="J714" s="40" t="s">
        <v>17</v>
      </c>
      <c r="K714" s="42" t="s">
        <v>6186</v>
      </c>
      <c r="L714" s="42" t="s">
        <v>6186</v>
      </c>
      <c r="M714" s="42" t="s">
        <v>6186</v>
      </c>
      <c r="N714" s="42" t="s">
        <v>6186</v>
      </c>
      <c r="O714" s="42" t="s">
        <v>6186</v>
      </c>
      <c r="P714" s="42" t="s">
        <v>6186</v>
      </c>
    </row>
    <row r="715" spans="1:16" ht="14.25" customHeight="1" x14ac:dyDescent="0.15">
      <c r="A715" s="42" t="s">
        <v>6206</v>
      </c>
      <c r="B715" s="40" t="s">
        <v>16</v>
      </c>
      <c r="C715" s="42" t="s">
        <v>6186</v>
      </c>
      <c r="D715" s="42" t="s">
        <v>6186</v>
      </c>
      <c r="E715" s="42" t="s">
        <v>6186</v>
      </c>
      <c r="F715" s="42" t="s">
        <v>6186</v>
      </c>
      <c r="G715" s="42" t="s">
        <v>6186</v>
      </c>
      <c r="H715" s="42" t="s">
        <v>6186</v>
      </c>
      <c r="I715" s="42" t="s">
        <v>6207</v>
      </c>
      <c r="J715" s="40" t="s">
        <v>18</v>
      </c>
      <c r="K715" s="42" t="s">
        <v>6186</v>
      </c>
      <c r="L715" s="42" t="s">
        <v>6186</v>
      </c>
      <c r="M715" s="42" t="s">
        <v>6186</v>
      </c>
      <c r="N715" s="42" t="s">
        <v>6186</v>
      </c>
      <c r="O715" s="42" t="s">
        <v>6186</v>
      </c>
      <c r="P715" s="42" t="s">
        <v>6186</v>
      </c>
    </row>
    <row r="716" spans="1:16" ht="14.25" customHeight="1" x14ac:dyDescent="0.15">
      <c r="A716" s="42" t="s">
        <v>6208</v>
      </c>
      <c r="B716" s="40" t="s">
        <v>17</v>
      </c>
      <c r="C716" s="42" t="s">
        <v>6186</v>
      </c>
      <c r="D716" s="42" t="s">
        <v>6186</v>
      </c>
      <c r="E716" s="42" t="s">
        <v>6186</v>
      </c>
      <c r="F716" s="42" t="s">
        <v>6186</v>
      </c>
      <c r="G716" s="42" t="s">
        <v>6186</v>
      </c>
      <c r="H716" s="42" t="s">
        <v>6186</v>
      </c>
      <c r="I716" s="42" t="s">
        <v>6211</v>
      </c>
      <c r="J716" s="40" t="s">
        <v>11</v>
      </c>
      <c r="K716" s="42" t="s">
        <v>6601</v>
      </c>
      <c r="L716" s="42" t="s">
        <v>6602</v>
      </c>
      <c r="M716" s="42" t="s">
        <v>6186</v>
      </c>
      <c r="N716" s="42" t="s">
        <v>6186</v>
      </c>
      <c r="O716" s="42" t="s">
        <v>6186</v>
      </c>
      <c r="P716" s="42" t="s">
        <v>6186</v>
      </c>
    </row>
    <row r="717" spans="1:16" ht="14.25" customHeight="1" x14ac:dyDescent="0.15">
      <c r="A717" s="42" t="s">
        <v>6212</v>
      </c>
      <c r="B717" s="40" t="s">
        <v>18</v>
      </c>
      <c r="C717" s="42" t="s">
        <v>6186</v>
      </c>
      <c r="D717" s="42" t="s">
        <v>6186</v>
      </c>
      <c r="E717" s="42" t="s">
        <v>6186</v>
      </c>
      <c r="F717" s="42" t="s">
        <v>6186</v>
      </c>
      <c r="G717" s="42" t="s">
        <v>6186</v>
      </c>
      <c r="H717" s="42" t="s">
        <v>6186</v>
      </c>
      <c r="I717" s="42" t="s">
        <v>6215</v>
      </c>
      <c r="J717" s="40" t="s">
        <v>14</v>
      </c>
      <c r="K717" s="42" t="s">
        <v>6603</v>
      </c>
      <c r="L717" s="42" t="s">
        <v>6604</v>
      </c>
      <c r="M717" s="42" t="s">
        <v>6186</v>
      </c>
      <c r="N717" s="42" t="s">
        <v>6186</v>
      </c>
      <c r="O717" s="42" t="s">
        <v>6186</v>
      </c>
      <c r="P717" s="42" t="s">
        <v>6186</v>
      </c>
    </row>
    <row r="718" spans="1:16" ht="14.25" customHeight="1" x14ac:dyDescent="0.15">
      <c r="A718" s="42" t="s">
        <v>6216</v>
      </c>
      <c r="B718" s="40" t="s">
        <v>11</v>
      </c>
      <c r="C718" s="42" t="s">
        <v>6186</v>
      </c>
      <c r="D718" s="42" t="s">
        <v>6186</v>
      </c>
      <c r="E718" s="42" t="s">
        <v>6186</v>
      </c>
      <c r="F718" s="42" t="s">
        <v>6186</v>
      </c>
      <c r="G718" s="42" t="s">
        <v>6186</v>
      </c>
      <c r="H718" s="42" t="s">
        <v>6186</v>
      </c>
      <c r="I718" s="42" t="s">
        <v>6219</v>
      </c>
      <c r="J718" s="40" t="s">
        <v>13</v>
      </c>
      <c r="K718" s="42" t="s">
        <v>6186</v>
      </c>
      <c r="L718" s="42" t="s">
        <v>6186</v>
      </c>
      <c r="M718" s="42" t="s">
        <v>6186</v>
      </c>
      <c r="N718" s="42" t="s">
        <v>6186</v>
      </c>
      <c r="O718" s="42" t="s">
        <v>6186</v>
      </c>
      <c r="P718" s="42" t="s">
        <v>6186</v>
      </c>
    </row>
    <row r="719" spans="1:16" ht="14.25" customHeight="1" x14ac:dyDescent="0.15">
      <c r="A719" s="42" t="s">
        <v>6220</v>
      </c>
      <c r="B719" s="40" t="s">
        <v>14</v>
      </c>
      <c r="C719" s="42" t="s">
        <v>6186</v>
      </c>
      <c r="D719" s="42" t="s">
        <v>6186</v>
      </c>
      <c r="E719" s="42" t="s">
        <v>6186</v>
      </c>
      <c r="F719" s="42" t="s">
        <v>6186</v>
      </c>
      <c r="G719" s="42" t="s">
        <v>6186</v>
      </c>
      <c r="H719" s="42" t="s">
        <v>6186</v>
      </c>
      <c r="I719" s="42" t="s">
        <v>6221</v>
      </c>
      <c r="J719" s="40" t="s">
        <v>15</v>
      </c>
      <c r="K719" s="42" t="s">
        <v>6186</v>
      </c>
      <c r="L719" s="42" t="s">
        <v>6186</v>
      </c>
      <c r="M719" s="42" t="s">
        <v>6186</v>
      </c>
      <c r="N719" s="42" t="s">
        <v>6186</v>
      </c>
      <c r="O719" s="42" t="s">
        <v>6186</v>
      </c>
      <c r="P719" s="42" t="s">
        <v>6186</v>
      </c>
    </row>
    <row r="720" spans="1:16" ht="14.25" customHeight="1" x14ac:dyDescent="0.15">
      <c r="A720" s="42" t="s">
        <v>6222</v>
      </c>
      <c r="B720" s="40" t="s">
        <v>13</v>
      </c>
      <c r="C720" s="42" t="s">
        <v>6186</v>
      </c>
      <c r="D720" s="42" t="s">
        <v>6186</v>
      </c>
      <c r="E720" s="42" t="s">
        <v>6186</v>
      </c>
      <c r="F720" s="42" t="s">
        <v>6186</v>
      </c>
      <c r="G720" s="42" t="s">
        <v>6186</v>
      </c>
      <c r="H720" s="42" t="s">
        <v>6186</v>
      </c>
      <c r="I720" s="42" t="s">
        <v>6224</v>
      </c>
      <c r="J720" s="40" t="s">
        <v>16</v>
      </c>
      <c r="K720" s="42" t="s">
        <v>6186</v>
      </c>
      <c r="L720" s="42" t="s">
        <v>6186</v>
      </c>
      <c r="M720" s="42" t="s">
        <v>6186</v>
      </c>
      <c r="N720" s="42" t="s">
        <v>6186</v>
      </c>
      <c r="O720" s="42" t="s">
        <v>6186</v>
      </c>
      <c r="P720" s="42" t="s">
        <v>6186</v>
      </c>
    </row>
    <row r="721" spans="1:16" ht="14.25" customHeight="1" x14ac:dyDescent="0.15">
      <c r="A721" s="42" t="s">
        <v>6225</v>
      </c>
      <c r="B721" s="40" t="s">
        <v>15</v>
      </c>
      <c r="C721" s="42" t="s">
        <v>6186</v>
      </c>
      <c r="D721" s="42" t="s">
        <v>6186</v>
      </c>
      <c r="E721" s="42" t="s">
        <v>6186</v>
      </c>
      <c r="F721" s="42" t="s">
        <v>6186</v>
      </c>
      <c r="G721" s="42" t="s">
        <v>6186</v>
      </c>
      <c r="H721" s="42" t="s">
        <v>6186</v>
      </c>
      <c r="I721" s="42" t="s">
        <v>6227</v>
      </c>
      <c r="J721" s="40" t="s">
        <v>17</v>
      </c>
      <c r="K721" s="42" t="s">
        <v>6186</v>
      </c>
      <c r="L721" s="42" t="s">
        <v>6186</v>
      </c>
      <c r="M721" s="42" t="s">
        <v>6186</v>
      </c>
      <c r="N721" s="42" t="s">
        <v>6186</v>
      </c>
      <c r="O721" s="42" t="s">
        <v>6186</v>
      </c>
      <c r="P721" s="42" t="s">
        <v>6186</v>
      </c>
    </row>
    <row r="722" spans="1:16" ht="14.25" customHeight="1" x14ac:dyDescent="0.15">
      <c r="A722" s="42" t="s">
        <v>6228</v>
      </c>
      <c r="B722" s="40" t="s">
        <v>16</v>
      </c>
      <c r="C722" s="42" t="s">
        <v>6186</v>
      </c>
      <c r="D722" s="42" t="s">
        <v>6186</v>
      </c>
      <c r="E722" s="42" t="s">
        <v>6186</v>
      </c>
      <c r="F722" s="42" t="s">
        <v>6186</v>
      </c>
      <c r="G722" s="42" t="s">
        <v>6186</v>
      </c>
      <c r="H722" s="42" t="s">
        <v>6186</v>
      </c>
      <c r="I722" s="42" t="s">
        <v>6230</v>
      </c>
      <c r="J722" s="40" t="s">
        <v>18</v>
      </c>
      <c r="K722" s="42" t="s">
        <v>6186</v>
      </c>
      <c r="L722" s="42" t="s">
        <v>6186</v>
      </c>
      <c r="M722" s="42" t="s">
        <v>6186</v>
      </c>
      <c r="N722" s="42" t="s">
        <v>6186</v>
      </c>
      <c r="O722" s="42" t="s">
        <v>6186</v>
      </c>
      <c r="P722" s="42" t="s">
        <v>6186</v>
      </c>
    </row>
    <row r="723" spans="1:16" ht="14.25" customHeight="1" x14ac:dyDescent="0.15">
      <c r="A723" s="42" t="s">
        <v>6231</v>
      </c>
      <c r="B723" s="40" t="s">
        <v>17</v>
      </c>
      <c r="C723" s="42" t="s">
        <v>6186</v>
      </c>
      <c r="D723" s="42" t="s">
        <v>6186</v>
      </c>
      <c r="E723" s="42" t="s">
        <v>6186</v>
      </c>
      <c r="F723" s="42" t="s">
        <v>6186</v>
      </c>
      <c r="G723" s="42" t="s">
        <v>6186</v>
      </c>
      <c r="H723" s="42" t="s">
        <v>6186</v>
      </c>
      <c r="I723" s="42" t="s">
        <v>6234</v>
      </c>
      <c r="J723" s="40" t="s">
        <v>11</v>
      </c>
      <c r="K723" s="42" t="s">
        <v>6605</v>
      </c>
      <c r="L723" s="42" t="s">
        <v>6606</v>
      </c>
      <c r="M723" s="42" t="s">
        <v>6186</v>
      </c>
      <c r="N723" s="42" t="s">
        <v>6186</v>
      </c>
      <c r="O723" s="42" t="s">
        <v>6186</v>
      </c>
      <c r="P723" s="42" t="s">
        <v>6186</v>
      </c>
    </row>
    <row r="724" spans="1:16" ht="14.25" customHeight="1" x14ac:dyDescent="0.15">
      <c r="A724" s="42" t="s">
        <v>6235</v>
      </c>
      <c r="B724" s="40" t="s">
        <v>18</v>
      </c>
      <c r="C724" s="42" t="s">
        <v>6186</v>
      </c>
      <c r="D724" s="42" t="s">
        <v>6186</v>
      </c>
      <c r="E724" s="42" t="s">
        <v>6186</v>
      </c>
      <c r="F724" s="42" t="s">
        <v>6186</v>
      </c>
      <c r="G724" s="42" t="s">
        <v>6186</v>
      </c>
      <c r="H724" s="42" t="s">
        <v>6186</v>
      </c>
      <c r="I724" s="42" t="s">
        <v>12</v>
      </c>
      <c r="J724" s="42" t="s">
        <v>12</v>
      </c>
      <c r="K724" s="42" t="s">
        <v>12</v>
      </c>
      <c r="L724" s="42" t="s">
        <v>12</v>
      </c>
      <c r="M724" s="42" t="s">
        <v>12</v>
      </c>
      <c r="N724" s="42" t="s">
        <v>12</v>
      </c>
      <c r="O724" s="42" t="s">
        <v>12</v>
      </c>
      <c r="P724" s="42" t="s">
        <v>12</v>
      </c>
    </row>
    <row r="725" spans="1:16" ht="14.25" customHeight="1" x14ac:dyDescent="0.15">
      <c r="A725" s="35"/>
      <c r="C725" s="46"/>
      <c r="D725" s="46"/>
      <c r="E725" s="46"/>
      <c r="F725" s="46"/>
      <c r="G725" s="47"/>
      <c r="H725" s="47"/>
      <c r="I725" s="36"/>
      <c r="M725" s="131" t="s">
        <v>6237</v>
      </c>
      <c r="N725" s="131"/>
      <c r="O725" s="131"/>
      <c r="P725" s="131"/>
    </row>
    <row r="729" spans="1:16" ht="14.25" customHeight="1" x14ac:dyDescent="0.15">
      <c r="A729" s="124" t="s">
        <v>6178</v>
      </c>
      <c r="B729" s="125"/>
      <c r="C729" s="125"/>
      <c r="D729" s="126"/>
      <c r="E729" s="124" t="s">
        <v>6607</v>
      </c>
      <c r="F729" s="125"/>
      <c r="G729" s="126"/>
      <c r="H729" s="124" t="s">
        <v>6307</v>
      </c>
      <c r="I729" s="126"/>
      <c r="J729" s="125" t="s">
        <v>6181</v>
      </c>
      <c r="K729" s="125"/>
      <c r="L729" s="126"/>
      <c r="M729" s="124" t="s">
        <v>6182</v>
      </c>
      <c r="N729" s="125"/>
      <c r="O729" s="125"/>
      <c r="P729" s="126"/>
    </row>
    <row r="730" spans="1:16" ht="14.25" customHeight="1" x14ac:dyDescent="0.15">
      <c r="A730" s="124" t="s">
        <v>6363</v>
      </c>
      <c r="B730" s="125"/>
      <c r="C730" s="125"/>
      <c r="D730" s="125"/>
      <c r="E730" s="125"/>
      <c r="F730" s="125"/>
      <c r="G730" s="125"/>
      <c r="H730" s="125"/>
      <c r="I730" s="125"/>
      <c r="J730" s="125"/>
      <c r="K730" s="125"/>
      <c r="L730" s="125"/>
      <c r="M730" s="125"/>
      <c r="N730" s="125"/>
      <c r="O730" s="125"/>
      <c r="P730" s="126"/>
    </row>
    <row r="731" spans="1:16" ht="14.25" customHeight="1" x14ac:dyDescent="0.15">
      <c r="A731" s="124" t="s">
        <v>6184</v>
      </c>
      <c r="B731" s="125"/>
      <c r="C731" s="125"/>
      <c r="D731" s="125"/>
      <c r="E731" s="125"/>
      <c r="F731" s="125"/>
      <c r="G731" s="125"/>
      <c r="H731" s="125"/>
      <c r="I731" s="125"/>
      <c r="J731" s="125"/>
      <c r="K731" s="125"/>
      <c r="L731" s="125"/>
      <c r="M731" s="125"/>
      <c r="N731" s="125"/>
      <c r="O731" s="125"/>
      <c r="P731" s="126"/>
    </row>
    <row r="732" spans="1:16" ht="14.25" customHeight="1" x14ac:dyDescent="0.15">
      <c r="A732" s="37"/>
      <c r="B732" s="38"/>
      <c r="C732" s="127" t="s">
        <v>4</v>
      </c>
      <c r="D732" s="128"/>
      <c r="E732" s="129" t="s">
        <v>5</v>
      </c>
      <c r="F732" s="130"/>
      <c r="G732" s="129" t="s">
        <v>6</v>
      </c>
      <c r="H732" s="130"/>
      <c r="I732" s="38"/>
      <c r="J732" s="38"/>
      <c r="K732" s="127" t="s">
        <v>4</v>
      </c>
      <c r="L732" s="128"/>
      <c r="M732" s="129" t="s">
        <v>5</v>
      </c>
      <c r="N732" s="130"/>
      <c r="O732" s="129" t="s">
        <v>6</v>
      </c>
      <c r="P732" s="130"/>
    </row>
    <row r="733" spans="1:16" ht="14.25" customHeight="1" x14ac:dyDescent="0.15">
      <c r="A733" s="39" t="s">
        <v>7</v>
      </c>
      <c r="B733" s="40" t="s">
        <v>8</v>
      </c>
      <c r="C733" s="41" t="s">
        <v>9</v>
      </c>
      <c r="D733" s="41" t="s">
        <v>10</v>
      </c>
      <c r="E733" s="41" t="s">
        <v>9</v>
      </c>
      <c r="F733" s="41" t="s">
        <v>10</v>
      </c>
      <c r="G733" s="41" t="s">
        <v>9</v>
      </c>
      <c r="H733" s="41" t="s">
        <v>10</v>
      </c>
      <c r="I733" s="48" t="s">
        <v>7</v>
      </c>
      <c r="J733" s="40" t="s">
        <v>8</v>
      </c>
      <c r="K733" s="41" t="s">
        <v>9</v>
      </c>
      <c r="L733" s="41" t="s">
        <v>10</v>
      </c>
      <c r="M733" s="41" t="s">
        <v>9</v>
      </c>
      <c r="N733" s="41" t="s">
        <v>10</v>
      </c>
      <c r="O733" s="41" t="s">
        <v>9</v>
      </c>
      <c r="P733" s="41" t="s">
        <v>10</v>
      </c>
    </row>
    <row r="734" spans="1:16" ht="14.25" customHeight="1" x14ac:dyDescent="0.15">
      <c r="A734" s="42" t="s">
        <v>6185</v>
      </c>
      <c r="B734" s="40" t="s">
        <v>17</v>
      </c>
      <c r="C734" s="42" t="s">
        <v>6186</v>
      </c>
      <c r="D734" s="42" t="s">
        <v>6186</v>
      </c>
      <c r="E734" s="42" t="s">
        <v>6186</v>
      </c>
      <c r="F734" s="42" t="s">
        <v>6186</v>
      </c>
      <c r="G734" s="42" t="s">
        <v>6186</v>
      </c>
      <c r="H734" s="42" t="s">
        <v>6186</v>
      </c>
      <c r="I734" s="42" t="s">
        <v>6187</v>
      </c>
      <c r="J734" s="40" t="s">
        <v>11</v>
      </c>
      <c r="K734" s="42" t="s">
        <v>6315</v>
      </c>
      <c r="L734" s="42" t="s">
        <v>6608</v>
      </c>
      <c r="M734" s="42" t="s">
        <v>6186</v>
      </c>
      <c r="N734" s="42" t="s">
        <v>6186</v>
      </c>
      <c r="O734" s="42" t="s">
        <v>6186</v>
      </c>
      <c r="P734" s="42" t="s">
        <v>6186</v>
      </c>
    </row>
    <row r="735" spans="1:16" ht="14.25" customHeight="1" x14ac:dyDescent="0.15">
      <c r="A735" s="42" t="s">
        <v>6190</v>
      </c>
      <c r="B735" s="40" t="s">
        <v>18</v>
      </c>
      <c r="C735" s="42" t="s">
        <v>6186</v>
      </c>
      <c r="D735" s="42" t="s">
        <v>6186</v>
      </c>
      <c r="E735" s="42" t="s">
        <v>6186</v>
      </c>
      <c r="F735" s="42" t="s">
        <v>6186</v>
      </c>
      <c r="G735" s="42" t="s">
        <v>6186</v>
      </c>
      <c r="H735" s="42" t="s">
        <v>6186</v>
      </c>
      <c r="I735" s="42" t="s">
        <v>6191</v>
      </c>
      <c r="J735" s="40" t="s">
        <v>14</v>
      </c>
      <c r="K735" s="42" t="s">
        <v>6458</v>
      </c>
      <c r="L735" s="42" t="s">
        <v>6382</v>
      </c>
      <c r="M735" s="42" t="s">
        <v>6186</v>
      </c>
      <c r="N735" s="42" t="s">
        <v>6186</v>
      </c>
      <c r="O735" s="42" t="s">
        <v>6186</v>
      </c>
      <c r="P735" s="42" t="s">
        <v>6186</v>
      </c>
    </row>
    <row r="736" spans="1:16" ht="14.25" customHeight="1" x14ac:dyDescent="0.15">
      <c r="A736" s="42" t="s">
        <v>6194</v>
      </c>
      <c r="B736" s="40" t="s">
        <v>11</v>
      </c>
      <c r="C736" s="42" t="s">
        <v>6186</v>
      </c>
      <c r="D736" s="42" t="s">
        <v>6186</v>
      </c>
      <c r="E736" s="42" t="s">
        <v>6186</v>
      </c>
      <c r="F736" s="42" t="s">
        <v>6186</v>
      </c>
      <c r="G736" s="42" t="s">
        <v>6186</v>
      </c>
      <c r="H736" s="42" t="s">
        <v>6186</v>
      </c>
      <c r="I736" s="42" t="s">
        <v>6195</v>
      </c>
      <c r="J736" s="40" t="s">
        <v>13</v>
      </c>
      <c r="K736" s="42" t="s">
        <v>6186</v>
      </c>
      <c r="L736" s="42" t="s">
        <v>6186</v>
      </c>
      <c r="M736" s="42" t="s">
        <v>6186</v>
      </c>
      <c r="N736" s="42" t="s">
        <v>6186</v>
      </c>
      <c r="O736" s="42" t="s">
        <v>6186</v>
      </c>
      <c r="P736" s="42" t="s">
        <v>6186</v>
      </c>
    </row>
    <row r="737" spans="1:16" ht="14.25" customHeight="1" x14ac:dyDescent="0.15">
      <c r="A737" s="42" t="s">
        <v>6198</v>
      </c>
      <c r="B737" s="40" t="s">
        <v>14</v>
      </c>
      <c r="C737" s="42" t="s">
        <v>6186</v>
      </c>
      <c r="D737" s="42" t="s">
        <v>6186</v>
      </c>
      <c r="E737" s="42" t="s">
        <v>6186</v>
      </c>
      <c r="F737" s="42" t="s">
        <v>6186</v>
      </c>
      <c r="G737" s="42" t="s">
        <v>6186</v>
      </c>
      <c r="H737" s="42" t="s">
        <v>6186</v>
      </c>
      <c r="I737" s="42" t="s">
        <v>6199</v>
      </c>
      <c r="J737" s="40" t="s">
        <v>15</v>
      </c>
      <c r="K737" s="42" t="s">
        <v>6186</v>
      </c>
      <c r="L737" s="42" t="s">
        <v>6186</v>
      </c>
      <c r="M737" s="42" t="s">
        <v>6186</v>
      </c>
      <c r="N737" s="42" t="s">
        <v>6186</v>
      </c>
      <c r="O737" s="42" t="s">
        <v>6186</v>
      </c>
      <c r="P737" s="42" t="s">
        <v>6186</v>
      </c>
    </row>
    <row r="738" spans="1:16" ht="14.25" customHeight="1" x14ac:dyDescent="0.15">
      <c r="A738" s="42" t="s">
        <v>6202</v>
      </c>
      <c r="B738" s="40" t="s">
        <v>13</v>
      </c>
      <c r="C738" s="42" t="s">
        <v>6186</v>
      </c>
      <c r="D738" s="42" t="s">
        <v>6186</v>
      </c>
      <c r="E738" s="42" t="s">
        <v>6186</v>
      </c>
      <c r="F738" s="42" t="s">
        <v>6186</v>
      </c>
      <c r="G738" s="42" t="s">
        <v>6186</v>
      </c>
      <c r="H738" s="42" t="s">
        <v>6186</v>
      </c>
      <c r="I738" s="42" t="s">
        <v>6203</v>
      </c>
      <c r="J738" s="40" t="s">
        <v>16</v>
      </c>
      <c r="K738" s="42" t="s">
        <v>6186</v>
      </c>
      <c r="L738" s="42" t="s">
        <v>6186</v>
      </c>
      <c r="M738" s="42" t="s">
        <v>6186</v>
      </c>
      <c r="N738" s="42" t="s">
        <v>6186</v>
      </c>
      <c r="O738" s="42" t="s">
        <v>6186</v>
      </c>
      <c r="P738" s="42" t="s">
        <v>6186</v>
      </c>
    </row>
    <row r="739" spans="1:16" ht="14.25" customHeight="1" x14ac:dyDescent="0.15">
      <c r="A739" s="42" t="s">
        <v>6204</v>
      </c>
      <c r="B739" s="40" t="s">
        <v>15</v>
      </c>
      <c r="C739" s="42" t="s">
        <v>6186</v>
      </c>
      <c r="D739" s="42" t="s">
        <v>6186</v>
      </c>
      <c r="E739" s="42" t="s">
        <v>6186</v>
      </c>
      <c r="F739" s="42" t="s">
        <v>6186</v>
      </c>
      <c r="G739" s="42" t="s">
        <v>6186</v>
      </c>
      <c r="H739" s="42" t="s">
        <v>6186</v>
      </c>
      <c r="I739" s="42" t="s">
        <v>6205</v>
      </c>
      <c r="J739" s="40" t="s">
        <v>17</v>
      </c>
      <c r="K739" s="42" t="s">
        <v>6186</v>
      </c>
      <c r="L739" s="42" t="s">
        <v>6186</v>
      </c>
      <c r="M739" s="42" t="s">
        <v>6186</v>
      </c>
      <c r="N739" s="42" t="s">
        <v>6186</v>
      </c>
      <c r="O739" s="42" t="s">
        <v>6186</v>
      </c>
      <c r="P739" s="42" t="s">
        <v>6186</v>
      </c>
    </row>
    <row r="740" spans="1:16" ht="14.25" customHeight="1" x14ac:dyDescent="0.15">
      <c r="A740" s="42" t="s">
        <v>6206</v>
      </c>
      <c r="B740" s="40" t="s">
        <v>16</v>
      </c>
      <c r="C740" s="42" t="s">
        <v>6186</v>
      </c>
      <c r="D740" s="42" t="s">
        <v>6186</v>
      </c>
      <c r="E740" s="42" t="s">
        <v>6186</v>
      </c>
      <c r="F740" s="42" t="s">
        <v>6186</v>
      </c>
      <c r="G740" s="42" t="s">
        <v>6186</v>
      </c>
      <c r="H740" s="42" t="s">
        <v>6186</v>
      </c>
      <c r="I740" s="42" t="s">
        <v>6207</v>
      </c>
      <c r="J740" s="40" t="s">
        <v>18</v>
      </c>
      <c r="K740" s="42" t="s">
        <v>6186</v>
      </c>
      <c r="L740" s="42" t="s">
        <v>6186</v>
      </c>
      <c r="M740" s="42" t="s">
        <v>6186</v>
      </c>
      <c r="N740" s="42" t="s">
        <v>6186</v>
      </c>
      <c r="O740" s="42" t="s">
        <v>6186</v>
      </c>
      <c r="P740" s="42" t="s">
        <v>6186</v>
      </c>
    </row>
    <row r="741" spans="1:16" ht="14.25" customHeight="1" x14ac:dyDescent="0.15">
      <c r="A741" s="42" t="s">
        <v>6208</v>
      </c>
      <c r="B741" s="40" t="s">
        <v>17</v>
      </c>
      <c r="C741" s="42" t="s">
        <v>6186</v>
      </c>
      <c r="D741" s="42" t="s">
        <v>6186</v>
      </c>
      <c r="E741" s="42" t="s">
        <v>6186</v>
      </c>
      <c r="F741" s="42" t="s">
        <v>6186</v>
      </c>
      <c r="G741" s="42" t="s">
        <v>6186</v>
      </c>
      <c r="H741" s="42" t="s">
        <v>6186</v>
      </c>
      <c r="I741" s="42" t="s">
        <v>6211</v>
      </c>
      <c r="J741" s="40" t="s">
        <v>11</v>
      </c>
      <c r="K741" s="42" t="s">
        <v>6186</v>
      </c>
      <c r="L741" s="42" t="s">
        <v>6186</v>
      </c>
      <c r="M741" s="42" t="s">
        <v>6186</v>
      </c>
      <c r="N741" s="42" t="s">
        <v>6186</v>
      </c>
      <c r="O741" s="42" t="s">
        <v>6186</v>
      </c>
      <c r="P741" s="42" t="s">
        <v>6186</v>
      </c>
    </row>
    <row r="742" spans="1:16" ht="14.25" customHeight="1" x14ac:dyDescent="0.15">
      <c r="A742" s="42" t="s">
        <v>6212</v>
      </c>
      <c r="B742" s="40" t="s">
        <v>18</v>
      </c>
      <c r="C742" s="42" t="s">
        <v>6186</v>
      </c>
      <c r="D742" s="42" t="s">
        <v>6186</v>
      </c>
      <c r="E742" s="42" t="s">
        <v>6186</v>
      </c>
      <c r="F742" s="42" t="s">
        <v>6186</v>
      </c>
      <c r="G742" s="42" t="s">
        <v>6186</v>
      </c>
      <c r="H742" s="42" t="s">
        <v>6186</v>
      </c>
      <c r="I742" s="42" t="s">
        <v>6215</v>
      </c>
      <c r="J742" s="40" t="s">
        <v>14</v>
      </c>
      <c r="K742" s="42" t="s">
        <v>6186</v>
      </c>
      <c r="L742" s="42" t="s">
        <v>6186</v>
      </c>
      <c r="M742" s="42" t="s">
        <v>6186</v>
      </c>
      <c r="N742" s="42" t="s">
        <v>6186</v>
      </c>
      <c r="O742" s="42" t="s">
        <v>6186</v>
      </c>
      <c r="P742" s="42" t="s">
        <v>6186</v>
      </c>
    </row>
    <row r="743" spans="1:16" ht="14.25" customHeight="1" x14ac:dyDescent="0.15">
      <c r="A743" s="42" t="s">
        <v>6216</v>
      </c>
      <c r="B743" s="40" t="s">
        <v>11</v>
      </c>
      <c r="C743" s="42" t="s">
        <v>6186</v>
      </c>
      <c r="D743" s="42" t="s">
        <v>6186</v>
      </c>
      <c r="E743" s="42" t="s">
        <v>6186</v>
      </c>
      <c r="F743" s="42" t="s">
        <v>6186</v>
      </c>
      <c r="G743" s="42" t="s">
        <v>6186</v>
      </c>
      <c r="H743" s="42" t="s">
        <v>6186</v>
      </c>
      <c r="I743" s="42" t="s">
        <v>6219</v>
      </c>
      <c r="J743" s="40" t="s">
        <v>13</v>
      </c>
      <c r="K743" s="42" t="s">
        <v>6186</v>
      </c>
      <c r="L743" s="42" t="s">
        <v>6186</v>
      </c>
      <c r="M743" s="42" t="s">
        <v>6186</v>
      </c>
      <c r="N743" s="42" t="s">
        <v>6186</v>
      </c>
      <c r="O743" s="42" t="s">
        <v>6186</v>
      </c>
      <c r="P743" s="42" t="s">
        <v>6186</v>
      </c>
    </row>
    <row r="744" spans="1:16" ht="14.25" customHeight="1" x14ac:dyDescent="0.15">
      <c r="A744" s="42" t="s">
        <v>6220</v>
      </c>
      <c r="B744" s="40" t="s">
        <v>14</v>
      </c>
      <c r="C744" s="42" t="s">
        <v>6186</v>
      </c>
      <c r="D744" s="42" t="s">
        <v>6186</v>
      </c>
      <c r="E744" s="42" t="s">
        <v>6186</v>
      </c>
      <c r="F744" s="42" t="s">
        <v>6186</v>
      </c>
      <c r="G744" s="42" t="s">
        <v>6186</v>
      </c>
      <c r="H744" s="42" t="s">
        <v>6186</v>
      </c>
      <c r="I744" s="42" t="s">
        <v>6221</v>
      </c>
      <c r="J744" s="40" t="s">
        <v>15</v>
      </c>
      <c r="K744" s="42" t="s">
        <v>6186</v>
      </c>
      <c r="L744" s="42" t="s">
        <v>6186</v>
      </c>
      <c r="M744" s="42" t="s">
        <v>6186</v>
      </c>
      <c r="N744" s="42" t="s">
        <v>6186</v>
      </c>
      <c r="O744" s="42" t="s">
        <v>6186</v>
      </c>
      <c r="P744" s="42" t="s">
        <v>6186</v>
      </c>
    </row>
    <row r="745" spans="1:16" ht="14.25" customHeight="1" x14ac:dyDescent="0.15">
      <c r="A745" s="42" t="s">
        <v>6222</v>
      </c>
      <c r="B745" s="40" t="s">
        <v>13</v>
      </c>
      <c r="C745" s="42" t="s">
        <v>6186</v>
      </c>
      <c r="D745" s="42" t="s">
        <v>6186</v>
      </c>
      <c r="E745" s="42" t="s">
        <v>6186</v>
      </c>
      <c r="F745" s="42" t="s">
        <v>6186</v>
      </c>
      <c r="G745" s="42" t="s">
        <v>6186</v>
      </c>
      <c r="H745" s="42" t="s">
        <v>6186</v>
      </c>
      <c r="I745" s="42" t="s">
        <v>6224</v>
      </c>
      <c r="J745" s="40" t="s">
        <v>16</v>
      </c>
      <c r="K745" s="42" t="s">
        <v>6186</v>
      </c>
      <c r="L745" s="42" t="s">
        <v>6186</v>
      </c>
      <c r="M745" s="42" t="s">
        <v>6186</v>
      </c>
      <c r="N745" s="42" t="s">
        <v>6186</v>
      </c>
      <c r="O745" s="42" t="s">
        <v>6186</v>
      </c>
      <c r="P745" s="42" t="s">
        <v>6186</v>
      </c>
    </row>
    <row r="746" spans="1:16" ht="14.25" customHeight="1" x14ac:dyDescent="0.15">
      <c r="A746" s="42" t="s">
        <v>6225</v>
      </c>
      <c r="B746" s="40" t="s">
        <v>15</v>
      </c>
      <c r="C746" s="42" t="s">
        <v>6186</v>
      </c>
      <c r="D746" s="42" t="s">
        <v>6186</v>
      </c>
      <c r="E746" s="42" t="s">
        <v>6186</v>
      </c>
      <c r="F746" s="42" t="s">
        <v>6186</v>
      </c>
      <c r="G746" s="42" t="s">
        <v>6186</v>
      </c>
      <c r="H746" s="42" t="s">
        <v>6186</v>
      </c>
      <c r="I746" s="42" t="s">
        <v>6227</v>
      </c>
      <c r="J746" s="40" t="s">
        <v>17</v>
      </c>
      <c r="K746" s="42" t="s">
        <v>6186</v>
      </c>
      <c r="L746" s="42" t="s">
        <v>6186</v>
      </c>
      <c r="M746" s="42" t="s">
        <v>6186</v>
      </c>
      <c r="N746" s="42" t="s">
        <v>6186</v>
      </c>
      <c r="O746" s="42" t="s">
        <v>6186</v>
      </c>
      <c r="P746" s="42" t="s">
        <v>6186</v>
      </c>
    </row>
    <row r="747" spans="1:16" ht="14.25" customHeight="1" x14ac:dyDescent="0.15">
      <c r="A747" s="42" t="s">
        <v>6228</v>
      </c>
      <c r="B747" s="40" t="s">
        <v>16</v>
      </c>
      <c r="C747" s="42" t="s">
        <v>6186</v>
      </c>
      <c r="D747" s="42" t="s">
        <v>6186</v>
      </c>
      <c r="E747" s="42" t="s">
        <v>6186</v>
      </c>
      <c r="F747" s="42" t="s">
        <v>6186</v>
      </c>
      <c r="G747" s="42" t="s">
        <v>6186</v>
      </c>
      <c r="H747" s="42" t="s">
        <v>6186</v>
      </c>
      <c r="I747" s="42" t="s">
        <v>6230</v>
      </c>
      <c r="J747" s="40" t="s">
        <v>18</v>
      </c>
      <c r="K747" s="42" t="s">
        <v>6186</v>
      </c>
      <c r="L747" s="42" t="s">
        <v>6186</v>
      </c>
      <c r="M747" s="42" t="s">
        <v>6186</v>
      </c>
      <c r="N747" s="42" t="s">
        <v>6186</v>
      </c>
      <c r="O747" s="42" t="s">
        <v>6186</v>
      </c>
      <c r="P747" s="42" t="s">
        <v>6186</v>
      </c>
    </row>
    <row r="748" spans="1:16" ht="14.25" customHeight="1" x14ac:dyDescent="0.15">
      <c r="A748" s="42" t="s">
        <v>6231</v>
      </c>
      <c r="B748" s="40" t="s">
        <v>17</v>
      </c>
      <c r="C748" s="42" t="s">
        <v>6186</v>
      </c>
      <c r="D748" s="42" t="s">
        <v>6186</v>
      </c>
      <c r="E748" s="42" t="s">
        <v>6186</v>
      </c>
      <c r="F748" s="42" t="s">
        <v>6186</v>
      </c>
      <c r="G748" s="42" t="s">
        <v>6186</v>
      </c>
      <c r="H748" s="42" t="s">
        <v>6186</v>
      </c>
      <c r="I748" s="42" t="s">
        <v>6234</v>
      </c>
      <c r="J748" s="40" t="s">
        <v>11</v>
      </c>
      <c r="K748" s="42" t="s">
        <v>6402</v>
      </c>
      <c r="L748" s="42" t="s">
        <v>6127</v>
      </c>
      <c r="M748" s="42" t="s">
        <v>6186</v>
      </c>
      <c r="N748" s="42" t="s">
        <v>6186</v>
      </c>
      <c r="O748" s="42" t="s">
        <v>6186</v>
      </c>
      <c r="P748" s="42" t="s">
        <v>6186</v>
      </c>
    </row>
    <row r="749" spans="1:16" ht="14.25" customHeight="1" x14ac:dyDescent="0.15">
      <c r="A749" s="42" t="s">
        <v>6235</v>
      </c>
      <c r="B749" s="40" t="s">
        <v>18</v>
      </c>
      <c r="C749" s="42" t="s">
        <v>6186</v>
      </c>
      <c r="D749" s="42" t="s">
        <v>6186</v>
      </c>
      <c r="E749" s="42" t="s">
        <v>6186</v>
      </c>
      <c r="F749" s="42" t="s">
        <v>6186</v>
      </c>
      <c r="G749" s="42" t="s">
        <v>6186</v>
      </c>
      <c r="H749" s="42" t="s">
        <v>6186</v>
      </c>
      <c r="I749" s="42" t="s">
        <v>12</v>
      </c>
      <c r="J749" s="42" t="s">
        <v>12</v>
      </c>
      <c r="K749" s="42" t="s">
        <v>12</v>
      </c>
      <c r="L749" s="42" t="s">
        <v>12</v>
      </c>
      <c r="M749" s="42" t="s">
        <v>12</v>
      </c>
      <c r="N749" s="42" t="s">
        <v>12</v>
      </c>
      <c r="O749" s="42" t="s">
        <v>12</v>
      </c>
      <c r="P749" s="42" t="s">
        <v>12</v>
      </c>
    </row>
    <row r="750" spans="1:16" ht="14.25" customHeight="1" x14ac:dyDescent="0.15">
      <c r="A750" s="35"/>
      <c r="C750" s="46"/>
      <c r="D750" s="46"/>
      <c r="E750" s="46"/>
      <c r="F750" s="46"/>
      <c r="G750" s="47"/>
      <c r="H750" s="47"/>
      <c r="I750" s="36"/>
      <c r="M750" s="131" t="s">
        <v>6237</v>
      </c>
      <c r="N750" s="131"/>
      <c r="O750" s="131"/>
      <c r="P750" s="131"/>
    </row>
    <row r="754" spans="1:16" ht="14.25" customHeight="1" x14ac:dyDescent="0.15">
      <c r="A754" s="124" t="s">
        <v>6178</v>
      </c>
      <c r="B754" s="125"/>
      <c r="C754" s="125"/>
      <c r="D754" s="126"/>
      <c r="E754" s="124" t="s">
        <v>6609</v>
      </c>
      <c r="F754" s="125"/>
      <c r="G754" s="126"/>
      <c r="H754" s="124" t="s">
        <v>6310</v>
      </c>
      <c r="I754" s="126"/>
      <c r="J754" s="125" t="s">
        <v>6181</v>
      </c>
      <c r="K754" s="125"/>
      <c r="L754" s="126"/>
      <c r="M754" s="124" t="s">
        <v>6182</v>
      </c>
      <c r="N754" s="125"/>
      <c r="O754" s="125"/>
      <c r="P754" s="126"/>
    </row>
    <row r="755" spans="1:16" ht="14.25" customHeight="1" x14ac:dyDescent="0.15">
      <c r="A755" s="124" t="s">
        <v>6419</v>
      </c>
      <c r="B755" s="125"/>
      <c r="C755" s="125"/>
      <c r="D755" s="125"/>
      <c r="E755" s="125"/>
      <c r="F755" s="125"/>
      <c r="G755" s="125"/>
      <c r="H755" s="125"/>
      <c r="I755" s="125"/>
      <c r="J755" s="125"/>
      <c r="K755" s="125"/>
      <c r="L755" s="125"/>
      <c r="M755" s="125"/>
      <c r="N755" s="125"/>
      <c r="O755" s="125"/>
      <c r="P755" s="126"/>
    </row>
    <row r="756" spans="1:16" ht="14.25" customHeight="1" x14ac:dyDescent="0.15">
      <c r="A756" s="124" t="s">
        <v>6184</v>
      </c>
      <c r="B756" s="125"/>
      <c r="C756" s="125"/>
      <c r="D756" s="125"/>
      <c r="E756" s="125"/>
      <c r="F756" s="125"/>
      <c r="G756" s="125"/>
      <c r="H756" s="125"/>
      <c r="I756" s="125"/>
      <c r="J756" s="125"/>
      <c r="K756" s="125"/>
      <c r="L756" s="125"/>
      <c r="M756" s="125"/>
      <c r="N756" s="125"/>
      <c r="O756" s="125"/>
      <c r="P756" s="126"/>
    </row>
    <row r="757" spans="1:16" ht="14.25" customHeight="1" x14ac:dyDescent="0.15">
      <c r="A757" s="37"/>
      <c r="B757" s="38"/>
      <c r="C757" s="127" t="s">
        <v>4</v>
      </c>
      <c r="D757" s="128"/>
      <c r="E757" s="129" t="s">
        <v>5</v>
      </c>
      <c r="F757" s="130"/>
      <c r="G757" s="129" t="s">
        <v>6</v>
      </c>
      <c r="H757" s="130"/>
      <c r="I757" s="38"/>
      <c r="J757" s="38"/>
      <c r="K757" s="127" t="s">
        <v>4</v>
      </c>
      <c r="L757" s="128"/>
      <c r="M757" s="129" t="s">
        <v>5</v>
      </c>
      <c r="N757" s="130"/>
      <c r="O757" s="129" t="s">
        <v>6</v>
      </c>
      <c r="P757" s="130"/>
    </row>
    <row r="758" spans="1:16" ht="14.25" customHeight="1" x14ac:dyDescent="0.15">
      <c r="A758" s="39" t="s">
        <v>7</v>
      </c>
      <c r="B758" s="40" t="s">
        <v>8</v>
      </c>
      <c r="C758" s="41" t="s">
        <v>9</v>
      </c>
      <c r="D758" s="41" t="s">
        <v>10</v>
      </c>
      <c r="E758" s="41" t="s">
        <v>9</v>
      </c>
      <c r="F758" s="41" t="s">
        <v>10</v>
      </c>
      <c r="G758" s="41" t="s">
        <v>9</v>
      </c>
      <c r="H758" s="41" t="s">
        <v>10</v>
      </c>
      <c r="I758" s="48" t="s">
        <v>7</v>
      </c>
      <c r="J758" s="40" t="s">
        <v>8</v>
      </c>
      <c r="K758" s="41" t="s">
        <v>9</v>
      </c>
      <c r="L758" s="41" t="s">
        <v>10</v>
      </c>
      <c r="M758" s="41" t="s">
        <v>9</v>
      </c>
      <c r="N758" s="41" t="s">
        <v>10</v>
      </c>
      <c r="O758" s="41" t="s">
        <v>9</v>
      </c>
      <c r="P758" s="41" t="s">
        <v>10</v>
      </c>
    </row>
    <row r="759" spans="1:16" ht="14.25" customHeight="1" x14ac:dyDescent="0.15">
      <c r="A759" s="42" t="s">
        <v>6185</v>
      </c>
      <c r="B759" s="40" t="s">
        <v>17</v>
      </c>
      <c r="C759" s="42" t="s">
        <v>6186</v>
      </c>
      <c r="D759" s="42" t="s">
        <v>6186</v>
      </c>
      <c r="E759" s="42" t="s">
        <v>6186</v>
      </c>
      <c r="F759" s="42" t="s">
        <v>6186</v>
      </c>
      <c r="G759" s="42" t="s">
        <v>6186</v>
      </c>
      <c r="H759" s="42" t="s">
        <v>6186</v>
      </c>
      <c r="I759" s="42" t="s">
        <v>6187</v>
      </c>
      <c r="J759" s="40" t="s">
        <v>11</v>
      </c>
      <c r="K759" s="42"/>
      <c r="L759" s="42"/>
      <c r="M759" s="42" t="s">
        <v>6186</v>
      </c>
      <c r="N759" s="42" t="s">
        <v>6186</v>
      </c>
      <c r="O759" s="42" t="s">
        <v>6186</v>
      </c>
      <c r="P759" s="42" t="s">
        <v>6186</v>
      </c>
    </row>
    <row r="760" spans="1:16" ht="14.25" customHeight="1" x14ac:dyDescent="0.15">
      <c r="A760" s="42" t="s">
        <v>6190</v>
      </c>
      <c r="B760" s="40" t="s">
        <v>18</v>
      </c>
      <c r="C760" s="42" t="s">
        <v>6186</v>
      </c>
      <c r="D760" s="42" t="s">
        <v>6186</v>
      </c>
      <c r="E760" s="42" t="s">
        <v>6186</v>
      </c>
      <c r="F760" s="42" t="s">
        <v>6186</v>
      </c>
      <c r="G760" s="42" t="s">
        <v>6186</v>
      </c>
      <c r="H760" s="42" t="s">
        <v>6186</v>
      </c>
      <c r="I760" s="42" t="s">
        <v>6191</v>
      </c>
      <c r="J760" s="40" t="s">
        <v>14</v>
      </c>
      <c r="K760" s="42"/>
      <c r="L760" s="42"/>
      <c r="M760" s="42" t="s">
        <v>6186</v>
      </c>
      <c r="N760" s="42" t="s">
        <v>6186</v>
      </c>
      <c r="O760" s="42" t="s">
        <v>6186</v>
      </c>
      <c r="P760" s="42" t="s">
        <v>6186</v>
      </c>
    </row>
    <row r="761" spans="1:16" ht="14.25" customHeight="1" x14ac:dyDescent="0.15">
      <c r="A761" s="42" t="s">
        <v>6194</v>
      </c>
      <c r="B761" s="40" t="s">
        <v>11</v>
      </c>
      <c r="C761" s="42" t="s">
        <v>6186</v>
      </c>
      <c r="D761" s="42" t="s">
        <v>6186</v>
      </c>
      <c r="E761" s="42" t="s">
        <v>6186</v>
      </c>
      <c r="F761" s="42" t="s">
        <v>6186</v>
      </c>
      <c r="G761" s="42" t="s">
        <v>6186</v>
      </c>
      <c r="H761" s="42" t="s">
        <v>6186</v>
      </c>
      <c r="I761" s="42" t="s">
        <v>6195</v>
      </c>
      <c r="J761" s="40" t="s">
        <v>13</v>
      </c>
      <c r="K761" s="42" t="s">
        <v>6186</v>
      </c>
      <c r="L761" s="42" t="s">
        <v>6186</v>
      </c>
      <c r="M761" s="42" t="s">
        <v>6186</v>
      </c>
      <c r="N761" s="42" t="s">
        <v>6186</v>
      </c>
      <c r="O761" s="42" t="s">
        <v>6186</v>
      </c>
      <c r="P761" s="42" t="s">
        <v>6186</v>
      </c>
    </row>
    <row r="762" spans="1:16" ht="14.25" customHeight="1" x14ac:dyDescent="0.15">
      <c r="A762" s="42" t="s">
        <v>6198</v>
      </c>
      <c r="B762" s="40" t="s">
        <v>14</v>
      </c>
      <c r="C762" s="42" t="s">
        <v>6186</v>
      </c>
      <c r="D762" s="42" t="s">
        <v>6186</v>
      </c>
      <c r="E762" s="42" t="s">
        <v>6186</v>
      </c>
      <c r="F762" s="42" t="s">
        <v>6186</v>
      </c>
      <c r="G762" s="42" t="s">
        <v>6186</v>
      </c>
      <c r="H762" s="42" t="s">
        <v>6186</v>
      </c>
      <c r="I762" s="42" t="s">
        <v>6199</v>
      </c>
      <c r="J762" s="40" t="s">
        <v>15</v>
      </c>
      <c r="K762" s="42" t="s">
        <v>6186</v>
      </c>
      <c r="L762" s="42" t="s">
        <v>6186</v>
      </c>
      <c r="M762" s="42" t="s">
        <v>6186</v>
      </c>
      <c r="N762" s="42" t="s">
        <v>6186</v>
      </c>
      <c r="O762" s="42" t="s">
        <v>6186</v>
      </c>
      <c r="P762" s="42" t="s">
        <v>6186</v>
      </c>
    </row>
    <row r="763" spans="1:16" ht="14.25" customHeight="1" x14ac:dyDescent="0.15">
      <c r="A763" s="42" t="s">
        <v>6202</v>
      </c>
      <c r="B763" s="40" t="s">
        <v>13</v>
      </c>
      <c r="C763" s="42" t="s">
        <v>6186</v>
      </c>
      <c r="D763" s="42" t="s">
        <v>6186</v>
      </c>
      <c r="E763" s="42" t="s">
        <v>6186</v>
      </c>
      <c r="F763" s="42" t="s">
        <v>6186</v>
      </c>
      <c r="G763" s="42" t="s">
        <v>6186</v>
      </c>
      <c r="H763" s="42" t="s">
        <v>6186</v>
      </c>
      <c r="I763" s="42" t="s">
        <v>6203</v>
      </c>
      <c r="J763" s="40" t="s">
        <v>16</v>
      </c>
      <c r="K763" s="42" t="s">
        <v>6186</v>
      </c>
      <c r="L763" s="42" t="s">
        <v>6186</v>
      </c>
      <c r="M763" s="42" t="s">
        <v>6186</v>
      </c>
      <c r="N763" s="42" t="s">
        <v>6186</v>
      </c>
      <c r="O763" s="42" t="s">
        <v>6186</v>
      </c>
      <c r="P763" s="42" t="s">
        <v>6186</v>
      </c>
    </row>
    <row r="764" spans="1:16" ht="14.25" customHeight="1" x14ac:dyDescent="0.15">
      <c r="A764" s="42" t="s">
        <v>6204</v>
      </c>
      <c r="B764" s="40" t="s">
        <v>15</v>
      </c>
      <c r="C764" s="42" t="s">
        <v>6186</v>
      </c>
      <c r="D764" s="42" t="s">
        <v>6186</v>
      </c>
      <c r="E764" s="42" t="s">
        <v>6186</v>
      </c>
      <c r="F764" s="42" t="s">
        <v>6186</v>
      </c>
      <c r="G764" s="42" t="s">
        <v>6186</v>
      </c>
      <c r="H764" s="42" t="s">
        <v>6186</v>
      </c>
      <c r="I764" s="42" t="s">
        <v>6205</v>
      </c>
      <c r="J764" s="40" t="s">
        <v>17</v>
      </c>
      <c r="K764" s="42" t="s">
        <v>6186</v>
      </c>
      <c r="L764" s="42" t="s">
        <v>6186</v>
      </c>
      <c r="M764" s="42" t="s">
        <v>6186</v>
      </c>
      <c r="N764" s="42" t="s">
        <v>6186</v>
      </c>
      <c r="O764" s="42" t="s">
        <v>6186</v>
      </c>
      <c r="P764" s="42" t="s">
        <v>6186</v>
      </c>
    </row>
    <row r="765" spans="1:16" ht="14.25" customHeight="1" x14ac:dyDescent="0.15">
      <c r="A765" s="42" t="s">
        <v>6206</v>
      </c>
      <c r="B765" s="40" t="s">
        <v>16</v>
      </c>
      <c r="C765" s="42" t="s">
        <v>6186</v>
      </c>
      <c r="D765" s="42" t="s">
        <v>6186</v>
      </c>
      <c r="E765" s="42" t="s">
        <v>6186</v>
      </c>
      <c r="F765" s="42" t="s">
        <v>6186</v>
      </c>
      <c r="G765" s="42" t="s">
        <v>6186</v>
      </c>
      <c r="H765" s="42" t="s">
        <v>6186</v>
      </c>
      <c r="I765" s="42" t="s">
        <v>6207</v>
      </c>
      <c r="J765" s="40" t="s">
        <v>18</v>
      </c>
      <c r="K765" s="42" t="s">
        <v>6186</v>
      </c>
      <c r="L765" s="42" t="s">
        <v>6186</v>
      </c>
      <c r="M765" s="42" t="s">
        <v>6186</v>
      </c>
      <c r="N765" s="42" t="s">
        <v>6186</v>
      </c>
      <c r="O765" s="42" t="s">
        <v>6186</v>
      </c>
      <c r="P765" s="42" t="s">
        <v>6186</v>
      </c>
    </row>
    <row r="766" spans="1:16" ht="14.25" customHeight="1" x14ac:dyDescent="0.15">
      <c r="A766" s="42" t="s">
        <v>6208</v>
      </c>
      <c r="B766" s="40" t="s">
        <v>17</v>
      </c>
      <c r="C766" s="42" t="s">
        <v>6186</v>
      </c>
      <c r="D766" s="42" t="s">
        <v>6186</v>
      </c>
      <c r="E766" s="42" t="s">
        <v>6186</v>
      </c>
      <c r="F766" s="42" t="s">
        <v>6186</v>
      </c>
      <c r="G766" s="42" t="s">
        <v>6186</v>
      </c>
      <c r="H766" s="42" t="s">
        <v>6186</v>
      </c>
      <c r="I766" s="42" t="s">
        <v>6211</v>
      </c>
      <c r="J766" s="40" t="s">
        <v>11</v>
      </c>
      <c r="K766" s="42" t="s">
        <v>6186</v>
      </c>
      <c r="L766" s="42" t="s">
        <v>6186</v>
      </c>
      <c r="M766" s="42" t="s">
        <v>6186</v>
      </c>
      <c r="N766" s="42" t="s">
        <v>6186</v>
      </c>
      <c r="O766" s="42" t="s">
        <v>6186</v>
      </c>
      <c r="P766" s="42" t="s">
        <v>6186</v>
      </c>
    </row>
    <row r="767" spans="1:16" ht="14.25" customHeight="1" x14ac:dyDescent="0.15">
      <c r="A767" s="42" t="s">
        <v>6212</v>
      </c>
      <c r="B767" s="40" t="s">
        <v>18</v>
      </c>
      <c r="C767" s="42" t="s">
        <v>6186</v>
      </c>
      <c r="D767" s="42" t="s">
        <v>6186</v>
      </c>
      <c r="E767" s="42" t="s">
        <v>6186</v>
      </c>
      <c r="F767" s="42" t="s">
        <v>6186</v>
      </c>
      <c r="G767" s="42" t="s">
        <v>6186</v>
      </c>
      <c r="H767" s="42" t="s">
        <v>6186</v>
      </c>
      <c r="I767" s="42" t="s">
        <v>6215</v>
      </c>
      <c r="J767" s="40" t="s">
        <v>14</v>
      </c>
      <c r="K767" s="42" t="s">
        <v>6186</v>
      </c>
      <c r="L767" s="42" t="s">
        <v>6186</v>
      </c>
      <c r="M767" s="42" t="s">
        <v>6186</v>
      </c>
      <c r="N767" s="42" t="s">
        <v>6186</v>
      </c>
      <c r="O767" s="42" t="s">
        <v>6186</v>
      </c>
      <c r="P767" s="42" t="s">
        <v>6186</v>
      </c>
    </row>
    <row r="768" spans="1:16" ht="14.25" customHeight="1" x14ac:dyDescent="0.15">
      <c r="A768" s="42" t="s">
        <v>6216</v>
      </c>
      <c r="B768" s="40" t="s">
        <v>11</v>
      </c>
      <c r="C768" s="42" t="s">
        <v>6186</v>
      </c>
      <c r="D768" s="42" t="s">
        <v>6186</v>
      </c>
      <c r="E768" s="42" t="s">
        <v>6186</v>
      </c>
      <c r="F768" s="42" t="s">
        <v>6186</v>
      </c>
      <c r="G768" s="42" t="s">
        <v>6186</v>
      </c>
      <c r="H768" s="42" t="s">
        <v>6186</v>
      </c>
      <c r="I768" s="42" t="s">
        <v>6219</v>
      </c>
      <c r="J768" s="40" t="s">
        <v>13</v>
      </c>
      <c r="K768" s="42" t="s">
        <v>6186</v>
      </c>
      <c r="L768" s="42" t="s">
        <v>6186</v>
      </c>
      <c r="M768" s="42" t="s">
        <v>6186</v>
      </c>
      <c r="N768" s="42" t="s">
        <v>6186</v>
      </c>
      <c r="O768" s="42" t="s">
        <v>6186</v>
      </c>
      <c r="P768" s="42" t="s">
        <v>6186</v>
      </c>
    </row>
    <row r="769" spans="1:16" ht="14.25" customHeight="1" x14ac:dyDescent="0.15">
      <c r="A769" s="42" t="s">
        <v>6220</v>
      </c>
      <c r="B769" s="40" t="s">
        <v>14</v>
      </c>
      <c r="C769" s="42" t="s">
        <v>6186</v>
      </c>
      <c r="D769" s="42" t="s">
        <v>6186</v>
      </c>
      <c r="E769" s="42" t="s">
        <v>6186</v>
      </c>
      <c r="F769" s="42" t="s">
        <v>6186</v>
      </c>
      <c r="G769" s="42" t="s">
        <v>6186</v>
      </c>
      <c r="H769" s="42" t="s">
        <v>6186</v>
      </c>
      <c r="I769" s="42" t="s">
        <v>6221</v>
      </c>
      <c r="J769" s="40" t="s">
        <v>15</v>
      </c>
      <c r="K769" s="42" t="s">
        <v>6186</v>
      </c>
      <c r="L769" s="42" t="s">
        <v>6186</v>
      </c>
      <c r="M769" s="42" t="s">
        <v>6186</v>
      </c>
      <c r="N769" s="42" t="s">
        <v>6186</v>
      </c>
      <c r="O769" s="42" t="s">
        <v>6186</v>
      </c>
      <c r="P769" s="42" t="s">
        <v>6186</v>
      </c>
    </row>
    <row r="770" spans="1:16" ht="14.25" customHeight="1" x14ac:dyDescent="0.15">
      <c r="A770" s="42" t="s">
        <v>6222</v>
      </c>
      <c r="B770" s="40" t="s">
        <v>13</v>
      </c>
      <c r="C770" s="42" t="s">
        <v>6186</v>
      </c>
      <c r="D770" s="42" t="s">
        <v>6186</v>
      </c>
      <c r="E770" s="42" t="s">
        <v>6186</v>
      </c>
      <c r="F770" s="42" t="s">
        <v>6186</v>
      </c>
      <c r="G770" s="42" t="s">
        <v>6186</v>
      </c>
      <c r="H770" s="42" t="s">
        <v>6186</v>
      </c>
      <c r="I770" s="42" t="s">
        <v>6224</v>
      </c>
      <c r="J770" s="40" t="s">
        <v>16</v>
      </c>
      <c r="K770" s="42" t="s">
        <v>6186</v>
      </c>
      <c r="L770" s="42" t="s">
        <v>6186</v>
      </c>
      <c r="M770" s="42" t="s">
        <v>6186</v>
      </c>
      <c r="N770" s="42" t="s">
        <v>6186</v>
      </c>
      <c r="O770" s="42" t="s">
        <v>6186</v>
      </c>
      <c r="P770" s="42" t="s">
        <v>6186</v>
      </c>
    </row>
    <row r="771" spans="1:16" ht="14.25" customHeight="1" x14ac:dyDescent="0.15">
      <c r="A771" s="42" t="s">
        <v>6225</v>
      </c>
      <c r="B771" s="40" t="s">
        <v>15</v>
      </c>
      <c r="C771" s="42" t="s">
        <v>6186</v>
      </c>
      <c r="D771" s="42" t="s">
        <v>6186</v>
      </c>
      <c r="E771" s="42" t="s">
        <v>6186</v>
      </c>
      <c r="F771" s="42" t="s">
        <v>6186</v>
      </c>
      <c r="G771" s="42" t="s">
        <v>6186</v>
      </c>
      <c r="H771" s="42" t="s">
        <v>6186</v>
      </c>
      <c r="I771" s="42" t="s">
        <v>6227</v>
      </c>
      <c r="J771" s="40" t="s">
        <v>17</v>
      </c>
      <c r="K771" s="42" t="s">
        <v>6186</v>
      </c>
      <c r="L771" s="42" t="s">
        <v>6186</v>
      </c>
      <c r="M771" s="42" t="s">
        <v>6186</v>
      </c>
      <c r="N771" s="42" t="s">
        <v>6186</v>
      </c>
      <c r="O771" s="42" t="s">
        <v>6186</v>
      </c>
      <c r="P771" s="42" t="s">
        <v>6186</v>
      </c>
    </row>
    <row r="772" spans="1:16" ht="14.25" customHeight="1" x14ac:dyDescent="0.15">
      <c r="A772" s="42" t="s">
        <v>6228</v>
      </c>
      <c r="B772" s="40" t="s">
        <v>16</v>
      </c>
      <c r="C772" s="42" t="s">
        <v>6186</v>
      </c>
      <c r="D772" s="42" t="s">
        <v>6186</v>
      </c>
      <c r="E772" s="42" t="s">
        <v>6186</v>
      </c>
      <c r="F772" s="42" t="s">
        <v>6186</v>
      </c>
      <c r="G772" s="42" t="s">
        <v>6186</v>
      </c>
      <c r="H772" s="42" t="s">
        <v>6186</v>
      </c>
      <c r="I772" s="42" t="s">
        <v>6230</v>
      </c>
      <c r="J772" s="40" t="s">
        <v>18</v>
      </c>
      <c r="K772" s="42" t="s">
        <v>6378</v>
      </c>
      <c r="L772" s="42" t="s">
        <v>6610</v>
      </c>
      <c r="M772" s="42" t="s">
        <v>6186</v>
      </c>
      <c r="N772" s="42" t="s">
        <v>6186</v>
      </c>
      <c r="O772" s="42" t="s">
        <v>6186</v>
      </c>
      <c r="P772" s="42" t="s">
        <v>6186</v>
      </c>
    </row>
    <row r="773" spans="1:16" ht="14.25" customHeight="1" x14ac:dyDescent="0.15">
      <c r="A773" s="42" t="s">
        <v>6231</v>
      </c>
      <c r="B773" s="40" t="s">
        <v>17</v>
      </c>
      <c r="C773" s="42" t="s">
        <v>6186</v>
      </c>
      <c r="D773" s="42" t="s">
        <v>6186</v>
      </c>
      <c r="E773" s="42" t="s">
        <v>6186</v>
      </c>
      <c r="F773" s="42" t="s">
        <v>6186</v>
      </c>
      <c r="G773" s="42" t="s">
        <v>6186</v>
      </c>
      <c r="H773" s="42" t="s">
        <v>6186</v>
      </c>
      <c r="I773" s="42" t="s">
        <v>6234</v>
      </c>
      <c r="J773" s="40" t="s">
        <v>11</v>
      </c>
      <c r="K773" s="42" t="s">
        <v>6402</v>
      </c>
      <c r="L773" s="42" t="s">
        <v>6611</v>
      </c>
      <c r="M773" s="42" t="s">
        <v>6186</v>
      </c>
      <c r="N773" s="42" t="s">
        <v>6186</v>
      </c>
      <c r="O773" s="42" t="s">
        <v>6186</v>
      </c>
      <c r="P773" s="42" t="s">
        <v>6186</v>
      </c>
    </row>
    <row r="774" spans="1:16" ht="14.25" customHeight="1" x14ac:dyDescent="0.15">
      <c r="A774" s="42" t="s">
        <v>6235</v>
      </c>
      <c r="B774" s="40" t="s">
        <v>18</v>
      </c>
      <c r="C774" s="42" t="s">
        <v>6186</v>
      </c>
      <c r="D774" s="42" t="s">
        <v>6186</v>
      </c>
      <c r="E774" s="42" t="s">
        <v>6186</v>
      </c>
      <c r="F774" s="42" t="s">
        <v>6186</v>
      </c>
      <c r="G774" s="42" t="s">
        <v>6186</v>
      </c>
      <c r="H774" s="42" t="s">
        <v>6186</v>
      </c>
      <c r="I774" s="42" t="s">
        <v>12</v>
      </c>
      <c r="J774" s="42" t="s">
        <v>12</v>
      </c>
      <c r="K774" s="42" t="s">
        <v>12</v>
      </c>
      <c r="L774" s="42" t="s">
        <v>12</v>
      </c>
      <c r="M774" s="42" t="s">
        <v>12</v>
      </c>
      <c r="N774" s="42" t="s">
        <v>12</v>
      </c>
      <c r="O774" s="42" t="s">
        <v>12</v>
      </c>
      <c r="P774" s="42" t="s">
        <v>12</v>
      </c>
    </row>
    <row r="775" spans="1:16" ht="14.25" customHeight="1" x14ac:dyDescent="0.15">
      <c r="A775" s="35"/>
      <c r="C775" s="46"/>
      <c r="D775" s="46"/>
      <c r="E775" s="46"/>
      <c r="F775" s="46"/>
      <c r="G775" s="47"/>
      <c r="H775" s="47"/>
      <c r="I775" s="36"/>
      <c r="M775" s="131" t="s">
        <v>6237</v>
      </c>
      <c r="N775" s="131"/>
      <c r="O775" s="131"/>
      <c r="P775" s="131"/>
    </row>
    <row r="779" spans="1:16" ht="14.25" customHeight="1" x14ac:dyDescent="0.15">
      <c r="A779" s="124" t="s">
        <v>6178</v>
      </c>
      <c r="B779" s="125"/>
      <c r="C779" s="125"/>
      <c r="D779" s="126"/>
      <c r="E779" s="124" t="s">
        <v>211</v>
      </c>
      <c r="F779" s="125"/>
      <c r="G779" s="126"/>
      <c r="H779" s="124" t="s">
        <v>6612</v>
      </c>
      <c r="I779" s="126"/>
      <c r="J779" s="125" t="s">
        <v>6181</v>
      </c>
      <c r="K779" s="125"/>
      <c r="L779" s="126"/>
      <c r="M779" s="124" t="s">
        <v>6182</v>
      </c>
      <c r="N779" s="125"/>
      <c r="O779" s="125"/>
      <c r="P779" s="126"/>
    </row>
    <row r="780" spans="1:16" ht="14.25" customHeight="1" x14ac:dyDescent="0.15">
      <c r="A780" s="124" t="s">
        <v>6419</v>
      </c>
      <c r="B780" s="125"/>
      <c r="C780" s="125"/>
      <c r="D780" s="125"/>
      <c r="E780" s="125"/>
      <c r="F780" s="125"/>
      <c r="G780" s="125"/>
      <c r="H780" s="125"/>
      <c r="I780" s="125"/>
      <c r="J780" s="125"/>
      <c r="K780" s="125"/>
      <c r="L780" s="125"/>
      <c r="M780" s="125"/>
      <c r="N780" s="125"/>
      <c r="O780" s="125"/>
      <c r="P780" s="126"/>
    </row>
    <row r="781" spans="1:16" ht="14.25" customHeight="1" x14ac:dyDescent="0.15">
      <c r="A781" s="124" t="s">
        <v>6184</v>
      </c>
      <c r="B781" s="125"/>
      <c r="C781" s="125"/>
      <c r="D781" s="125"/>
      <c r="E781" s="125"/>
      <c r="F781" s="125"/>
      <c r="G781" s="125"/>
      <c r="H781" s="125"/>
      <c r="I781" s="125"/>
      <c r="J781" s="125"/>
      <c r="K781" s="125"/>
      <c r="L781" s="125"/>
      <c r="M781" s="125"/>
      <c r="N781" s="125"/>
      <c r="O781" s="125"/>
      <c r="P781" s="126"/>
    </row>
    <row r="782" spans="1:16" ht="14.25" customHeight="1" x14ac:dyDescent="0.15">
      <c r="A782" s="37"/>
      <c r="B782" s="38"/>
      <c r="C782" s="127" t="s">
        <v>4</v>
      </c>
      <c r="D782" s="128"/>
      <c r="E782" s="129" t="s">
        <v>5</v>
      </c>
      <c r="F782" s="130"/>
      <c r="G782" s="129" t="s">
        <v>6</v>
      </c>
      <c r="H782" s="130"/>
      <c r="I782" s="38"/>
      <c r="J782" s="38"/>
      <c r="K782" s="127" t="s">
        <v>4</v>
      </c>
      <c r="L782" s="128"/>
      <c r="M782" s="129" t="s">
        <v>5</v>
      </c>
      <c r="N782" s="130"/>
      <c r="O782" s="129" t="s">
        <v>6</v>
      </c>
      <c r="P782" s="130"/>
    </row>
    <row r="783" spans="1:16" ht="14.25" customHeight="1" x14ac:dyDescent="0.15">
      <c r="A783" s="39" t="s">
        <v>7</v>
      </c>
      <c r="B783" s="40" t="s">
        <v>8</v>
      </c>
      <c r="C783" s="41" t="s">
        <v>9</v>
      </c>
      <c r="D783" s="41" t="s">
        <v>10</v>
      </c>
      <c r="E783" s="41" t="s">
        <v>9</v>
      </c>
      <c r="F783" s="41" t="s">
        <v>10</v>
      </c>
      <c r="G783" s="41" t="s">
        <v>9</v>
      </c>
      <c r="H783" s="41" t="s">
        <v>10</v>
      </c>
      <c r="I783" s="48" t="s">
        <v>7</v>
      </c>
      <c r="J783" s="40" t="s">
        <v>8</v>
      </c>
      <c r="K783" s="41" t="s">
        <v>9</v>
      </c>
      <c r="L783" s="41" t="s">
        <v>10</v>
      </c>
      <c r="M783" s="41" t="s">
        <v>9</v>
      </c>
      <c r="N783" s="41" t="s">
        <v>10</v>
      </c>
      <c r="O783" s="41" t="s">
        <v>9</v>
      </c>
      <c r="P783" s="41" t="s">
        <v>10</v>
      </c>
    </row>
    <row r="784" spans="1:16" ht="14.25" customHeight="1" x14ac:dyDescent="0.15">
      <c r="A784" s="42" t="s">
        <v>6185</v>
      </c>
      <c r="B784" s="40" t="s">
        <v>17</v>
      </c>
      <c r="C784" s="42" t="s">
        <v>6186</v>
      </c>
      <c r="D784" s="42" t="s">
        <v>6186</v>
      </c>
      <c r="E784" s="42" t="s">
        <v>6186</v>
      </c>
      <c r="F784" s="42" t="s">
        <v>6186</v>
      </c>
      <c r="G784" s="42" t="s">
        <v>6186</v>
      </c>
      <c r="H784" s="42" t="s">
        <v>6186</v>
      </c>
      <c r="I784" s="42" t="s">
        <v>6187</v>
      </c>
      <c r="J784" s="40" t="s">
        <v>11</v>
      </c>
      <c r="K784" s="42" t="s">
        <v>6315</v>
      </c>
      <c r="L784" s="42" t="s">
        <v>6608</v>
      </c>
      <c r="M784" s="42" t="s">
        <v>6186</v>
      </c>
      <c r="N784" s="42" t="s">
        <v>6186</v>
      </c>
      <c r="O784" s="42" t="s">
        <v>6186</v>
      </c>
      <c r="P784" s="42" t="s">
        <v>6186</v>
      </c>
    </row>
    <row r="785" spans="1:16" ht="14.25" customHeight="1" x14ac:dyDescent="0.15">
      <c r="A785" s="42" t="s">
        <v>6190</v>
      </c>
      <c r="B785" s="40" t="s">
        <v>18</v>
      </c>
      <c r="C785" s="42" t="s">
        <v>6186</v>
      </c>
      <c r="D785" s="42" t="s">
        <v>6186</v>
      </c>
      <c r="E785" s="42" t="s">
        <v>6186</v>
      </c>
      <c r="F785" s="42" t="s">
        <v>6186</v>
      </c>
      <c r="G785" s="42" t="s">
        <v>6186</v>
      </c>
      <c r="H785" s="42" t="s">
        <v>6186</v>
      </c>
      <c r="I785" s="42" t="s">
        <v>6191</v>
      </c>
      <c r="J785" s="40" t="s">
        <v>14</v>
      </c>
      <c r="K785" s="42" t="s">
        <v>6458</v>
      </c>
      <c r="L785" s="42" t="s">
        <v>6382</v>
      </c>
      <c r="M785" s="42" t="s">
        <v>6186</v>
      </c>
      <c r="N785" s="42" t="s">
        <v>6186</v>
      </c>
      <c r="O785" s="42" t="s">
        <v>6186</v>
      </c>
      <c r="P785" s="42" t="s">
        <v>6186</v>
      </c>
    </row>
    <row r="786" spans="1:16" ht="14.25" customHeight="1" x14ac:dyDescent="0.15">
      <c r="A786" s="42" t="s">
        <v>6194</v>
      </c>
      <c r="B786" s="40" t="s">
        <v>11</v>
      </c>
      <c r="C786" s="42" t="s">
        <v>6186</v>
      </c>
      <c r="D786" s="42" t="s">
        <v>6186</v>
      </c>
      <c r="E786" s="42" t="s">
        <v>6186</v>
      </c>
      <c r="F786" s="42" t="s">
        <v>6186</v>
      </c>
      <c r="G786" s="42" t="s">
        <v>6186</v>
      </c>
      <c r="H786" s="42" t="s">
        <v>6186</v>
      </c>
      <c r="I786" s="42" t="s">
        <v>6195</v>
      </c>
      <c r="J786" s="40" t="s">
        <v>13</v>
      </c>
      <c r="K786" s="42" t="s">
        <v>6186</v>
      </c>
      <c r="L786" s="42" t="s">
        <v>6186</v>
      </c>
      <c r="M786" s="42" t="s">
        <v>6186</v>
      </c>
      <c r="N786" s="42" t="s">
        <v>6186</v>
      </c>
      <c r="O786" s="42" t="s">
        <v>6186</v>
      </c>
      <c r="P786" s="42" t="s">
        <v>6186</v>
      </c>
    </row>
    <row r="787" spans="1:16" ht="14.25" customHeight="1" x14ac:dyDescent="0.15">
      <c r="A787" s="42" t="s">
        <v>6198</v>
      </c>
      <c r="B787" s="40" t="s">
        <v>14</v>
      </c>
      <c r="C787" s="42" t="s">
        <v>6186</v>
      </c>
      <c r="D787" s="42" t="s">
        <v>6186</v>
      </c>
      <c r="E787" s="42" t="s">
        <v>6186</v>
      </c>
      <c r="F787" s="42" t="s">
        <v>6186</v>
      </c>
      <c r="G787" s="42" t="s">
        <v>6186</v>
      </c>
      <c r="H787" s="42" t="s">
        <v>6186</v>
      </c>
      <c r="I787" s="42" t="s">
        <v>6199</v>
      </c>
      <c r="J787" s="40" t="s">
        <v>15</v>
      </c>
      <c r="K787" s="42" t="s">
        <v>6186</v>
      </c>
      <c r="L787" s="42" t="s">
        <v>6186</v>
      </c>
      <c r="M787" s="42" t="s">
        <v>6186</v>
      </c>
      <c r="N787" s="42" t="s">
        <v>6186</v>
      </c>
      <c r="O787" s="42" t="s">
        <v>6186</v>
      </c>
      <c r="P787" s="42" t="s">
        <v>6186</v>
      </c>
    </row>
    <row r="788" spans="1:16" ht="14.25" customHeight="1" x14ac:dyDescent="0.15">
      <c r="A788" s="42" t="s">
        <v>6202</v>
      </c>
      <c r="B788" s="40" t="s">
        <v>13</v>
      </c>
      <c r="C788" s="42" t="s">
        <v>6186</v>
      </c>
      <c r="D788" s="42" t="s">
        <v>6186</v>
      </c>
      <c r="E788" s="42" t="s">
        <v>6186</v>
      </c>
      <c r="F788" s="42" t="s">
        <v>6186</v>
      </c>
      <c r="G788" s="42" t="s">
        <v>6186</v>
      </c>
      <c r="H788" s="42" t="s">
        <v>6186</v>
      </c>
      <c r="I788" s="42" t="s">
        <v>6203</v>
      </c>
      <c r="J788" s="40" t="s">
        <v>16</v>
      </c>
      <c r="K788" s="42" t="s">
        <v>6186</v>
      </c>
      <c r="L788" s="42" t="s">
        <v>6186</v>
      </c>
      <c r="M788" s="42" t="s">
        <v>6186</v>
      </c>
      <c r="N788" s="42" t="s">
        <v>6186</v>
      </c>
      <c r="O788" s="42" t="s">
        <v>6186</v>
      </c>
      <c r="P788" s="42" t="s">
        <v>6186</v>
      </c>
    </row>
    <row r="789" spans="1:16" ht="14.25" customHeight="1" x14ac:dyDescent="0.15">
      <c r="A789" s="42" t="s">
        <v>6204</v>
      </c>
      <c r="B789" s="40" t="s">
        <v>15</v>
      </c>
      <c r="C789" s="42" t="s">
        <v>6186</v>
      </c>
      <c r="D789" s="42" t="s">
        <v>6186</v>
      </c>
      <c r="E789" s="42" t="s">
        <v>6186</v>
      </c>
      <c r="F789" s="42" t="s">
        <v>6186</v>
      </c>
      <c r="G789" s="42" t="s">
        <v>6186</v>
      </c>
      <c r="H789" s="42" t="s">
        <v>6186</v>
      </c>
      <c r="I789" s="42" t="s">
        <v>6205</v>
      </c>
      <c r="J789" s="40" t="s">
        <v>17</v>
      </c>
      <c r="K789" s="42" t="s">
        <v>6186</v>
      </c>
      <c r="L789" s="42" t="s">
        <v>6186</v>
      </c>
      <c r="M789" s="42" t="s">
        <v>6186</v>
      </c>
      <c r="N789" s="42" t="s">
        <v>6186</v>
      </c>
      <c r="O789" s="42" t="s">
        <v>6186</v>
      </c>
      <c r="P789" s="42" t="s">
        <v>6186</v>
      </c>
    </row>
    <row r="790" spans="1:16" ht="14.25" customHeight="1" x14ac:dyDescent="0.15">
      <c r="A790" s="42" t="s">
        <v>6206</v>
      </c>
      <c r="B790" s="40" t="s">
        <v>16</v>
      </c>
      <c r="C790" s="42" t="s">
        <v>6186</v>
      </c>
      <c r="D790" s="42" t="s">
        <v>6186</v>
      </c>
      <c r="E790" s="42" t="s">
        <v>6186</v>
      </c>
      <c r="F790" s="42" t="s">
        <v>6186</v>
      </c>
      <c r="G790" s="42" t="s">
        <v>6186</v>
      </c>
      <c r="H790" s="42" t="s">
        <v>6186</v>
      </c>
      <c r="I790" s="42" t="s">
        <v>6207</v>
      </c>
      <c r="J790" s="40" t="s">
        <v>18</v>
      </c>
      <c r="K790" s="42" t="s">
        <v>6186</v>
      </c>
      <c r="L790" s="42" t="s">
        <v>6186</v>
      </c>
      <c r="M790" s="42" t="s">
        <v>6186</v>
      </c>
      <c r="N790" s="42" t="s">
        <v>6186</v>
      </c>
      <c r="O790" s="42" t="s">
        <v>6186</v>
      </c>
      <c r="P790" s="42" t="s">
        <v>6186</v>
      </c>
    </row>
    <row r="791" spans="1:16" ht="14.25" customHeight="1" x14ac:dyDescent="0.15">
      <c r="A791" s="42" t="s">
        <v>6208</v>
      </c>
      <c r="B791" s="40" t="s">
        <v>17</v>
      </c>
      <c r="C791" s="42" t="s">
        <v>6186</v>
      </c>
      <c r="D791" s="42" t="s">
        <v>6186</v>
      </c>
      <c r="E791" s="42" t="s">
        <v>6186</v>
      </c>
      <c r="F791" s="42" t="s">
        <v>6186</v>
      </c>
      <c r="G791" s="42" t="s">
        <v>6186</v>
      </c>
      <c r="H791" s="42" t="s">
        <v>6186</v>
      </c>
      <c r="I791" s="42" t="s">
        <v>6211</v>
      </c>
      <c r="J791" s="40" t="s">
        <v>11</v>
      </c>
      <c r="K791" s="42" t="s">
        <v>6186</v>
      </c>
      <c r="L791" s="42" t="s">
        <v>6186</v>
      </c>
      <c r="M791" s="42" t="s">
        <v>6186</v>
      </c>
      <c r="N791" s="42" t="s">
        <v>6186</v>
      </c>
      <c r="O791" s="42" t="s">
        <v>6186</v>
      </c>
      <c r="P791" s="42" t="s">
        <v>6186</v>
      </c>
    </row>
    <row r="792" spans="1:16" ht="14.25" customHeight="1" x14ac:dyDescent="0.15">
      <c r="A792" s="42" t="s">
        <v>6212</v>
      </c>
      <c r="B792" s="40" t="s">
        <v>18</v>
      </c>
      <c r="C792" s="42" t="s">
        <v>6186</v>
      </c>
      <c r="D792" s="42" t="s">
        <v>6186</v>
      </c>
      <c r="E792" s="42" t="s">
        <v>6186</v>
      </c>
      <c r="F792" s="42" t="s">
        <v>6186</v>
      </c>
      <c r="G792" s="42" t="s">
        <v>6186</v>
      </c>
      <c r="H792" s="42" t="s">
        <v>6186</v>
      </c>
      <c r="I792" s="42" t="s">
        <v>6215</v>
      </c>
      <c r="J792" s="40" t="s">
        <v>14</v>
      </c>
      <c r="K792" s="42" t="s">
        <v>6186</v>
      </c>
      <c r="L792" s="42" t="s">
        <v>6186</v>
      </c>
      <c r="M792" s="42" t="s">
        <v>6186</v>
      </c>
      <c r="N792" s="42" t="s">
        <v>6186</v>
      </c>
      <c r="O792" s="42" t="s">
        <v>6186</v>
      </c>
      <c r="P792" s="42" t="s">
        <v>6186</v>
      </c>
    </row>
    <row r="793" spans="1:16" ht="14.25" customHeight="1" x14ac:dyDescent="0.15">
      <c r="A793" s="42" t="s">
        <v>6216</v>
      </c>
      <c r="B793" s="40" t="s">
        <v>11</v>
      </c>
      <c r="C793" s="42" t="s">
        <v>6186</v>
      </c>
      <c r="D793" s="42" t="s">
        <v>6186</v>
      </c>
      <c r="E793" s="42" t="s">
        <v>6186</v>
      </c>
      <c r="F793" s="42" t="s">
        <v>6186</v>
      </c>
      <c r="G793" s="42" t="s">
        <v>6186</v>
      </c>
      <c r="H793" s="42" t="s">
        <v>6186</v>
      </c>
      <c r="I793" s="42" t="s">
        <v>6219</v>
      </c>
      <c r="J793" s="40" t="s">
        <v>13</v>
      </c>
      <c r="K793" s="42" t="s">
        <v>6186</v>
      </c>
      <c r="L793" s="42" t="s">
        <v>6186</v>
      </c>
      <c r="M793" s="42" t="s">
        <v>6186</v>
      </c>
      <c r="N793" s="42" t="s">
        <v>6186</v>
      </c>
      <c r="O793" s="42" t="s">
        <v>6186</v>
      </c>
      <c r="P793" s="42" t="s">
        <v>6186</v>
      </c>
    </row>
    <row r="794" spans="1:16" ht="14.25" customHeight="1" x14ac:dyDescent="0.15">
      <c r="A794" s="42" t="s">
        <v>6220</v>
      </c>
      <c r="B794" s="40" t="s">
        <v>14</v>
      </c>
      <c r="C794" s="42" t="s">
        <v>6186</v>
      </c>
      <c r="D794" s="42" t="s">
        <v>6186</v>
      </c>
      <c r="E794" s="42" t="s">
        <v>6186</v>
      </c>
      <c r="F794" s="42" t="s">
        <v>6186</v>
      </c>
      <c r="G794" s="42" t="s">
        <v>6186</v>
      </c>
      <c r="H794" s="42" t="s">
        <v>6186</v>
      </c>
      <c r="I794" s="42" t="s">
        <v>6221</v>
      </c>
      <c r="J794" s="40" t="s">
        <v>15</v>
      </c>
      <c r="K794" s="42" t="s">
        <v>6186</v>
      </c>
      <c r="L794" s="42" t="s">
        <v>6186</v>
      </c>
      <c r="M794" s="42" t="s">
        <v>6186</v>
      </c>
      <c r="N794" s="42" t="s">
        <v>6186</v>
      </c>
      <c r="O794" s="42" t="s">
        <v>6186</v>
      </c>
      <c r="P794" s="42" t="s">
        <v>6186</v>
      </c>
    </row>
    <row r="795" spans="1:16" ht="14.25" customHeight="1" x14ac:dyDescent="0.15">
      <c r="A795" s="42" t="s">
        <v>6222</v>
      </c>
      <c r="B795" s="40" t="s">
        <v>13</v>
      </c>
      <c r="C795" s="42" t="s">
        <v>6186</v>
      </c>
      <c r="D795" s="42" t="s">
        <v>6186</v>
      </c>
      <c r="E795" s="42" t="s">
        <v>6186</v>
      </c>
      <c r="F795" s="42" t="s">
        <v>6186</v>
      </c>
      <c r="G795" s="42" t="s">
        <v>6186</v>
      </c>
      <c r="H795" s="42" t="s">
        <v>6186</v>
      </c>
      <c r="I795" s="42" t="s">
        <v>6224</v>
      </c>
      <c r="J795" s="40" t="s">
        <v>16</v>
      </c>
      <c r="K795" s="42" t="s">
        <v>6186</v>
      </c>
      <c r="L795" s="42" t="s">
        <v>6186</v>
      </c>
      <c r="M795" s="42" t="s">
        <v>6186</v>
      </c>
      <c r="N795" s="42" t="s">
        <v>6186</v>
      </c>
      <c r="O795" s="42" t="s">
        <v>6186</v>
      </c>
      <c r="P795" s="42" t="s">
        <v>6186</v>
      </c>
    </row>
    <row r="796" spans="1:16" ht="14.25" customHeight="1" x14ac:dyDescent="0.15">
      <c r="A796" s="42" t="s">
        <v>6225</v>
      </c>
      <c r="B796" s="40" t="s">
        <v>15</v>
      </c>
      <c r="C796" s="42" t="s">
        <v>6186</v>
      </c>
      <c r="D796" s="42" t="s">
        <v>6186</v>
      </c>
      <c r="E796" s="42" t="s">
        <v>6186</v>
      </c>
      <c r="F796" s="42" t="s">
        <v>6186</v>
      </c>
      <c r="G796" s="42" t="s">
        <v>6186</v>
      </c>
      <c r="H796" s="42" t="s">
        <v>6186</v>
      </c>
      <c r="I796" s="42" t="s">
        <v>6227</v>
      </c>
      <c r="J796" s="40" t="s">
        <v>17</v>
      </c>
      <c r="K796" s="42" t="s">
        <v>6186</v>
      </c>
      <c r="L796" s="42" t="s">
        <v>6186</v>
      </c>
      <c r="M796" s="42" t="s">
        <v>6186</v>
      </c>
      <c r="N796" s="42" t="s">
        <v>6186</v>
      </c>
      <c r="O796" s="42" t="s">
        <v>6186</v>
      </c>
      <c r="P796" s="42" t="s">
        <v>6186</v>
      </c>
    </row>
    <row r="797" spans="1:16" ht="14.25" customHeight="1" x14ac:dyDescent="0.15">
      <c r="A797" s="42" t="s">
        <v>6228</v>
      </c>
      <c r="B797" s="40" t="s">
        <v>16</v>
      </c>
      <c r="C797" s="42" t="s">
        <v>6186</v>
      </c>
      <c r="D797" s="42" t="s">
        <v>6186</v>
      </c>
      <c r="E797" s="42" t="s">
        <v>6186</v>
      </c>
      <c r="F797" s="42" t="s">
        <v>6186</v>
      </c>
      <c r="G797" s="42" t="s">
        <v>6186</v>
      </c>
      <c r="H797" s="42" t="s">
        <v>6186</v>
      </c>
      <c r="I797" s="42" t="s">
        <v>6230</v>
      </c>
      <c r="J797" s="40" t="s">
        <v>18</v>
      </c>
      <c r="K797" s="42" t="s">
        <v>6378</v>
      </c>
      <c r="L797" s="42" t="s">
        <v>6610</v>
      </c>
      <c r="M797" s="42" t="s">
        <v>6186</v>
      </c>
      <c r="N797" s="42" t="s">
        <v>6186</v>
      </c>
      <c r="O797" s="42" t="s">
        <v>6186</v>
      </c>
      <c r="P797" s="42" t="s">
        <v>6186</v>
      </c>
    </row>
    <row r="798" spans="1:16" ht="14.25" customHeight="1" x14ac:dyDescent="0.15">
      <c r="A798" s="42" t="s">
        <v>6231</v>
      </c>
      <c r="B798" s="40" t="s">
        <v>17</v>
      </c>
      <c r="C798" s="42" t="s">
        <v>6186</v>
      </c>
      <c r="D798" s="42" t="s">
        <v>6186</v>
      </c>
      <c r="E798" s="42" t="s">
        <v>6186</v>
      </c>
      <c r="F798" s="42" t="s">
        <v>6186</v>
      </c>
      <c r="G798" s="42" t="s">
        <v>6186</v>
      </c>
      <c r="H798" s="42" t="s">
        <v>6186</v>
      </c>
      <c r="I798" s="42" t="s">
        <v>6234</v>
      </c>
      <c r="J798" s="40" t="s">
        <v>11</v>
      </c>
      <c r="K798" s="42" t="s">
        <v>6402</v>
      </c>
      <c r="L798" s="42" t="s">
        <v>6611</v>
      </c>
      <c r="M798" s="42" t="s">
        <v>6186</v>
      </c>
      <c r="N798" s="42" t="s">
        <v>6186</v>
      </c>
      <c r="O798" s="42" t="s">
        <v>6186</v>
      </c>
      <c r="P798" s="42" t="s">
        <v>6186</v>
      </c>
    </row>
    <row r="799" spans="1:16" ht="14.25" customHeight="1" x14ac:dyDescent="0.15">
      <c r="A799" s="42" t="s">
        <v>6235</v>
      </c>
      <c r="B799" s="40" t="s">
        <v>18</v>
      </c>
      <c r="C799" s="42" t="s">
        <v>6186</v>
      </c>
      <c r="D799" s="42" t="s">
        <v>6186</v>
      </c>
      <c r="E799" s="42" t="s">
        <v>6186</v>
      </c>
      <c r="F799" s="42" t="s">
        <v>6186</v>
      </c>
      <c r="G799" s="42" t="s">
        <v>6186</v>
      </c>
      <c r="H799" s="42" t="s">
        <v>6186</v>
      </c>
      <c r="I799" s="42" t="s">
        <v>12</v>
      </c>
      <c r="J799" s="42" t="s">
        <v>12</v>
      </c>
      <c r="K799" s="42" t="s">
        <v>12</v>
      </c>
      <c r="L799" s="42" t="s">
        <v>12</v>
      </c>
      <c r="M799" s="42" t="s">
        <v>12</v>
      </c>
      <c r="N799" s="42" t="s">
        <v>12</v>
      </c>
      <c r="O799" s="42" t="s">
        <v>12</v>
      </c>
      <c r="P799" s="42" t="s">
        <v>12</v>
      </c>
    </row>
    <row r="800" spans="1:16" ht="14.25" customHeight="1" x14ac:dyDescent="0.15">
      <c r="A800" s="35"/>
      <c r="C800" s="46"/>
      <c r="D800" s="46"/>
      <c r="E800" s="46"/>
      <c r="F800" s="46"/>
      <c r="G800" s="47"/>
      <c r="H800" s="47"/>
      <c r="I800" s="36"/>
      <c r="M800" s="131" t="s">
        <v>6237</v>
      </c>
      <c r="N800" s="131"/>
      <c r="O800" s="131"/>
      <c r="P800" s="131"/>
    </row>
  </sheetData>
  <mergeCells count="448">
    <mergeCell ref="M800:P800"/>
    <mergeCell ref="M775:P775"/>
    <mergeCell ref="A779:D779"/>
    <mergeCell ref="E779:G779"/>
    <mergeCell ref="H779:I779"/>
    <mergeCell ref="J779:L779"/>
    <mergeCell ref="M779:P779"/>
    <mergeCell ref="A780:P780"/>
    <mergeCell ref="A781:P781"/>
    <mergeCell ref="C782:D782"/>
    <mergeCell ref="E782:F782"/>
    <mergeCell ref="G782:H782"/>
    <mergeCell ref="K782:L782"/>
    <mergeCell ref="M782:N782"/>
    <mergeCell ref="O782:P782"/>
    <mergeCell ref="M750:P750"/>
    <mergeCell ref="A754:D754"/>
    <mergeCell ref="E754:G754"/>
    <mergeCell ref="H754:I754"/>
    <mergeCell ref="J754:L754"/>
    <mergeCell ref="M754:P754"/>
    <mergeCell ref="A755:P755"/>
    <mergeCell ref="A756:P756"/>
    <mergeCell ref="C757:D757"/>
    <mergeCell ref="E757:F757"/>
    <mergeCell ref="G757:H757"/>
    <mergeCell ref="K757:L757"/>
    <mergeCell ref="M757:N757"/>
    <mergeCell ref="O757:P757"/>
    <mergeCell ref="M725:P725"/>
    <mergeCell ref="A729:D729"/>
    <mergeCell ref="E729:G729"/>
    <mergeCell ref="H729:I729"/>
    <mergeCell ref="J729:L729"/>
    <mergeCell ref="M729:P729"/>
    <mergeCell ref="A730:P730"/>
    <mergeCell ref="A731:P731"/>
    <mergeCell ref="C732:D732"/>
    <mergeCell ref="E732:F732"/>
    <mergeCell ref="G732:H732"/>
    <mergeCell ref="K732:L732"/>
    <mergeCell ref="M732:N732"/>
    <mergeCell ref="O732:P732"/>
    <mergeCell ref="M700:P700"/>
    <mergeCell ref="A704:D704"/>
    <mergeCell ref="E704:G704"/>
    <mergeCell ref="H704:I704"/>
    <mergeCell ref="J704:L704"/>
    <mergeCell ref="M704:P704"/>
    <mergeCell ref="A705:P705"/>
    <mergeCell ref="A706:P706"/>
    <mergeCell ref="C707:D707"/>
    <mergeCell ref="E707:F707"/>
    <mergeCell ref="G707:H707"/>
    <mergeCell ref="K707:L707"/>
    <mergeCell ref="M707:N707"/>
    <mergeCell ref="O707:P707"/>
    <mergeCell ref="M675:P675"/>
    <mergeCell ref="A679:D679"/>
    <mergeCell ref="E679:G679"/>
    <mergeCell ref="H679:I679"/>
    <mergeCell ref="J679:L679"/>
    <mergeCell ref="M679:P679"/>
    <mergeCell ref="A680:P680"/>
    <mergeCell ref="A681:P681"/>
    <mergeCell ref="C682:D682"/>
    <mergeCell ref="E682:F682"/>
    <mergeCell ref="G682:H682"/>
    <mergeCell ref="K682:L682"/>
    <mergeCell ref="M682:N682"/>
    <mergeCell ref="O682:P682"/>
    <mergeCell ref="M650:P650"/>
    <mergeCell ref="A654:D654"/>
    <mergeCell ref="E654:G654"/>
    <mergeCell ref="H654:I654"/>
    <mergeCell ref="J654:L654"/>
    <mergeCell ref="M654:P654"/>
    <mergeCell ref="A655:P655"/>
    <mergeCell ref="A656:P656"/>
    <mergeCell ref="C657:D657"/>
    <mergeCell ref="E657:F657"/>
    <mergeCell ref="G657:H657"/>
    <mergeCell ref="K657:L657"/>
    <mergeCell ref="M657:N657"/>
    <mergeCell ref="O657:P657"/>
    <mergeCell ref="M625:P625"/>
    <mergeCell ref="A629:D629"/>
    <mergeCell ref="E629:G629"/>
    <mergeCell ref="H629:I629"/>
    <mergeCell ref="J629:L629"/>
    <mergeCell ref="M629:P629"/>
    <mergeCell ref="A630:P630"/>
    <mergeCell ref="A631:P631"/>
    <mergeCell ref="C632:D632"/>
    <mergeCell ref="E632:F632"/>
    <mergeCell ref="G632:H632"/>
    <mergeCell ref="K632:L632"/>
    <mergeCell ref="M632:N632"/>
    <mergeCell ref="O632:P632"/>
    <mergeCell ref="M600:P600"/>
    <mergeCell ref="A604:D604"/>
    <mergeCell ref="E604:G604"/>
    <mergeCell ref="H604:I604"/>
    <mergeCell ref="J604:L604"/>
    <mergeCell ref="M604:P604"/>
    <mergeCell ref="A605:P605"/>
    <mergeCell ref="A606:P606"/>
    <mergeCell ref="C607:D607"/>
    <mergeCell ref="E607:F607"/>
    <mergeCell ref="G607:H607"/>
    <mergeCell ref="K607:L607"/>
    <mergeCell ref="M607:N607"/>
    <mergeCell ref="O607:P607"/>
    <mergeCell ref="M575:P575"/>
    <mergeCell ref="A579:D579"/>
    <mergeCell ref="E579:G579"/>
    <mergeCell ref="H579:I579"/>
    <mergeCell ref="J579:L579"/>
    <mergeCell ref="M579:P579"/>
    <mergeCell ref="A580:P580"/>
    <mergeCell ref="A581:P581"/>
    <mergeCell ref="C582:D582"/>
    <mergeCell ref="E582:F582"/>
    <mergeCell ref="G582:H582"/>
    <mergeCell ref="K582:L582"/>
    <mergeCell ref="M582:N582"/>
    <mergeCell ref="O582:P582"/>
    <mergeCell ref="M550:P550"/>
    <mergeCell ref="A554:D554"/>
    <mergeCell ref="E554:G554"/>
    <mergeCell ref="H554:I554"/>
    <mergeCell ref="J554:L554"/>
    <mergeCell ref="M554:P554"/>
    <mergeCell ref="A555:P555"/>
    <mergeCell ref="A556:P556"/>
    <mergeCell ref="C557:D557"/>
    <mergeCell ref="E557:F557"/>
    <mergeCell ref="G557:H557"/>
    <mergeCell ref="K557:L557"/>
    <mergeCell ref="M557:N557"/>
    <mergeCell ref="O557:P557"/>
    <mergeCell ref="M525:P525"/>
    <mergeCell ref="A529:D529"/>
    <mergeCell ref="E529:G529"/>
    <mergeCell ref="H529:I529"/>
    <mergeCell ref="J529:L529"/>
    <mergeCell ref="M529:P529"/>
    <mergeCell ref="A530:P530"/>
    <mergeCell ref="A531:P531"/>
    <mergeCell ref="C532:D532"/>
    <mergeCell ref="E532:F532"/>
    <mergeCell ref="G532:H532"/>
    <mergeCell ref="K532:L532"/>
    <mergeCell ref="M532:N532"/>
    <mergeCell ref="O532:P532"/>
    <mergeCell ref="M500:P500"/>
    <mergeCell ref="A504:D504"/>
    <mergeCell ref="E504:G504"/>
    <mergeCell ref="H504:I504"/>
    <mergeCell ref="J504:L504"/>
    <mergeCell ref="M504:P504"/>
    <mergeCell ref="A505:P505"/>
    <mergeCell ref="A506:P506"/>
    <mergeCell ref="C507:D507"/>
    <mergeCell ref="E507:F507"/>
    <mergeCell ref="G507:H507"/>
    <mergeCell ref="K507:L507"/>
    <mergeCell ref="M507:N507"/>
    <mergeCell ref="O507:P507"/>
    <mergeCell ref="M475:P475"/>
    <mergeCell ref="A479:D479"/>
    <mergeCell ref="E479:G479"/>
    <mergeCell ref="H479:I479"/>
    <mergeCell ref="J479:L479"/>
    <mergeCell ref="M479:P479"/>
    <mergeCell ref="A480:P480"/>
    <mergeCell ref="A481:P481"/>
    <mergeCell ref="C482:D482"/>
    <mergeCell ref="E482:F482"/>
    <mergeCell ref="G482:H482"/>
    <mergeCell ref="K482:L482"/>
    <mergeCell ref="M482:N482"/>
    <mergeCell ref="O482:P482"/>
    <mergeCell ref="M450:P450"/>
    <mergeCell ref="A454:D454"/>
    <mergeCell ref="E454:G454"/>
    <mergeCell ref="H454:I454"/>
    <mergeCell ref="J454:L454"/>
    <mergeCell ref="M454:P454"/>
    <mergeCell ref="A455:P455"/>
    <mergeCell ref="A456:P456"/>
    <mergeCell ref="C457:D457"/>
    <mergeCell ref="E457:F457"/>
    <mergeCell ref="G457:H457"/>
    <mergeCell ref="K457:L457"/>
    <mergeCell ref="M457:N457"/>
    <mergeCell ref="O457:P457"/>
    <mergeCell ref="M425:P425"/>
    <mergeCell ref="A429:D429"/>
    <mergeCell ref="E429:G429"/>
    <mergeCell ref="H429:I429"/>
    <mergeCell ref="J429:L429"/>
    <mergeCell ref="M429:P429"/>
    <mergeCell ref="A430:P430"/>
    <mergeCell ref="A431:P431"/>
    <mergeCell ref="C432:D432"/>
    <mergeCell ref="E432:F432"/>
    <mergeCell ref="G432:H432"/>
    <mergeCell ref="K432:L432"/>
    <mergeCell ref="M432:N432"/>
    <mergeCell ref="O432:P432"/>
    <mergeCell ref="M400:P400"/>
    <mergeCell ref="A404:D404"/>
    <mergeCell ref="E404:G404"/>
    <mergeCell ref="H404:I404"/>
    <mergeCell ref="J404:L404"/>
    <mergeCell ref="M404:P404"/>
    <mergeCell ref="A405:P405"/>
    <mergeCell ref="A406:P406"/>
    <mergeCell ref="C407:D407"/>
    <mergeCell ref="E407:F407"/>
    <mergeCell ref="G407:H407"/>
    <mergeCell ref="K407:L407"/>
    <mergeCell ref="M407:N407"/>
    <mergeCell ref="O407:P407"/>
    <mergeCell ref="M375:P375"/>
    <mergeCell ref="A379:D379"/>
    <mergeCell ref="E379:G379"/>
    <mergeCell ref="H379:I379"/>
    <mergeCell ref="J379:L379"/>
    <mergeCell ref="M379:P379"/>
    <mergeCell ref="A380:P380"/>
    <mergeCell ref="A381:P381"/>
    <mergeCell ref="C382:D382"/>
    <mergeCell ref="E382:F382"/>
    <mergeCell ref="G382:H382"/>
    <mergeCell ref="K382:L382"/>
    <mergeCell ref="M382:N382"/>
    <mergeCell ref="O382:P382"/>
    <mergeCell ref="M350:P350"/>
    <mergeCell ref="A354:D354"/>
    <mergeCell ref="E354:G354"/>
    <mergeCell ref="H354:I354"/>
    <mergeCell ref="J354:L354"/>
    <mergeCell ref="M354:P354"/>
    <mergeCell ref="A355:P355"/>
    <mergeCell ref="A356:P356"/>
    <mergeCell ref="C357:D357"/>
    <mergeCell ref="E357:F357"/>
    <mergeCell ref="G357:H357"/>
    <mergeCell ref="K357:L357"/>
    <mergeCell ref="M357:N357"/>
    <mergeCell ref="O357:P357"/>
    <mergeCell ref="M325:P325"/>
    <mergeCell ref="A329:D329"/>
    <mergeCell ref="E329:G329"/>
    <mergeCell ref="H329:I329"/>
    <mergeCell ref="J329:L329"/>
    <mergeCell ref="M329:P329"/>
    <mergeCell ref="A330:P330"/>
    <mergeCell ref="A331:P331"/>
    <mergeCell ref="C332:D332"/>
    <mergeCell ref="E332:F332"/>
    <mergeCell ref="G332:H332"/>
    <mergeCell ref="K332:L332"/>
    <mergeCell ref="M332:N332"/>
    <mergeCell ref="O332:P332"/>
    <mergeCell ref="M300:P300"/>
    <mergeCell ref="A304:D304"/>
    <mergeCell ref="E304:G304"/>
    <mergeCell ref="H304:I304"/>
    <mergeCell ref="J304:L304"/>
    <mergeCell ref="M304:P304"/>
    <mergeCell ref="A305:P305"/>
    <mergeCell ref="A306:P306"/>
    <mergeCell ref="C307:D307"/>
    <mergeCell ref="E307:F307"/>
    <mergeCell ref="G307:H307"/>
    <mergeCell ref="K307:L307"/>
    <mergeCell ref="M307:N307"/>
    <mergeCell ref="O307:P307"/>
    <mergeCell ref="M275:P275"/>
    <mergeCell ref="A279:D279"/>
    <mergeCell ref="E279:G279"/>
    <mergeCell ref="H279:I279"/>
    <mergeCell ref="J279:L279"/>
    <mergeCell ref="M279:P279"/>
    <mergeCell ref="A280:P280"/>
    <mergeCell ref="A281:P281"/>
    <mergeCell ref="C282:D282"/>
    <mergeCell ref="E282:F282"/>
    <mergeCell ref="G282:H282"/>
    <mergeCell ref="K282:L282"/>
    <mergeCell ref="M282:N282"/>
    <mergeCell ref="O282:P282"/>
    <mergeCell ref="M250:P250"/>
    <mergeCell ref="A254:D254"/>
    <mergeCell ref="E254:G254"/>
    <mergeCell ref="H254:I254"/>
    <mergeCell ref="J254:L254"/>
    <mergeCell ref="M254:P254"/>
    <mergeCell ref="A255:P255"/>
    <mergeCell ref="A256:P256"/>
    <mergeCell ref="C257:D257"/>
    <mergeCell ref="E257:F257"/>
    <mergeCell ref="G257:H257"/>
    <mergeCell ref="K257:L257"/>
    <mergeCell ref="M257:N257"/>
    <mergeCell ref="O257:P257"/>
    <mergeCell ref="M225:P225"/>
    <mergeCell ref="A229:D229"/>
    <mergeCell ref="E229:G229"/>
    <mergeCell ref="H229:I229"/>
    <mergeCell ref="J229:L229"/>
    <mergeCell ref="M229:P229"/>
    <mergeCell ref="A230:P230"/>
    <mergeCell ref="A231:P231"/>
    <mergeCell ref="C232:D232"/>
    <mergeCell ref="E232:F232"/>
    <mergeCell ref="G232:H232"/>
    <mergeCell ref="K232:L232"/>
    <mergeCell ref="M232:N232"/>
    <mergeCell ref="O232:P232"/>
    <mergeCell ref="M200:P200"/>
    <mergeCell ref="A204:D204"/>
    <mergeCell ref="E204:G204"/>
    <mergeCell ref="H204:I204"/>
    <mergeCell ref="J204:L204"/>
    <mergeCell ref="M204:P204"/>
    <mergeCell ref="A205:P205"/>
    <mergeCell ref="A206:P206"/>
    <mergeCell ref="C207:D207"/>
    <mergeCell ref="E207:F207"/>
    <mergeCell ref="G207:H207"/>
    <mergeCell ref="K207:L207"/>
    <mergeCell ref="M207:N207"/>
    <mergeCell ref="O207:P207"/>
    <mergeCell ref="M175:P175"/>
    <mergeCell ref="A179:D179"/>
    <mergeCell ref="E179:G179"/>
    <mergeCell ref="H179:I179"/>
    <mergeCell ref="J179:L179"/>
    <mergeCell ref="M179:P179"/>
    <mergeCell ref="A180:P180"/>
    <mergeCell ref="A181:P181"/>
    <mergeCell ref="C182:D182"/>
    <mergeCell ref="E182:F182"/>
    <mergeCell ref="G182:H182"/>
    <mergeCell ref="K182:L182"/>
    <mergeCell ref="M182:N182"/>
    <mergeCell ref="O182:P182"/>
    <mergeCell ref="M150:P150"/>
    <mergeCell ref="A154:D154"/>
    <mergeCell ref="E154:G154"/>
    <mergeCell ref="H154:I154"/>
    <mergeCell ref="J154:L154"/>
    <mergeCell ref="M154:P154"/>
    <mergeCell ref="A155:P155"/>
    <mergeCell ref="A156:P156"/>
    <mergeCell ref="C157:D157"/>
    <mergeCell ref="E157:F157"/>
    <mergeCell ref="G157:H157"/>
    <mergeCell ref="K157:L157"/>
    <mergeCell ref="M157:N157"/>
    <mergeCell ref="O157:P157"/>
    <mergeCell ref="M125:P125"/>
    <mergeCell ref="A129:D129"/>
    <mergeCell ref="E129:G129"/>
    <mergeCell ref="H129:I129"/>
    <mergeCell ref="J129:L129"/>
    <mergeCell ref="M129:P129"/>
    <mergeCell ref="A130:P130"/>
    <mergeCell ref="A131:P131"/>
    <mergeCell ref="C132:D132"/>
    <mergeCell ref="E132:F132"/>
    <mergeCell ref="G132:H132"/>
    <mergeCell ref="K132:L132"/>
    <mergeCell ref="M132:N132"/>
    <mergeCell ref="O132:P132"/>
    <mergeCell ref="M100:P100"/>
    <mergeCell ref="A104:D104"/>
    <mergeCell ref="E104:G104"/>
    <mergeCell ref="H104:I104"/>
    <mergeCell ref="J104:L104"/>
    <mergeCell ref="M104:P104"/>
    <mergeCell ref="A105:P105"/>
    <mergeCell ref="A106:P106"/>
    <mergeCell ref="C107:D107"/>
    <mergeCell ref="E107:F107"/>
    <mergeCell ref="G107:H107"/>
    <mergeCell ref="K107:L107"/>
    <mergeCell ref="M107:N107"/>
    <mergeCell ref="O107:P107"/>
    <mergeCell ref="M75:P75"/>
    <mergeCell ref="A79:D79"/>
    <mergeCell ref="E79:G79"/>
    <mergeCell ref="H79:I79"/>
    <mergeCell ref="J79:L79"/>
    <mergeCell ref="M79:P79"/>
    <mergeCell ref="A80:P80"/>
    <mergeCell ref="A81:P81"/>
    <mergeCell ref="C82:D82"/>
    <mergeCell ref="E82:F82"/>
    <mergeCell ref="G82:H82"/>
    <mergeCell ref="K82:L82"/>
    <mergeCell ref="M82:N82"/>
    <mergeCell ref="O82:P82"/>
    <mergeCell ref="M50:P50"/>
    <mergeCell ref="A54:D54"/>
    <mergeCell ref="E54:G54"/>
    <mergeCell ref="H54:I54"/>
    <mergeCell ref="J54:L54"/>
    <mergeCell ref="M54:P54"/>
    <mergeCell ref="A55:P55"/>
    <mergeCell ref="A56:P56"/>
    <mergeCell ref="C57:D57"/>
    <mergeCell ref="E57:F57"/>
    <mergeCell ref="G57:H57"/>
    <mergeCell ref="K57:L57"/>
    <mergeCell ref="M57:N57"/>
    <mergeCell ref="O57:P57"/>
    <mergeCell ref="M25:P25"/>
    <mergeCell ref="A29:D29"/>
    <mergeCell ref="E29:G29"/>
    <mergeCell ref="H29:I29"/>
    <mergeCell ref="J29:L29"/>
    <mergeCell ref="M29:P29"/>
    <mergeCell ref="A30:P30"/>
    <mergeCell ref="A31:P31"/>
    <mergeCell ref="C32:D32"/>
    <mergeCell ref="E32:F32"/>
    <mergeCell ref="G32:H32"/>
    <mergeCell ref="K32:L32"/>
    <mergeCell ref="M32:N32"/>
    <mergeCell ref="O32:P32"/>
    <mergeCell ref="A4:D4"/>
    <mergeCell ref="E4:G4"/>
    <mergeCell ref="H4:I4"/>
    <mergeCell ref="J4:L4"/>
    <mergeCell ref="M4:P4"/>
    <mergeCell ref="A5:P5"/>
    <mergeCell ref="A6:P6"/>
    <mergeCell ref="C7:D7"/>
    <mergeCell ref="E7:F7"/>
    <mergeCell ref="G7:H7"/>
    <mergeCell ref="K7:L7"/>
    <mergeCell ref="M7:N7"/>
    <mergeCell ref="O7:P7"/>
  </mergeCells>
  <phoneticPr fontId="16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:Z22"/>
  <sheetViews>
    <sheetView workbookViewId="0">
      <selection activeCell="B26" sqref="B26"/>
    </sheetView>
  </sheetViews>
  <sheetFormatPr defaultColWidth="9" defaultRowHeight="13.5" x14ac:dyDescent="0.15"/>
  <cols>
    <col min="10" max="14" width="7.375" customWidth="1"/>
  </cols>
  <sheetData>
    <row r="1" spans="1:26" ht="42" customHeight="1" x14ac:dyDescent="0.15">
      <c r="A1" s="2" t="s">
        <v>39</v>
      </c>
      <c r="B1" s="3" t="s">
        <v>40</v>
      </c>
      <c r="C1" s="4" t="s">
        <v>41</v>
      </c>
      <c r="D1" s="4" t="s">
        <v>42</v>
      </c>
      <c r="E1" s="4" t="s">
        <v>43</v>
      </c>
      <c r="F1" s="5" t="s">
        <v>44</v>
      </c>
      <c r="G1" s="6" t="s">
        <v>45</v>
      </c>
      <c r="H1" s="7" t="s">
        <v>46</v>
      </c>
      <c r="I1" s="7" t="s">
        <v>47</v>
      </c>
      <c r="J1" s="14" t="s">
        <v>48</v>
      </c>
      <c r="K1" s="14" t="s">
        <v>49</v>
      </c>
      <c r="L1" s="15" t="s">
        <v>50</v>
      </c>
      <c r="M1" s="14" t="s">
        <v>51</v>
      </c>
      <c r="N1" s="15" t="s">
        <v>52</v>
      </c>
      <c r="O1" s="16" t="s">
        <v>53</v>
      </c>
      <c r="P1" s="17" t="s">
        <v>54</v>
      </c>
      <c r="Q1" s="22" t="s">
        <v>55</v>
      </c>
      <c r="R1" s="23" t="s">
        <v>56</v>
      </c>
      <c r="S1" s="24" t="s">
        <v>57</v>
      </c>
      <c r="T1" s="25" t="s">
        <v>58</v>
      </c>
      <c r="U1" s="25" t="s">
        <v>59</v>
      </c>
      <c r="V1" s="26" t="s">
        <v>60</v>
      </c>
      <c r="W1" s="26" t="s">
        <v>61</v>
      </c>
      <c r="X1" s="26" t="s">
        <v>62</v>
      </c>
      <c r="Y1" s="25" t="s">
        <v>63</v>
      </c>
      <c r="Z1" s="30" t="s">
        <v>64</v>
      </c>
    </row>
    <row r="2" spans="1:26" s="1" customFormat="1" ht="12.75" x14ac:dyDescent="0.2">
      <c r="A2" s="8" t="s">
        <v>6613</v>
      </c>
      <c r="B2" s="8" t="s">
        <v>6614</v>
      </c>
      <c r="C2" s="9" t="s">
        <v>169</v>
      </c>
      <c r="D2" s="10" t="s">
        <v>4375</v>
      </c>
      <c r="E2" s="1" t="s">
        <v>133</v>
      </c>
      <c r="F2" s="1" t="s">
        <v>170</v>
      </c>
      <c r="G2" s="11">
        <v>42278</v>
      </c>
      <c r="H2" s="12">
        <v>42278.691666666702</v>
      </c>
      <c r="I2" s="12">
        <v>42279.166666666701</v>
      </c>
      <c r="J2" s="18">
        <v>0.72916666666666696</v>
      </c>
      <c r="K2" s="18">
        <v>1.08334490740741</v>
      </c>
      <c r="L2" s="18">
        <v>2.0833333333333301E-2</v>
      </c>
      <c r="M2" s="18">
        <v>1.0833333333333299</v>
      </c>
      <c r="N2" s="18">
        <v>1.1574074074074101E-5</v>
      </c>
      <c r="O2" s="19">
        <f ca="1">IF(OR(OFFSET(O2,0,-7)=0,OFFSET(O2,0,-6)=0),0,(MIN(OFFSET(O2,0,-6),OFFSET(O2,0,-8)+OFFSET(O2,0,-4))-MAX(OFFSET(O2,0,-7),OFFSET(O2,0,-8)+OFFSET(O2,0,-5))-OFFSET(O2,0,-3))*24)</f>
        <v>8.000277777784504</v>
      </c>
      <c r="P2" s="19">
        <f ca="1">IF(OR(OFFSET(P2,0,-8)=0,OFFSET(P2,0,-7)=0),0,(MAX(OFFSET(P2,0,-7)-(OFFSET(P2,0,-9)+OFFSET(P2,0,-3))-OFFSET(P2,0,-2),0)*24))</f>
        <v>1.9997222229789218</v>
      </c>
      <c r="Q2" s="27">
        <f ca="1">INT(O2)+IF((O2-INT(O2))&gt;=0.5,0.5,0)</f>
        <v>8</v>
      </c>
      <c r="R2" s="27">
        <f t="shared" ref="R2:R11" ca="1" si="0">INT(ROUND(P2,3))+IF((ROUND(P2,3)-INT(ROUND(P2,3)))&gt;=0.5,0.5,0)</f>
        <v>2</v>
      </c>
      <c r="S2" s="28">
        <v>0</v>
      </c>
      <c r="Z2" s="1">
        <v>2</v>
      </c>
    </row>
    <row r="3" spans="1:26" s="1" customFormat="1" ht="12.75" x14ac:dyDescent="0.2">
      <c r="A3" s="8"/>
      <c r="B3" s="8"/>
      <c r="C3" s="9"/>
      <c r="D3" s="10"/>
      <c r="G3" s="11"/>
      <c r="H3" s="12"/>
      <c r="I3" s="12"/>
      <c r="J3" s="18"/>
      <c r="K3" s="18"/>
      <c r="L3" s="18"/>
      <c r="M3" s="18"/>
      <c r="N3" s="18"/>
      <c r="O3" s="19"/>
      <c r="P3" s="19"/>
      <c r="Q3" s="27"/>
      <c r="R3" s="27">
        <f t="shared" si="0"/>
        <v>0</v>
      </c>
      <c r="S3" s="28"/>
    </row>
    <row r="4" spans="1:26" x14ac:dyDescent="0.2">
      <c r="A4" t="s">
        <v>6615</v>
      </c>
      <c r="B4" t="s">
        <v>6616</v>
      </c>
      <c r="C4" s="9" t="s">
        <v>169</v>
      </c>
      <c r="D4" s="10" t="s">
        <v>4375</v>
      </c>
      <c r="E4" s="1" t="str">
        <f>VLOOKUP(C4,[1]职员!A$1:C$65536,3,FALSE)</f>
        <v>机加车间</v>
      </c>
      <c r="F4" s="1" t="s">
        <v>170</v>
      </c>
      <c r="G4" s="11">
        <v>42293</v>
      </c>
      <c r="H4" s="12">
        <v>42293.840277777803</v>
      </c>
      <c r="I4" s="12">
        <v>42294.500694444403</v>
      </c>
      <c r="J4" s="18">
        <v>0.85416666666666696</v>
      </c>
      <c r="K4" s="18">
        <v>1.2083333333333299</v>
      </c>
      <c r="L4" s="18">
        <v>2.0833333333333301E-2</v>
      </c>
      <c r="M4" s="18">
        <v>1.2083333333333299</v>
      </c>
      <c r="N4" s="18">
        <v>1.1574074074074101E-5</v>
      </c>
      <c r="O4" s="19">
        <f ca="1">IF(OR(OFFSET(O4,0,-7)=0,OFFSET(O4,0,-6)=0),0,(MIN(OFFSET(O4,0,-6),OFFSET(O4,0,-8)+OFFSET(O4,0,-4))-MAX(OFFSET(O4,0,-7),OFFSET(O4,0,-8)+OFFSET(O4,0,-5))-OFFSET(O4,0,-3))*24)</f>
        <v>8.0000000001164153</v>
      </c>
      <c r="P4" s="19">
        <f ca="1">IF(OR(OFFSET(P4,0,-8)=0,OFFSET(P4,0,-7)=0),0,(MAX(OFFSET(P4,0,-7)-(OFFSET(P4,0,-9)+OFFSET(P4,0,-3))-OFFSET(P4,0,-2),0)*24))</f>
        <v>7.0163888878372696</v>
      </c>
      <c r="Q4" s="27">
        <f ca="1">INT(O4)+IF((O4-INT(O4))&gt;=0.5,0.5,0)</f>
        <v>8</v>
      </c>
      <c r="R4" s="27">
        <f t="shared" ca="1" si="0"/>
        <v>7</v>
      </c>
      <c r="S4" s="28">
        <f ca="1">MAX((OFFSET(S4,0,-11)-(OFFSET(S4,0,-12)+OFFSET(S4,0,-9)))*24*60,0)</f>
        <v>0</v>
      </c>
    </row>
    <row r="5" spans="1:26" x14ac:dyDescent="0.2">
      <c r="A5" s="10"/>
      <c r="B5" s="10"/>
      <c r="C5" s="9"/>
      <c r="D5" s="10"/>
      <c r="E5" s="1"/>
      <c r="F5" s="1"/>
      <c r="G5" s="11"/>
      <c r="H5" s="12"/>
      <c r="I5" s="12"/>
      <c r="J5" s="18"/>
      <c r="K5" s="18"/>
      <c r="L5" s="18"/>
      <c r="M5" s="18"/>
      <c r="N5" s="18"/>
      <c r="O5" s="19"/>
      <c r="P5" s="19"/>
      <c r="Q5" s="27"/>
      <c r="R5" s="27">
        <f t="shared" si="0"/>
        <v>0</v>
      </c>
      <c r="S5" s="28"/>
    </row>
    <row r="6" spans="1:26" x14ac:dyDescent="0.15">
      <c r="R6">
        <f t="shared" si="0"/>
        <v>0</v>
      </c>
    </row>
    <row r="7" spans="1:26" s="1" customFormat="1" ht="12.75" x14ac:dyDescent="0.2">
      <c r="A7" s="8" t="s">
        <v>6617</v>
      </c>
      <c r="B7" s="8" t="s">
        <v>6618</v>
      </c>
      <c r="C7" s="9" t="s">
        <v>301</v>
      </c>
      <c r="D7" s="10" t="s">
        <v>4481</v>
      </c>
      <c r="E7" s="1" t="str">
        <f>VLOOKUP(C7,[1]职员!A$1:C$65536,3,FALSE)</f>
        <v>铆焊车间</v>
      </c>
      <c r="F7" s="1" t="s">
        <v>302</v>
      </c>
      <c r="G7" s="11">
        <v>42294</v>
      </c>
      <c r="H7" s="12">
        <v>42294.281944444403</v>
      </c>
      <c r="I7" s="12">
        <v>42295.340972222199</v>
      </c>
      <c r="J7" s="18">
        <v>0.29166666666666702</v>
      </c>
      <c r="K7" s="18">
        <v>1.0208333333333299</v>
      </c>
      <c r="L7" s="18">
        <v>6.25E-2</v>
      </c>
      <c r="M7" s="18">
        <v>1.0208333333333299</v>
      </c>
      <c r="N7" s="18">
        <v>1.1574074074074101E-5</v>
      </c>
      <c r="O7" s="19">
        <f ca="1">IF(OR(OFFSET(O7,0,-7)=0,OFFSET(O7,0,-6)=0),0,(MIN(OFFSET(O7,0,-6),OFFSET(O7,0,-8)+OFFSET(O7,0,-4))-MAX(OFFSET(O7,0,-7),OFFSET(O7,0,-8)+OFFSET(O7,0,-5))-OFFSET(O7,0,-3))*24)</f>
        <v>16.000000000116415</v>
      </c>
      <c r="P7" s="19">
        <f ca="1">IF(OR(OFFSET(P7,0,-8)=0,OFFSET(P7,0,-7)=0),0,(MAX(OFFSET(P7,0,-7)-(OFFSET(P7,0,-9)+OFFSET(P7,0,-3))-OFFSET(P7,0,-2),0)*24))</f>
        <v>7.6830555549307924</v>
      </c>
      <c r="Q7" s="27">
        <f ca="1">INT(O7)+IF((O7-INT(O7))&gt;=0.5,0.5,0)</f>
        <v>16</v>
      </c>
      <c r="R7" s="27">
        <f t="shared" ca="1" si="0"/>
        <v>7.5</v>
      </c>
      <c r="S7" s="28">
        <f ca="1">MAX((OFFSET(S7,0,-11)-(OFFSET(S7,0,-12)+OFFSET(S7,0,-9)))*24*60,0)</f>
        <v>0</v>
      </c>
      <c r="Z7" s="1">
        <v>1</v>
      </c>
    </row>
    <row r="8" spans="1:26" s="1" customFormat="1" ht="12.75" x14ac:dyDescent="0.2">
      <c r="A8" s="10"/>
      <c r="B8" s="10"/>
      <c r="C8" s="9" t="s">
        <v>301</v>
      </c>
      <c r="D8" s="10" t="s">
        <v>4481</v>
      </c>
      <c r="E8" s="1" t="str">
        <f>VLOOKUP(C8,[1]职员!A$1:C$65536,3,FALSE)</f>
        <v>铆焊车间</v>
      </c>
      <c r="F8" s="1" t="s">
        <v>302</v>
      </c>
      <c r="G8" s="11">
        <v>42295</v>
      </c>
      <c r="I8" s="12">
        <v>0</v>
      </c>
      <c r="J8" s="18"/>
      <c r="K8" s="18"/>
      <c r="L8" s="18"/>
      <c r="M8" s="18"/>
      <c r="N8" s="18"/>
      <c r="O8" s="19">
        <f ca="1">IF(OR(OFFSET(O8,0,-7)=0,OFFSET(O8,0,-6)=0),0,(MIN(OFFSET(O8,0,-6),OFFSET(O8,0,-8)+OFFSET(O8,0,-4))-MAX(OFFSET(O8,0,-7),OFFSET(O8,0,-8)+OFFSET(O8,0,-5))-OFFSET(O8,0,-3))*24)</f>
        <v>0</v>
      </c>
      <c r="P8" s="19">
        <f ca="1">IF(OR(OFFSET(P8,0,-8)=0,OFFSET(P8,0,-7)=0),0,(MAX(OFFSET(P8,0,-7)-(OFFSET(P8,0,-9)+OFFSET(P8,0,-3))-OFFSET(P8,0,-2),0)*24))</f>
        <v>0</v>
      </c>
      <c r="Q8" s="27">
        <f ca="1">INT(O8)+IF((O8-INT(O8))&gt;=0.5,0.5,0)</f>
        <v>0</v>
      </c>
      <c r="R8" s="27">
        <f t="shared" ca="1" si="0"/>
        <v>0</v>
      </c>
      <c r="S8" s="28">
        <f ca="1">MAX((OFFSET(S8,0,-11)-(OFFSET(S8,0,-12)+OFFSET(S8,0,-9)))*24*60,0)</f>
        <v>0</v>
      </c>
      <c r="Z8" s="1">
        <v>1</v>
      </c>
    </row>
    <row r="9" spans="1:26" x14ac:dyDescent="0.15">
      <c r="R9">
        <f t="shared" si="0"/>
        <v>0</v>
      </c>
    </row>
    <row r="10" spans="1:26" s="1" customFormat="1" ht="12.75" x14ac:dyDescent="0.2">
      <c r="A10" s="8" t="s">
        <v>6617</v>
      </c>
      <c r="B10" s="8" t="s">
        <v>6619</v>
      </c>
      <c r="C10" s="9" t="s">
        <v>301</v>
      </c>
      <c r="D10" s="10" t="s">
        <v>4481</v>
      </c>
      <c r="E10" s="1" t="str">
        <f>VLOOKUP(C10,[1]职员!A$1:C$65536,3,FALSE)</f>
        <v>铆焊车间</v>
      </c>
      <c r="F10" s="1" t="s">
        <v>302</v>
      </c>
      <c r="G10" s="11">
        <v>42294</v>
      </c>
      <c r="H10" s="12">
        <v>42294.323611111096</v>
      </c>
      <c r="I10" s="12">
        <v>42295.340972222199</v>
      </c>
      <c r="J10" s="18">
        <v>0.33333333333333298</v>
      </c>
      <c r="K10" s="18">
        <v>1.06251157407407</v>
      </c>
      <c r="L10" s="18">
        <v>6.25E-2</v>
      </c>
      <c r="M10" s="18">
        <v>1.0625</v>
      </c>
      <c r="N10" s="18">
        <v>1.1574074074074101E-5</v>
      </c>
      <c r="O10" s="19">
        <f ca="1">IF(OR(OFFSET(O10,0,-7)=0,OFFSET(O10,0,-6)=0),0,(MIN(OFFSET(O10,0,-6),OFFSET(O10,0,-8)+OFFSET(O10,0,-4))-MAX(OFFSET(O10,0,-7),OFFSET(O10,0,-8)+OFFSET(O10,0,-5))-OFFSET(O10,0,-3))*24)</f>
        <v>16.000277777784504</v>
      </c>
      <c r="P10" s="19">
        <f ca="1">IF(OR(OFFSET(P10,0,-8)=0,OFFSET(P10,0,-7)=0),0,(MAX(OFFSET(P10,0,-7)-(OFFSET(P10,0,-9)+OFFSET(P10,0,-3))-OFFSET(P10,0,-2),0)*24))</f>
        <v>6.6830555549890001</v>
      </c>
      <c r="Q10" s="27">
        <f ca="1">INT(O10)+IF((O10-INT(O10))&gt;=0.5,0.5,0)</f>
        <v>16</v>
      </c>
      <c r="R10" s="27">
        <f t="shared" ca="1" si="0"/>
        <v>6.5</v>
      </c>
      <c r="S10" s="28">
        <f ca="1">MAX((OFFSET(S10,0,-11)-(OFFSET(S10,0,-12)+OFFSET(S10,0,-9)))*24*60,0)</f>
        <v>0</v>
      </c>
      <c r="Z10" s="1">
        <v>1</v>
      </c>
    </row>
    <row r="11" spans="1:26" s="1" customFormat="1" ht="12.75" x14ac:dyDescent="0.2">
      <c r="A11" s="10"/>
      <c r="B11" s="10"/>
      <c r="C11" s="9" t="s">
        <v>301</v>
      </c>
      <c r="D11" s="10" t="s">
        <v>4481</v>
      </c>
      <c r="E11" s="1" t="str">
        <f>VLOOKUP(C11,[1]职员!A$1:C$65536,3,FALSE)</f>
        <v>铆焊车间</v>
      </c>
      <c r="F11" s="1" t="s">
        <v>302</v>
      </c>
      <c r="G11" s="11">
        <v>42295</v>
      </c>
      <c r="I11" s="12">
        <v>0</v>
      </c>
      <c r="J11" s="18"/>
      <c r="K11" s="18"/>
      <c r="L11" s="18"/>
      <c r="M11" s="18"/>
      <c r="N11" s="18"/>
      <c r="O11" s="19"/>
      <c r="P11" s="19">
        <f ca="1">IF(OR(OFFSET(P11,0,-8)=0,OFFSET(P11,0,-7)=0),0,(MAX(OFFSET(P11,0,-7)-(OFFSET(P11,0,-9)+OFFSET(P11,0,-3))-OFFSET(P11,0,-2),0)*24))</f>
        <v>0</v>
      </c>
      <c r="Q11" s="27">
        <f>INT(O11)+IF((O11-INT(O11))&gt;=0.5,0.5,0)</f>
        <v>0</v>
      </c>
      <c r="R11" s="27">
        <f t="shared" ca="1" si="0"/>
        <v>0</v>
      </c>
      <c r="S11" s="28">
        <f ca="1">MAX((OFFSET(S11,0,-11)-(OFFSET(S11,0,-12)+OFFSET(S11,0,-9)))*24*60,0)</f>
        <v>0</v>
      </c>
      <c r="Z11" s="1">
        <v>1</v>
      </c>
    </row>
    <row r="12" spans="1:26" x14ac:dyDescent="0.15">
      <c r="K12" s="20"/>
    </row>
    <row r="13" spans="1:26" x14ac:dyDescent="0.2">
      <c r="A13" t="s">
        <v>6620</v>
      </c>
      <c r="B13" t="s">
        <v>6621</v>
      </c>
      <c r="C13" s="9" t="s">
        <v>301</v>
      </c>
      <c r="D13" s="10" t="s">
        <v>4481</v>
      </c>
      <c r="E13" s="1" t="str">
        <f>VLOOKUP(C13,[2]职员!A$1:C$65536,3,FALSE)</f>
        <v>铆焊车间</v>
      </c>
      <c r="F13" s="1" t="s">
        <v>302</v>
      </c>
      <c r="G13" s="11">
        <v>42278</v>
      </c>
      <c r="H13" s="12">
        <v>42278.833333333299</v>
      </c>
      <c r="I13" s="12">
        <v>42279.333333333299</v>
      </c>
      <c r="J13" s="21">
        <v>0.83333333333333304</v>
      </c>
      <c r="K13" s="21">
        <v>1.18751157407407</v>
      </c>
      <c r="L13" s="21">
        <v>2.0833333333333301E-2</v>
      </c>
      <c r="M13" s="21">
        <v>1.1875</v>
      </c>
      <c r="N13" s="21">
        <v>1.1574074074074101E-5</v>
      </c>
      <c r="O13" s="19">
        <f ca="1">IF(OR(OFFSET(O13,0,-7)=0,OFFSET(O13,0,-6)=0),0,(MIN(OFFSET(O13,0,-6),OFFSET(O13,0,-8)+OFFSET(O13,0,-4))-MAX(OFFSET(O13,0,-7),OFFSET(O13,0,-8)+OFFSET(O13,0,-5))-OFFSET(O13,0,-3))*24)</f>
        <v>8.000277777784504</v>
      </c>
      <c r="P13" s="19">
        <f ca="1">IF(OR(OFFSET(P13,0,-8)=0,OFFSET(P13,0,-7)=0),0,(MAX(OFFSET(P13,0,-7)-(OFFSET(P13,0,-9)+OFFSET(P13,0,-3))-OFFSET(P13,0,-2),0)*24))</f>
        <v>3.4997222214073149</v>
      </c>
      <c r="Q13" s="29">
        <f ca="1">INT(O13)+IF((O13-INT(O13))&gt;=0.5,0.5,0)</f>
        <v>8</v>
      </c>
      <c r="R13" s="29">
        <f ca="1">INT(ROUND(P13,3))+IF((ROUND(P13,3)-INT(ROUND(P13,3)))&gt;=0.5,0.5,0)</f>
        <v>3.5</v>
      </c>
    </row>
    <row r="14" spans="1:26" x14ac:dyDescent="0.2">
      <c r="J14" s="21"/>
      <c r="K14" s="21"/>
      <c r="L14" s="21"/>
      <c r="M14" s="21"/>
      <c r="N14" s="21"/>
    </row>
    <row r="15" spans="1:26" x14ac:dyDescent="0.2">
      <c r="J15" s="12"/>
      <c r="K15" s="12"/>
      <c r="L15" s="12"/>
      <c r="M15" s="12"/>
      <c r="N15" s="12"/>
    </row>
    <row r="16" spans="1:26" x14ac:dyDescent="0.2">
      <c r="A16" t="s">
        <v>6620</v>
      </c>
      <c r="B16" s="13" t="s">
        <v>6622</v>
      </c>
      <c r="C16" s="9" t="s">
        <v>301</v>
      </c>
      <c r="D16" s="10" t="s">
        <v>4481</v>
      </c>
      <c r="E16" s="1" t="str">
        <f>VLOOKUP(C16,[2]职员!A$1:C$65536,3,FALSE)</f>
        <v>铆焊车间</v>
      </c>
      <c r="F16" s="1" t="s">
        <v>302</v>
      </c>
      <c r="G16" s="11">
        <v>42278</v>
      </c>
      <c r="H16" s="12">
        <v>42278.854166666701</v>
      </c>
      <c r="I16" s="12">
        <v>42279.333333333299</v>
      </c>
      <c r="J16" s="21">
        <v>0.85416666666666696</v>
      </c>
      <c r="K16" s="21">
        <v>1.20834490740741</v>
      </c>
      <c r="L16" s="21">
        <v>2.0833333333333301E-2</v>
      </c>
      <c r="M16" s="21">
        <v>1.2083333333333299</v>
      </c>
      <c r="N16" s="21">
        <v>1.1574074074074101E-5</v>
      </c>
      <c r="O16" s="19">
        <f ca="1">IF(OR(OFFSET(O16,0,-7)=0,OFFSET(O16,0,-6)=0),0,(MIN(OFFSET(O16,0,-6),OFFSET(O16,0,-8)+OFFSET(O16,0,-4))-MAX(OFFSET(O16,0,-7),OFFSET(O16,0,-8)+OFFSET(O16,0,-5))-OFFSET(O16,0,-3))*24)</f>
        <v>8.0002777769113891</v>
      </c>
      <c r="P16" s="19">
        <f ca="1">IF(OR(OFFSET(P16,0,-8)=0,OFFSET(P16,0,-7)=0),0,(MAX(OFFSET(P16,0,-7)-(OFFSET(P16,0,-9)+OFFSET(P16,0,-3))-OFFSET(P16,0,-2),0)*24))</f>
        <v>2.9997222213491073</v>
      </c>
      <c r="Q16" s="29">
        <f ca="1">INT(O16)+IF((O16-INT(O16))&gt;=0.5,0.5,0)</f>
        <v>8</v>
      </c>
      <c r="R16" s="29">
        <f ca="1">INT(ROUND(P16,3))+IF((ROUND(P16,3)-INT(ROUND(P16,3)))&gt;=0.5,0.5,0)</f>
        <v>3</v>
      </c>
    </row>
    <row r="17" spans="1:18" x14ac:dyDescent="0.2">
      <c r="J17" s="21"/>
      <c r="K17" s="21"/>
      <c r="L17" s="21"/>
      <c r="M17" s="21"/>
      <c r="N17" s="21"/>
    </row>
    <row r="18" spans="1:18" x14ac:dyDescent="0.2">
      <c r="J18" s="12"/>
      <c r="K18" s="12"/>
      <c r="L18" s="12"/>
      <c r="M18" s="12"/>
      <c r="N18" s="12"/>
    </row>
    <row r="19" spans="1:18" x14ac:dyDescent="0.2">
      <c r="A19" t="s">
        <v>6620</v>
      </c>
      <c r="B19" t="s">
        <v>6623</v>
      </c>
      <c r="C19" s="9" t="s">
        <v>301</v>
      </c>
      <c r="D19" s="10" t="s">
        <v>4481</v>
      </c>
      <c r="E19" s="1" t="str">
        <f>VLOOKUP(C19,[2]职员!A$1:C$65536,3,FALSE)</f>
        <v>铆焊车间</v>
      </c>
      <c r="F19" s="1" t="s">
        <v>302</v>
      </c>
      <c r="G19" s="11">
        <v>42278</v>
      </c>
      <c r="H19" s="12">
        <v>42278.708333333299</v>
      </c>
      <c r="I19" s="12">
        <v>42279.333333333299</v>
      </c>
      <c r="J19" s="21">
        <v>0.70833333333333304</v>
      </c>
      <c r="K19" s="21">
        <v>1.06251157407407</v>
      </c>
      <c r="L19" s="21">
        <v>2.0833333333333301E-2</v>
      </c>
      <c r="M19" s="21">
        <v>1.0625</v>
      </c>
      <c r="N19" s="21">
        <v>1.1574074074074101E-5</v>
      </c>
      <c r="O19" s="19">
        <f ca="1">IF(OR(OFFSET(O19,0,-7)=0,OFFSET(O19,0,-6)=0),0,(MIN(OFFSET(O19,0,-6),OFFSET(O19,0,-8)+OFFSET(O19,0,-4))-MAX(OFFSET(O19,0,-7),OFFSET(O19,0,-8)+OFFSET(O19,0,-5))-OFFSET(O19,0,-3))*24)</f>
        <v>8.000277777784504</v>
      </c>
      <c r="P19" s="19">
        <f ca="1">IF(OR(OFFSET(P19,0,-8)=0,OFFSET(P19,0,-7)=0),0,(MAX(OFFSET(P19,0,-7)-(OFFSET(P19,0,-9)+OFFSET(P19,0,-3))-OFFSET(P19,0,-2),0)*24))</f>
        <v>6.499722221407314</v>
      </c>
      <c r="Q19" s="29">
        <f ca="1">INT(O19)+IF((O19-INT(O19))&gt;=0.5,0.5,0)</f>
        <v>8</v>
      </c>
      <c r="R19" s="29">
        <f ca="1">INT(ROUND(P19,3))+IF((ROUND(P19,3)-INT(ROUND(P19,3)))&gt;=0.5,0.5,0)</f>
        <v>6.5</v>
      </c>
    </row>
    <row r="21" spans="1:18" x14ac:dyDescent="0.2">
      <c r="A21" t="s">
        <v>6620</v>
      </c>
      <c r="B21" t="s">
        <v>6624</v>
      </c>
      <c r="C21" s="9" t="s">
        <v>301</v>
      </c>
      <c r="D21" s="10" t="s">
        <v>4481</v>
      </c>
      <c r="E21" s="1" t="str">
        <f>VLOOKUP(C21,[2]职员!A$1:C$65536,3,FALSE)</f>
        <v>铆焊车间</v>
      </c>
      <c r="F21" s="1" t="s">
        <v>302</v>
      </c>
      <c r="G21" s="11">
        <v>42278</v>
      </c>
      <c r="H21" s="12">
        <v>42278.729166666701</v>
      </c>
      <c r="I21" s="12">
        <v>42279.333333333299</v>
      </c>
      <c r="J21" s="21">
        <v>0.72916666666666696</v>
      </c>
      <c r="K21" s="21">
        <v>1.08334490740741</v>
      </c>
      <c r="L21" s="21">
        <v>2.0833333333333301E-2</v>
      </c>
      <c r="M21" s="21">
        <v>1.0833333333333299</v>
      </c>
      <c r="N21" s="21">
        <v>1.1574074074074101E-5</v>
      </c>
      <c r="O21" s="19">
        <f ca="1">IF(OR(OFFSET(O21,0,-7)=0,OFFSET(O21,0,-6)=0),0,(MIN(OFFSET(O21,0,-6),OFFSET(O21,0,-8)+OFFSET(O21,0,-4))-MAX(OFFSET(O21,0,-7),OFFSET(O21,0,-8)+OFFSET(O21,0,-5))-OFFSET(O21,0,-3))*24)</f>
        <v>8.0002777769113891</v>
      </c>
      <c r="P21" s="19">
        <f ca="1">IF(OR(OFFSET(P21,0,-8)=0,OFFSET(P21,0,-7)=0),0,(MAX(OFFSET(P21,0,-7)-(OFFSET(P21,0,-9)+OFFSET(P21,0,-3))-OFFSET(P21,0,-2),0)*24))</f>
        <v>5.9997222213491073</v>
      </c>
      <c r="Q21" s="29">
        <f ca="1">INT(O21)+IF((O21-INT(O21))&gt;=0.5,0.5,0)</f>
        <v>8</v>
      </c>
      <c r="R21" s="29">
        <f ca="1">INT(ROUND(P21,3))+IF((ROUND(P21,3)-INT(ROUND(P21,3)))&gt;=0.5,0.5,0)</f>
        <v>6</v>
      </c>
    </row>
    <row r="22" spans="1:18" x14ac:dyDescent="0.15">
      <c r="I22" s="20"/>
    </row>
  </sheetData>
  <phoneticPr fontId="16" type="noConversion"/>
  <pageMargins left="0.7" right="0.7" top="0.75" bottom="0.75" header="0.3" footer="0.3"/>
  <pageSetup paperSize="9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考勤卡</vt:lpstr>
      <vt:lpstr>程序</vt:lpstr>
      <vt:lpstr>考勤清单</vt:lpstr>
      <vt:lpstr>考勤汇总</vt:lpstr>
      <vt:lpstr>人员汇总</vt:lpstr>
      <vt:lpstr>人员汇总_正班</vt:lpstr>
      <vt:lpstr>人员汇总_加班</vt:lpstr>
      <vt:lpstr>职员</vt:lpstr>
      <vt:lpstr>员工卡登记</vt:lpstr>
      <vt:lpstr>项目</vt:lpstr>
      <vt:lpstr>临港模式</vt:lpstr>
      <vt:lpstr>公司模式</vt:lpstr>
      <vt:lpstr>现场考勤卡模式</vt:lpstr>
      <vt:lpstr>现场考勤卡模式2</vt:lpstr>
      <vt:lpstr>夜班基准时间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huangguoping</dc:creator>
  <cp:lastModifiedBy>Yan Li</cp:lastModifiedBy>
  <dcterms:created xsi:type="dcterms:W3CDTF">2015-10-22T07:21:00Z</dcterms:created>
  <dcterms:modified xsi:type="dcterms:W3CDTF">2026-01-14T19:04:43Z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8B799FA4BF784716B141B075C4B387EA</vt:lpwstr>
  </property>
  <property fmtid="{D5CDD505-2E9C-101B-9397-08002B2CF9AE}" pid="3" name="KSOProductBuildVer">
    <vt:lpwstr>2052-11.1.0.11115</vt:lpwstr>
  </property>
</Properties>
</file>